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sh\Documents\Faithgurd\docs\literature-review\"/>
    </mc:Choice>
  </mc:AlternateContent>
  <xr:revisionPtr revIDLastSave="0" documentId="13_ncr:1_{501E85AA-4DCC-4E75-83B4-8386E09FA6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0 How to use" sheetId="1" r:id="rId1"/>
    <sheet name="01 Search log" sheetId="2" r:id="rId2"/>
    <sheet name="02 Screening log" sheetId="3" r:id="rId3"/>
    <sheet name="03 Extraction matrix" sheetId="4" r:id="rId4"/>
    <sheet name="04 PRISMA counts" sheetId="5" r:id="rId5"/>
    <sheet name="05 Gaps register" sheetId="6" r:id="rId6"/>
    <sheet name="06 Technology comparison" sheetId="7" r:id="rId7"/>
    <sheet name="07 Reference list" sheetId="8" r:id="rId8"/>
  </sheets>
  <definedNames>
    <definedName name="_xlnm._FilterDatabase" localSheetId="2" hidden="1">'02 Screening log'!$A$4:$O$228</definedName>
    <definedName name="_xlnm._FilterDatabase" localSheetId="3" hidden="1">'03 Extraction matrix'!$A$4:$O$68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5" l="1"/>
  <c r="C41" i="5"/>
  <c r="C40" i="5"/>
  <c r="C39" i="5"/>
  <c r="C38" i="5"/>
  <c r="C37" i="5"/>
  <c r="C31" i="5"/>
  <c r="C30" i="5"/>
  <c r="C29" i="5"/>
  <c r="C28" i="5"/>
  <c r="C27" i="5"/>
  <c r="C32" i="5" s="1"/>
  <c r="C19" i="5"/>
  <c r="C18" i="5"/>
  <c r="C20" i="5" s="1"/>
  <c r="C15" i="5"/>
  <c r="C13" i="5"/>
  <c r="C12" i="5"/>
  <c r="C11" i="5"/>
  <c r="C14" i="5" s="1"/>
  <c r="C16" i="5" s="1"/>
  <c r="C21" i="5" s="1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F28" i="2"/>
  <c r="C9" i="5" s="1"/>
  <c r="E28" i="2"/>
  <c r="C7" i="5" s="1"/>
  <c r="C22" i="5" l="1"/>
  <c r="C10" i="5"/>
  <c r="C8" i="5"/>
  <c r="B20" i="1"/>
</calcChain>
</file>

<file path=xl/sharedStrings.xml><?xml version="1.0" encoding="utf-8"?>
<sst xmlns="http://schemas.openxmlformats.org/spreadsheetml/2006/main" count="3287" uniqueCount="1870">
  <si>
    <t>FaithGuard Literature Review Workbook - Member: Repair</t>
  </si>
  <si>
    <t>Member: M.S.A Ahamed  |  Component: Repair: edit programs (KEEP, COPY, CALCULATE, CANNOT_FIX), Decimal executor and hard gate, Qwen3.5-2B with LoRA</t>
  </si>
  <si>
    <t>Review question: How can a wrong answer, especially a wrong number, be repaired after generation using correction, program execution or self-training, with a small model and limited compute?</t>
  </si>
  <si>
    <t>Sheet</t>
  </si>
  <si>
    <t>What it is for</t>
  </si>
  <si>
    <t>Feeds</t>
  </si>
  <si>
    <t>01 Search log</t>
  </si>
  <si>
    <t>Every search exactly as run, with date, total hits and records exported; citation-chasing lookups listed separately</t>
  </si>
  <si>
    <t>04 PRISMA counts</t>
  </si>
  <si>
    <t>02 Screening log</t>
  </si>
  <si>
    <t>One row per record with title (P1), abstract (P2) and full-text (P3) decisions, exclusion reason and notes</t>
  </si>
  <si>
    <t>03, 04</t>
  </si>
  <si>
    <t>03 Extraction matrix</t>
  </si>
  <si>
    <t>Included studies: focus, setting, method, key results, authors' stated limitations, subtopic, free full-text route</t>
  </si>
  <si>
    <t>05, 06, 07</t>
  </si>
  <si>
    <t>PRISMA flow counts and exclusion reasons, all calculated by formula</t>
  </si>
  <si>
    <t>Report / slides</t>
  </si>
  <si>
    <t>05 Gaps register</t>
  </si>
  <si>
    <t>Gaps stated by authors and how FaithGuard addresses each (or not)</t>
  </si>
  <si>
    <t>Problem statement, novelty</t>
  </si>
  <si>
    <t>06 Technology comparison</t>
  </si>
  <si>
    <t>Alternatives, criteria and FaithGuard's provisional decision for each design choice</t>
  </si>
  <si>
    <t>Methodology chapter</t>
  </si>
  <si>
    <t>07 Reference list</t>
  </si>
  <si>
    <t>Full APA 7 references for every included study</t>
  </si>
  <si>
    <t>Report bibliography</t>
  </si>
  <si>
    <t>Colour key</t>
  </si>
  <si>
    <t>Pale yellow cells: You type here</t>
  </si>
  <si>
    <t>White cells with formulas: Calculated - do not overwrite</t>
  </si>
  <si>
    <t>Green INCLUDED cell: the record passed all three screening passes</t>
  </si>
  <si>
    <t>Golden rule</t>
  </si>
  <si>
    <t>Every included study has a verified peer-reviewed venue and a legal free full-text route (publisher open access, open proceedings, or the authors' own arXiv version), and every number in sheet 03 comes from the paper itself.</t>
  </si>
  <si>
    <t>Eligibility criteria</t>
  </si>
  <si>
    <t>Include (all must hold)</t>
  </si>
  <si>
    <t>I1. Peer-reviewed archival publication: journal article, or paper in conference or workshop proceedings.</t>
  </si>
  <si>
    <t>I2. Published from 1 January 2017 onwards (search filter).</t>
  </si>
  <si>
    <t>I3. Written in English.</t>
  </si>
  <si>
    <t>I4. A legal free full text exists: publisher open access, open proceedings (ACL Anthology, PMLR, NeurIPS, AAAI) or the authors' own version (arXiv).</t>
  </si>
  <si>
    <t>I5. Primary study, benchmark, method or survey that meets the member's scope below.</t>
  </si>
  <si>
    <t>Scope (in): Post-hoc revision and factual error correction; self-correction and critique; program- or tool-aided numerical reasoning; financial numerical reasoning benchmarks and methods; self-training, rejection sampling and distillation for reasoning; parameter-efficient fine-tuning and quantisation; structured or format-constrained output.</t>
  </si>
  <si>
    <t>Scope (out, applied at P1 and P2): Vision and multimodal work; repair or generation of programs and SQL as the product (rather than as a reasoning tool); domain-specific applications outside finance; chain-of-thought prompting without programs; decoding that constrains content (keywords) rather than output structure.</t>
  </si>
  <si>
    <t>Full-text exclusion reasons (P3)</t>
  </si>
  <si>
    <t>E1. Not peer-reviewed: preprints and technical reports with no archival version found, non-archival workshop papers, and journals whose peer review cannot be verified (open-access journals not listed in DOAJ).</t>
  </si>
  <si>
    <t>E2. Outside date range: published before 2017.</t>
  </si>
  <si>
    <t>E3. Outside scope: fails the member's scope at full-text stage.</t>
  </si>
  <si>
    <t>E4. Free full text unavailable: subscription-only and no author version found (arXiv searched by title).</t>
  </si>
  <si>
    <t>E5. Duplicate/secondary version: another version (e.g. arXiv copy) of a paper already in the log.</t>
  </si>
  <si>
    <t>Subtopics</t>
  </si>
  <si>
    <t>A  Post-hoc revision and factual error correction</t>
  </si>
  <si>
    <t>B  Self-correction and critique</t>
  </si>
  <si>
    <t>C  Program- and tool-aided numerical reasoning</t>
  </si>
  <si>
    <t>D  Financial numerical reasoning</t>
  </si>
  <si>
    <t>E  Self-training, rejection sampling and distillation</t>
  </si>
  <si>
    <t>F  Efficient fine-tuning and structured output</t>
  </si>
  <si>
    <t>Method notes</t>
  </si>
  <si>
    <t>- Bounded review: each search exported the 25 most-cited records (OpenAlex order), and every exported record was screened.</t>
  </si>
  <si>
    <t>- Planned indexes were DBLP and Semantic Scholar; their APIs refused automated queries (bot check; HTTP 429), so OpenAlex was used for every search. OpenAlex indexes ACL Anthology, arXiv, ACM, IEEE, Springer and other publishers.</t>
  </si>
  <si>
    <t>- When a record was an arXiv copy, the peer-reviewed version was located (title lookups in sheet 01) and assessed; the venue was checked on the proceedings or publisher page, or with Crossref.</t>
  </si>
  <si>
    <t>- Citation chasing: backward (an included study cites the paper) or forward (the paper cites an included study); each link is given in sheet 02.</t>
  </si>
  <si>
    <t>- Peer-review check for open-access journals: listing in DOAJ.</t>
  </si>
  <si>
    <t>- Screening by one reviewer; a second reader should re-check a sample of P1 and P2 decisions (record who in column M).</t>
  </si>
  <si>
    <t>01 - Search log: Repair</t>
  </si>
  <si>
    <t>Every search below was run as written on the date shown. Database searches used the OpenAlex works API (filter title_and_abstract.search, publication date from 2017-01-01, sorted by citation count, first 25 records exported). DBLP's API answered with a bot check and the Semantic Scholar API with HTTP 429 (rate limit), so OpenAlex, which indexes ACL Anthology, arXiv, ACM, IEEE, Springer and other publishers, was used for all searches.</t>
  </si>
  <si>
    <t>#</t>
  </si>
  <si>
    <t>Database</t>
  </si>
  <si>
    <t>Search string (exactly as run)</t>
  </si>
  <si>
    <t>Date run</t>
  </si>
  <si>
    <t>Results (total hits)</t>
  </si>
  <si>
    <t>Records exported for screening</t>
  </si>
  <si>
    <t>Notes / filters applied</t>
  </si>
  <si>
    <t>M2-01</t>
  </si>
  <si>
    <t>OpenAlex (works API)</t>
  </si>
  <si>
    <t>("post-hoc" OR revision OR "post-editing") AND (hallucination OR "factual errors") AND "language models"</t>
  </si>
  <si>
    <t>2026-10-25</t>
  </si>
  <si>
    <t>title_and_abstract.search; from_publication_date:2017-01-01; sort cited_by_count desc; per-page 25</t>
  </si>
  <si>
    <t>M2-02</t>
  </si>
  <si>
    <t>"factual error correction"</t>
  </si>
  <si>
    <t>M2-03</t>
  </si>
  <si>
    <t>"self-correction" AND ("large language models" OR LLMs)</t>
  </si>
  <si>
    <t>M2-04</t>
  </si>
  <si>
    <t>("program-aided" OR "program of thoughts" OR "program-of-thought") AND reasoning</t>
  </si>
  <si>
    <t>M2-05</t>
  </si>
  <si>
    <t>(financial OR finance) AND "numerical reasoning" AND (table OR tabular)</t>
  </si>
  <si>
    <t>M2-06</t>
  </si>
  <si>
    <t>("self-training" OR "rejection sampling" OR "self-taught") AND reasoning AND "language models"</t>
  </si>
  <si>
    <t>M2-07</t>
  </si>
  <si>
    <t>("low-rank adaptation" OR quantized) AND (fine-tuning OR finetuning) AND "language models"</t>
  </si>
  <si>
    <t>M2-08</t>
  </si>
  <si>
    <t>("constrained decoding" OR "structured output" OR "format restrictions" OR "grammar-constrained") AND "language models"</t>
  </si>
  <si>
    <t>TOTAL RECORDS IDENTIFIED</t>
  </si>
  <si>
    <t>Citation-chasing lookups (other methods; not counted as database identification)</t>
  </si>
  <si>
    <t>Records returned</t>
  </si>
  <si>
    <t>Purpose</t>
  </si>
  <si>
    <t>CD-01</t>
  </si>
  <si>
    <t>RARR OR "Verify-and-Edit" OR "Tool-Interactive Critiquing" OR "Self-Refine" OR Toolformer OR "Program of Thoughts" OR "Program-aided Language Models" OR "Cannot Self-Correct Reasoning Yet" OR "Scaling Self-Training for Problem-Solving" OR "Low-Rank Adaptation of Large Language Models"</t>
  </si>
  <si>
    <t>title.search; sort cited_by_count desc; per-page 50. Exact-title lookup to locate citation-chased papers and published versions of database records</t>
  </si>
  <si>
    <t>CC-01</t>
  </si>
  <si>
    <t>SelfCheckGPT OR FActScore OR HaluEval OR MiniCheck OR SummaC OR FinQA OR FinDVer OR "Learn then Test" OR "On Calibration of Modern Neural Networks" OR "Conformal Factuality Guarantees"</t>
  </si>
  <si>
    <t>title.search; sort cited_by_count desc; per-page 50. Exact-title lookup to locate citation-chased papers and published versions</t>
  </si>
  <si>
    <t>CC-02</t>
  </si>
  <si>
    <t>"Survey of Hallucination in Natural Language Generation" OR RAGTruth OR "Fine-grained Hallucination Detection and Editing" OR "Re-evaluating Factual Consistency Evaluation" OR TabFact OR FEVEROUS OR "TAT-QA" OR ConvFinQA OR "TAT-LLM"</t>
  </si>
  <si>
    <t>02 - Screening log: Repair</t>
  </si>
  <si>
    <t>One row per unique record. P1 = title pass, P2 = abstract pass (title and venue when no abstract was indexed), P3 = full-text pass. Type KEEP or DROP; the INCLUDED column is a formula. Database records are numbered in search order; citation-chased records follow.</t>
  </si>
  <si>
    <t>Title</t>
  </si>
  <si>
    <t>First author</t>
  </si>
  <si>
    <t>Year</t>
  </si>
  <si>
    <t>Venue</t>
  </si>
  <si>
    <t>Database / index searched</t>
  </si>
  <si>
    <t>P1 Title</t>
  </si>
  <si>
    <t>P2 Abstract</t>
  </si>
  <si>
    <t>P3 Full text</t>
  </si>
  <si>
    <t>Exclusion reason (P3)</t>
  </si>
  <si>
    <t>INCLUDED</t>
  </si>
  <si>
    <t>Route</t>
  </si>
  <si>
    <t>Screening note</t>
  </si>
  <si>
    <t>OpenAlex ID</t>
  </si>
  <si>
    <t>DOI / link</t>
  </si>
  <si>
    <t>ChatGPT: The transformative influence of generative AI on science and healthcare</t>
  </si>
  <si>
    <t>Julian Varghese</t>
  </si>
  <si>
    <t>Journal of Hepatology</t>
  </si>
  <si>
    <t>OpenAlex: M2-01</t>
  </si>
  <si>
    <t>DROP</t>
  </si>
  <si>
    <t>Database search</t>
  </si>
  <si>
    <t>Domain-specific application outside finance: healthcare commentary</t>
  </si>
  <si>
    <t>W4385605341</t>
  </si>
  <si>
    <t>https://doi.org/10.1016/j.jhep.2023.07.028</t>
  </si>
  <si>
    <t>Why we need to be careful with LLMs in medicine</t>
  </si>
  <si>
    <t>Jean‐Christophe Bélisle‐Pipon</t>
  </si>
  <si>
    <t>Frontiers in Medicine</t>
  </si>
  <si>
    <t>Domain-specific application outside finance: medicine</t>
  </si>
  <si>
    <t>W4405021649</t>
  </si>
  <si>
    <t>https://doi.org/10.3389/fmed.2024.1495582</t>
  </si>
  <si>
    <t>Automatically Correcting Large Language Models: Surveying the Landscape of Diverse Automated Correction Strategies</t>
  </si>
  <si>
    <t>Liangming Pan</t>
  </si>
  <si>
    <t>TACL 12</t>
  </si>
  <si>
    <t>OpenAlex: M2-01, M2-03</t>
  </si>
  <si>
    <t>KEEP</t>
  </si>
  <si>
    <t>W4396665924</t>
  </si>
  <si>
    <t>https://doi.org/10.1162/tacl_a_00660</t>
  </si>
  <si>
    <t>Automated reading passage generation with OpenAI's large language model</t>
  </si>
  <si>
    <t>Ummugul Bezirhan</t>
  </si>
  <si>
    <t>Computers and Education Artificial Intelligence</t>
  </si>
  <si>
    <t>Off-topic: education</t>
  </si>
  <si>
    <t>W4385973406</t>
  </si>
  <si>
    <t>https://doi.org/10.1016/j.caeai.2023.100161</t>
  </si>
  <si>
    <t>Analyzing and Mitigating Object Hallucination in Large Vision-Language Models</t>
  </si>
  <si>
    <t>Yiyang Zhou</t>
  </si>
  <si>
    <t>arXiv preprint</t>
  </si>
  <si>
    <t>Non-text modality: vision-language models</t>
  </si>
  <si>
    <t>W4387323833</t>
  </si>
  <si>
    <t>https://doi.org/10.48550/arxiv.2310.00754</t>
  </si>
  <si>
    <t>Correcting Diverse Factual Errors in Abstractive Summarization via Post-Editing and Language Model Infilling</t>
  </si>
  <si>
    <t>Vidhisha Balachandran</t>
  </si>
  <si>
    <t>EMNLP 2022 (Main)</t>
  </si>
  <si>
    <t>W4385573912</t>
  </si>
  <si>
    <t>https://doi.org/10.18653/v1/2022.emnlp-main.667</t>
  </si>
  <si>
    <t>Integrating Generative Artificial Intelligence and Problem-Based Learning into the Digitization in Construction Curriculum</t>
  </si>
  <si>
    <t>Reza Maalek</t>
  </si>
  <si>
    <t>Buildings</t>
  </si>
  <si>
    <t>W4404483910</t>
  </si>
  <si>
    <t>https://doi.org/10.3390/buildings14113642</t>
  </si>
  <si>
    <t>Automatically Correcting Large Language Models: Surveying the landscape of diverse self-correction strategies</t>
  </si>
  <si>
    <t>Duplicate/secondary version</t>
  </si>
  <si>
    <t>arXiv version of Pan et al. (TACL 2024, record 3)</t>
  </si>
  <si>
    <t>W4385681611</t>
  </si>
  <si>
    <t>https://doi.org/10.48550/arxiv.2308.03188</t>
  </si>
  <si>
    <t>A Systematic Literature Review of Hallucinations in Large Language Models</t>
  </si>
  <si>
    <t>Christian Woesle</t>
  </si>
  <si>
    <t>IEEE Access 13</t>
  </si>
  <si>
    <t>W4413394768</t>
  </si>
  <si>
    <t>https://doi.org/10.1109/access.2025.3601206</t>
  </si>
  <si>
    <t>Citation-Enhanced Generation for LLM-based Chatbots</t>
  </si>
  <si>
    <t>Weitao Li</t>
  </si>
  <si>
    <t>Annual Meeting of the Association for Computational Linguistics (ACL)</t>
  </si>
  <si>
    <t>Off-topic: citation generation for chatbots</t>
  </si>
  <si>
    <t>W4402671914</t>
  </si>
  <si>
    <t>https://doi.org/10.18653/v1/2024.acl-long.79</t>
  </si>
  <si>
    <t>Integrating artificial intelligence into scientific writing: a narrative review for clinical and surgical researchers</t>
  </si>
  <si>
    <t>Süleyman Utku Çelik</t>
  </si>
  <si>
    <t>The American Journal of Surgery</t>
  </si>
  <si>
    <t>Domain-specific application outside finance: scientific writing in surgery</t>
  </si>
  <si>
    <t>W4415020385</t>
  </si>
  <si>
    <t>https://doi.org/10.1016/j.amjsurg.2025.116657</t>
  </si>
  <si>
    <t>The role of large language models in improving the readability of orthopaedic spine patient educational material</t>
  </si>
  <si>
    <t>Melissa R. Romoff</t>
  </si>
  <si>
    <t>Journal of Orthopaedic Surgery and Research</t>
  </si>
  <si>
    <t>Domain-specific application outside finance: patient education</t>
  </si>
  <si>
    <t>W4410769187</t>
  </si>
  <si>
    <t>https://doi.org/10.1186/s13018-025-05955-1</t>
  </si>
  <si>
    <t>From Single to Multi: How LLMs Hallucinate in Multi-Document Summarization</t>
  </si>
  <si>
    <t>Catarina Belém</t>
  </si>
  <si>
    <t>Findings of the Association for Computational Linguistics: NAACL</t>
  </si>
  <si>
    <t>Off-topic: analysis of hallucination, not correction</t>
  </si>
  <si>
    <t>W4411120009</t>
  </si>
  <si>
    <t>https://doi.org/10.18653/v1/2025.findings-naacl.293</t>
  </si>
  <si>
    <t>Chain of Natural Language Inference for Reducing Large Language Model Ungrounded Hallucinations</t>
  </si>
  <si>
    <t>Deren Lei</t>
  </si>
  <si>
    <t>Not peer-reviewed</t>
  </si>
  <si>
    <t>arXiv preprint (2023); no peer-reviewed version found</t>
  </si>
  <si>
    <t>W4387559042</t>
  </si>
  <si>
    <t>https://doi.org/10.48550/arxiv.2310.03951</t>
  </si>
  <si>
    <t>Writing for Pediatric Critical Care Medicine: Engaging With Citations to References in the Chatbot Generative Pre-Trained Transformer Era</t>
  </si>
  <si>
    <t>Robert Charles Tasker</t>
  </si>
  <si>
    <t>Pediatric Critical Care Medicine</t>
  </si>
  <si>
    <t>Domain-specific application outside finance: medical writing</t>
  </si>
  <si>
    <t>W4387301014</t>
  </si>
  <si>
    <t>https://doi.org/10.1097/pcc.0000000000003356</t>
  </si>
  <si>
    <t>Factual Error Correction for Abstractive Summaries Using Entity Retrieval</t>
  </si>
  <si>
    <t>Hwanhee Lee</t>
  </si>
  <si>
    <t>GEM Workshop 2022 (EMNLP)</t>
  </si>
  <si>
    <t>OpenAlex: M2-01, M2-02</t>
  </si>
  <si>
    <t>W4385573357</t>
  </si>
  <si>
    <t>https://doi.org/10.18653/v1/2022.gem-1.41</t>
  </si>
  <si>
    <t>Debiasing Multimodal Large Language Models via Penalization of Language Priors</t>
  </si>
  <si>
    <t>Yifan Zhang</t>
  </si>
  <si>
    <t>ACM International Conference on Multimedia (ACM MM)</t>
  </si>
  <si>
    <t>Non-text modality: multimodal models</t>
  </si>
  <si>
    <t>W4415538402</t>
  </si>
  <si>
    <t>https://doi.org/10.1145/3746027.3755364</t>
  </si>
  <si>
    <t>Augmenting Large Language Models with Static Code Analysis for Automated Code Quality Improvements</t>
  </si>
  <si>
    <t>Seyed Moein Abtahi</t>
  </si>
  <si>
    <t>Conference-paper</t>
  </si>
  <si>
    <t>Program or SQL generation and repair, not answer repair</t>
  </si>
  <si>
    <t>W4411950757</t>
  </si>
  <si>
    <t>https://doi.org/10.1109/forge66646.2025.00017</t>
  </si>
  <si>
    <t>CAA-X V3.1 Intention is All You Need: A Manifesto for Goal-Driven AI — Revised and Expanded Edition</t>
  </si>
  <si>
    <t>Qi LU</t>
  </si>
  <si>
    <t>Zenodo</t>
  </si>
  <si>
    <t>Not a research study: manifesto on Zenodo</t>
  </si>
  <si>
    <t>W7201888943</t>
  </si>
  <si>
    <t>https://doi.org/10.5281/zenodo.21836501</t>
  </si>
  <si>
    <t>TITLE: Intelligent Intelligence Class II (II-II): A New Computing Type Unitary Anchor Bound Cognition System — Technical Abstract of USPTO Non-Provisional Utility Patent Application 19/710,080, Filed June 16, 2026 — Linked Priority via Provisional 64/077,191 (May 28, 2026) — Operating Across the Compressed Memory Manifold (CMM) Substrate Covered by USPTO Non-Provisional 19/700,381 — Two-Way Utility Patent Coverage Locked — Green Recursive Utility Service LLC</t>
  </si>
  <si>
    <t>Green Recursive Utility Service LLC</t>
  </si>
  <si>
    <t>Not a research study: patent abstract on Zenodo</t>
  </si>
  <si>
    <t>W7165007089</t>
  </si>
  <si>
    <t>https://doi.org/10.5281/zenodo.20732333</t>
  </si>
  <si>
    <t>Transcription Accuracy of Automatic Speech Recognition for Orthodontic Clinical Records</t>
  </si>
  <si>
    <t>Ruairí O’Kane</t>
  </si>
  <si>
    <t>Journal of Dental Research</t>
  </si>
  <si>
    <t>Domain-specific application outside finance: speech recognition in dentistry</t>
  </si>
  <si>
    <t>W4415793056</t>
  </si>
  <si>
    <t>https://doi.org/10.1177/00220345251382452</t>
  </si>
  <si>
    <t>CooKie: commonsense knowledge-guided mixture-of-experts framework for fine-grained visual question answering</t>
  </si>
  <si>
    <t>Chao Wang</t>
  </si>
  <si>
    <t>Information Sciences</t>
  </si>
  <si>
    <t>Non-text modality: visual question answering</t>
  </si>
  <si>
    <t>W4405047214</t>
  </si>
  <si>
    <t>https://doi.org/10.1016/j.ins.2024.121742</t>
  </si>
  <si>
    <t>Unlocking the Capabilities of Large Language Models for Accelerating Drug Development</t>
  </si>
  <si>
    <t>Wes Anderson</t>
  </si>
  <si>
    <t>Clinical Pharmacology &amp; Therapeutics</t>
  </si>
  <si>
    <t>Domain-specific application outside finance: drug development</t>
  </si>
  <si>
    <t>W4395051554</t>
  </si>
  <si>
    <t>https://doi.org/10.1002/cpt.3279</t>
  </si>
  <si>
    <t>Adaptive heterogeneous multi-agent debate for enhanced educational and factual reasoning in large language models</t>
  </si>
  <si>
    <t>Yan Zhou</t>
  </si>
  <si>
    <t>J. King Saud Univ. Comput. Inf. Sci. 37(10)</t>
  </si>
  <si>
    <t>W4416571241</t>
  </si>
  <si>
    <t>https://doi.org/10.1007/s44443-025-00353-3</t>
  </si>
  <si>
    <t>PURR: Efficiently Editing Language Model Hallucinations by Denoising Language Model Corruptions</t>
  </si>
  <si>
    <t>Anthony Chen</t>
  </si>
  <si>
    <t>W4378465094</t>
  </si>
  <si>
    <t>https://doi.org/10.48550/arxiv.2305.14908</t>
  </si>
  <si>
    <t>Factual Error Correction for Abstractive Summarization Models</t>
  </si>
  <si>
    <t>Meng Cao</t>
  </si>
  <si>
    <t>EMNLP 2020 (Main)</t>
  </si>
  <si>
    <t>OpenAlex: M2-02</t>
  </si>
  <si>
    <t>W3102645206</t>
  </si>
  <si>
    <t>https://doi.org/10.18653/v1/2020.emnlp-main.506</t>
  </si>
  <si>
    <t>Evidence-based Factual Error Correction</t>
  </si>
  <si>
    <t>James Peter Thorne</t>
  </si>
  <si>
    <t>ACL-IJCNLP 2021 (Long Papers)</t>
  </si>
  <si>
    <t>W3169467202</t>
  </si>
  <si>
    <t>https://doi.org/10.18653/v1/2021.acl-long.256</t>
  </si>
  <si>
    <t>Zero-shot Faithful Factual Error Correction</t>
  </si>
  <si>
    <t>Kung-Hsiang Huang</t>
  </si>
  <si>
    <t>ACL 2023 (Long Papers)</t>
  </si>
  <si>
    <t>W4385569922</t>
  </si>
  <si>
    <t>https://doi.org/10.18653/v1/2023.acl-long.311</t>
  </si>
  <si>
    <t>Do LVLMs Understand Charts? Analyzing and Correcting Factual Errors in Chart Captioning</t>
  </si>
  <si>
    <t>Non-text modality: chart captioning</t>
  </si>
  <si>
    <t>W4402684237</t>
  </si>
  <si>
    <t>https://doi.org/10.18653/v1/2024.findings-acl.41</t>
  </si>
  <si>
    <t>arXiv version of Cao et al. (EMNLP 2020, record 26)</t>
  </si>
  <si>
    <t>W3093032106</t>
  </si>
  <si>
    <t>https://doi.org/10.48550/arxiv.2010.08712</t>
  </si>
  <si>
    <t>Converge to the Truth: Factual Error Correction via Iterative Constrained Editing</t>
  </si>
  <si>
    <t>Jiangjie Chen</t>
  </si>
  <si>
    <t>AAAI 2023</t>
  </si>
  <si>
    <t>W4382202633</t>
  </si>
  <si>
    <t>https://doi.org/10.1609/aaai.v37i11.26485</t>
  </si>
  <si>
    <t>Improving Factual Error Correction by Learning to Inject Factual Errors</t>
  </si>
  <si>
    <t>Xingwei He</t>
  </si>
  <si>
    <t>AAAI 2024</t>
  </si>
  <si>
    <t>W4393157089</t>
  </si>
  <si>
    <t>https://doi.org/10.1609/aaai.v38i16.29778</t>
  </si>
  <si>
    <t>Reference Matters: Benchmarking Factual Error Correction for Dialogue Summarization with Fine-grained Evaluation Framework</t>
  </si>
  <si>
    <t>Mingqi Gao</t>
  </si>
  <si>
    <t>W4385571364</t>
  </si>
  <si>
    <t>https://doi.org/10.18653/v1/2023.acl-long.779</t>
  </si>
  <si>
    <t>Improving Factual Error Correction for Abstractive Summarization via Data Distillation and Conditional-Generation Cloze</t>
  </si>
  <si>
    <t>Yingqi Zhu</t>
  </si>
  <si>
    <t>IEEE/ACM TASLP 33</t>
  </si>
  <si>
    <t>W4410854072</t>
  </si>
  <si>
    <t>https://doi.org/10.1109/taslpro.2025.3567744</t>
  </si>
  <si>
    <t>Correcting Factual Errors in LLMs via Inference Paths Based on Knowledge Graph</t>
  </si>
  <si>
    <t>Weiqi Ye</t>
  </si>
  <si>
    <t>Free full text unavailable</t>
  </si>
  <si>
    <t>IEEE subscription paper; no author version found on arXiv</t>
  </si>
  <si>
    <t>W4404295573</t>
  </si>
  <si>
    <t>https://doi.org/10.1109/clnlp64123.2024.00011</t>
  </si>
  <si>
    <t>PivotFEC: Enhancing Few-shot Factual Error Correction with a Pivot Task Approach using Large Language Models</t>
  </si>
  <si>
    <t>Findings of EMNLP 2023</t>
  </si>
  <si>
    <t>W4389518928</t>
  </si>
  <si>
    <t>https://doi.org/10.18653/v1/2023.findings-emnlp.667</t>
  </si>
  <si>
    <t>ViFEC: Evidence-Guided Distantly Supervised Learning for Vietnamese Factual Error Correction</t>
  </si>
  <si>
    <t>Phong Thanh Vu</t>
  </si>
  <si>
    <t>International Conference on Multimedia Analysis and Pattern Recognition (MAPR)</t>
  </si>
  <si>
    <t>W7213415557</t>
  </si>
  <si>
    <t>https://doi.org/10.1109/mapr72750.2026.11685743</t>
  </si>
  <si>
    <t>CECOR: Correction-oriented synthetic data construction for factual error correction</t>
  </si>
  <si>
    <t>Zhu, Lei</t>
  </si>
  <si>
    <t>arXiv preprint (2026)</t>
  </si>
  <si>
    <t>W7160325936</t>
  </si>
  <si>
    <t>https://doi.org/10.48550/arxiv.2605.02277</t>
  </si>
  <si>
    <t>CLFEC: A New Task for Unified Linguistic and Factual Error Correction in paragraph-level Chinese Professional Writing</t>
  </si>
  <si>
    <t>Jian Kai</t>
  </si>
  <si>
    <t>W7133198067</t>
  </si>
  <si>
    <t>https://doi.org/10.48550/arxiv.2602.23845</t>
  </si>
  <si>
    <t>Part-of-Speech Prompting for Chunking-Based Factual Error Correction</t>
  </si>
  <si>
    <t>Zhenyun Deng</t>
  </si>
  <si>
    <t>International Conference on Digital Society and Intelligent Systems (DSInS)</t>
  </si>
  <si>
    <t>W7124158765</t>
  </si>
  <si>
    <t>https://doi.org/10.1109/dsins68311.2025.11329866</t>
  </si>
  <si>
    <t>Improving Factual Error Correction for Abstractive Summarization via Data Distillation and Conditional-generation Cloze</t>
  </si>
  <si>
    <t>Yiyang Li</t>
  </si>
  <si>
    <t>Earlier arXiv preprint of the TASLP article (record 34); used as that article's free route</t>
  </si>
  <si>
    <t>W4402554246</t>
  </si>
  <si>
    <t>https://doi.org/10.48550/arxiv.2402.08581</t>
  </si>
  <si>
    <t>arXiv version of FERRANTI (ACL 2023, record 33)</t>
  </si>
  <si>
    <t>W4380136521</t>
  </si>
  <si>
    <t>https://doi.org/10.48550/arxiv.2306.05119</t>
  </si>
  <si>
    <t>SciFix: Outperforming GPT3 on Scientific Factual Error Correction</t>
  </si>
  <si>
    <t>Dhananjay Ashok</t>
  </si>
  <si>
    <t>Domain-specific: scientific and COVID-19 claims</t>
  </si>
  <si>
    <t>W4378473848</t>
  </si>
  <si>
    <t>https://doi.org/10.48550/arxiv.2305.14707</t>
  </si>
  <si>
    <t>Factual Error Correction in Summarization with Retriever-Reader Pipeline</t>
  </si>
  <si>
    <t>Weiwei Li</t>
  </si>
  <si>
    <t>Lecture notes in computer science</t>
  </si>
  <si>
    <t>Springer LNCS chapter; no author version found on arXiv</t>
  </si>
  <si>
    <t>W4365420804</t>
  </si>
  <si>
    <t>https://doi.org/10.1007/978-3-031-30105-6_33</t>
  </si>
  <si>
    <t>The student becomes the master: Outperforming GPT3 on Scientific Factual Error Correction</t>
  </si>
  <si>
    <t>W4389519836</t>
  </si>
  <si>
    <t>https://doi.org/10.18653/v1/2023.findings-emnlp.451</t>
  </si>
  <si>
    <t>Factual Error Correction of Claims.</t>
  </si>
  <si>
    <t>Article</t>
  </si>
  <si>
    <t>Earlier preprint title of Thorne and Vlachos (ACL 2021, record 27)</t>
  </si>
  <si>
    <t>W3118858369</t>
  </si>
  <si>
    <t>Benchmarking large language models’ performances for myopia care: a comparative analysis of ChatGPT-3.5, ChatGPT-4.0, and Google Bard</t>
  </si>
  <si>
    <t>Zhi Wei Lim</t>
  </si>
  <si>
    <t>EBioMedicine</t>
  </si>
  <si>
    <t>OpenAlex: M2-03</t>
  </si>
  <si>
    <t>Domain-specific application outside finance: eye care</t>
  </si>
  <si>
    <t>W4386110374</t>
  </si>
  <si>
    <t>https://doi.org/10.1016/j.ebiom.2023.104770</t>
  </si>
  <si>
    <t>DIN-SQL: Decomposed In-Context Learning of Text-to-SQL with Self-Correction</t>
  </si>
  <si>
    <t>Mohammadreza Pourreza</t>
  </si>
  <si>
    <t>neural information processing systems</t>
  </si>
  <si>
    <t>W7133205963</t>
  </si>
  <si>
    <t>https://doi.org/10.52202/075280-1577</t>
  </si>
  <si>
    <t>When Can LLMs Actually Correct Their Own Mistakes? A Critical Survey of Self-Correction of LLMs</t>
  </si>
  <si>
    <t>Ryo Kamoi</t>
  </si>
  <si>
    <t>W4404131920</t>
  </si>
  <si>
    <t>https://doi.org/10.1162/tacl_a_00713</t>
  </si>
  <si>
    <t>Domain-specific large language models for fault diagnosis of heating, ventilation, and air conditioning systems by labeled-data-supervised fine-tuning</t>
  </si>
  <si>
    <t>Jian Zhang</t>
  </si>
  <si>
    <t>Applied Energy</t>
  </si>
  <si>
    <t>Domain-specific application outside finance: HVAC fault diagnosis</t>
  </si>
  <si>
    <t>W4402277737</t>
  </si>
  <si>
    <t>https://doi.org/10.1016/j.apenergy.2024.124378</t>
  </si>
  <si>
    <t>The Capacity for Moral Self-Correction in Large Language Models</t>
  </si>
  <si>
    <t>Deep Ganguli</t>
  </si>
  <si>
    <t>Off-topic: moral self-correction, not factual errors</t>
  </si>
  <si>
    <t>W4321162379</t>
  </si>
  <si>
    <t>https://doi.org/10.48550/arxiv.2302.07459</t>
  </si>
  <si>
    <t>Large Language Models Cannot Self-Correct Reasoning Yet</t>
  </si>
  <si>
    <t>Jie Huang</t>
  </si>
  <si>
    <t>ICLR 2024</t>
  </si>
  <si>
    <t>W4387355948</t>
  </si>
  <si>
    <t>https://doi.org/10.48550/arxiv.2310.01798</t>
  </si>
  <si>
    <t>Self-Correcting LLM-Controlled Diffusion Models</t>
  </si>
  <si>
    <t>Tsung-Han Wu</t>
  </si>
  <si>
    <t>IEEE Computer Society Conference on Computer Vision and Pattern Recognition/Proceedings - IEEE Computer Society Conference on Computer Vision and Pattern Recognition/Proceedings</t>
  </si>
  <si>
    <t>Non-text modality: image generation</t>
  </si>
  <si>
    <t>W4402753507</t>
  </si>
  <si>
    <t>https://doi.org/10.1109/cvpr52733.2024.00605</t>
  </si>
  <si>
    <t>Leveraging large language models for data analysis automation</t>
  </si>
  <si>
    <t>Jacqueline A. Jansen</t>
  </si>
  <si>
    <t>PLoS ONE</t>
  </si>
  <si>
    <t>Off-topic: data analysis automation</t>
  </si>
  <si>
    <t>W4407832526</t>
  </si>
  <si>
    <t>https://doi.org/10.1371/journal.pone.0317084</t>
  </si>
  <si>
    <t>LLMs cannot find reasoning errors, but can correct them given the error location</t>
  </si>
  <si>
    <t>Gladys Tyen</t>
  </si>
  <si>
    <t>Findings of ACL 2024</t>
  </si>
  <si>
    <t>W4402670356</t>
  </si>
  <si>
    <t>https://doi.org/10.18653/v1/2024.findings-acl.826</t>
  </si>
  <si>
    <t>Mitigating Entity-Level Hallucination in Large Language Models</t>
  </si>
  <si>
    <t>Weihang Su</t>
  </si>
  <si>
    <t>ACM SIGIR-AP 2024</t>
  </si>
  <si>
    <t>W4405144021</t>
  </si>
  <si>
    <t>https://doi.org/10.1145/3673791.3698403</t>
  </si>
  <si>
    <t>Keeping Medical AI Healthy and Trustworthy: A Review of Detection and Correction Methods for System Degradation</t>
  </si>
  <si>
    <t>Hao Guan</t>
  </si>
  <si>
    <t>IEEE Transactions on Biomedical Engineering</t>
  </si>
  <si>
    <t>Domain-specific application outside finance: medical AI review</t>
  </si>
  <si>
    <t>W4417201877</t>
  </si>
  <si>
    <t>https://doi.org/10.1109/tbme.2025.3642706</t>
  </si>
  <si>
    <t>Comparative analysis of the performance of the large language models DeepSeek-V3, DeepSeek-R1, open AI-O3 mini and open AI-O3 mini high in urology</t>
  </si>
  <si>
    <t>Zijun Yan</t>
  </si>
  <si>
    <t>World Journal of Urology</t>
  </si>
  <si>
    <t>Domain-specific application outside finance: urology</t>
  </si>
  <si>
    <t>W4412088642</t>
  </si>
  <si>
    <t>https://doi.org/10.1007/s00345-025-05757-4</t>
  </si>
  <si>
    <t>MAGIC: Generating Self-Correction Guideline for In-Context Text-to-SQL</t>
  </si>
  <si>
    <t>Arian Askari</t>
  </si>
  <si>
    <t>Proceedings of the AAAI Conference on Artificial Intelligence</t>
  </si>
  <si>
    <t>W4409362830</t>
  </si>
  <si>
    <t>https://doi.org/10.1609/aaai.v39i22.34511</t>
  </si>
  <si>
    <t>CorrectBench: Automatic Testbench Generation with Functional Self-Correction using LLMs for HDL Design</t>
  </si>
  <si>
    <t>Ruidi Qiu</t>
  </si>
  <si>
    <t>Program or SQL generation and repair, not answer repair (hardware design)</t>
  </si>
  <si>
    <t>W4410584101</t>
  </si>
  <si>
    <t>https://doi.org/10.23919/date64628.2025.10992873</t>
  </si>
  <si>
    <t>Assessment of Large Language Models in Cataract Care Information Provision: A Quantitative Comparison</t>
  </si>
  <si>
    <t>Zichang Su</t>
  </si>
  <si>
    <t>Ophthalmology and Therapy</t>
  </si>
  <si>
    <t>W4404172462</t>
  </si>
  <si>
    <t>https://doi.org/10.1007/s40123-024-01066-y</t>
  </si>
  <si>
    <t>GenArtist: Multimodal LLM as an Agent for Unified Image Generation and Editing</t>
  </si>
  <si>
    <t>Zhenyu Wang</t>
  </si>
  <si>
    <t>W4415800703</t>
  </si>
  <si>
    <t>https://doi.org/10.52202/079017-4077</t>
  </si>
  <si>
    <t>Towards evidence-aware retrieval-augmented generation via self-corrective chain-of-thought</t>
  </si>
  <si>
    <t>Youlan Li</t>
  </si>
  <si>
    <t>Information Processing &amp; Management</t>
  </si>
  <si>
    <t>Elsevier subscription article; no author version found on arXiv</t>
  </si>
  <si>
    <t>W4413962949</t>
  </si>
  <si>
    <t>https://doi.org/10.1016/j.ipm.2025.104369</t>
  </si>
  <si>
    <t>Benchmarking large language models for handwritten text recognition</t>
  </si>
  <si>
    <t>Giorgia Crosilla</t>
  </si>
  <si>
    <t>Journal of Documentation</t>
  </si>
  <si>
    <t>Non-text modality: handwriting recognition</t>
  </si>
  <si>
    <t>W4414311642</t>
  </si>
  <si>
    <t>https://doi.org/10.1108/jd-03-2025-0082</t>
  </si>
  <si>
    <t>Few-Shot Learning With Manifold-Enhanced LLM for Handling Anomalous Perception Inputs in Autonomous Driving</t>
  </si>
  <si>
    <t>Yuntao Zou</t>
  </si>
  <si>
    <t>IEEE Transactions on Intelligent Transportation Systems</t>
  </si>
  <si>
    <t>Off-topic: autonomous driving</t>
  </si>
  <si>
    <t>W4411232161</t>
  </si>
  <si>
    <t>https://doi.org/10.1109/tits.2025.3572404</t>
  </si>
  <si>
    <t>MCQG-SRefine: Multiple Choice Question Generation and Evaluation with Iterative Self-Critique, Correction, and Comparison Feedback</t>
  </si>
  <si>
    <t>Zonghai Yao</t>
  </si>
  <si>
    <t>Conference of the Nations of the Americas Chapter of the Association for Computational Linguistics: Human Language Technologies (NAACL)</t>
  </si>
  <si>
    <t>Off-topic: question generation</t>
  </si>
  <si>
    <t>W4411120128</t>
  </si>
  <si>
    <t>https://doi.org/10.18653/v1/2025.naacl-long.538</t>
  </si>
  <si>
    <t>Large language model agents for biological intelligence across genomics, proteomics, spatial biology, and biomedicine</t>
  </si>
  <si>
    <t>Sajib Acharjee Dip</t>
  </si>
  <si>
    <t>Briefings in Bioinformatics</t>
  </si>
  <si>
    <t>Domain-specific application outside finance: biology</t>
  </si>
  <si>
    <t>W7140434011</t>
  </si>
  <si>
    <t>https://doi.org/10.1093/bib/bbag110</t>
  </si>
  <si>
    <t>Generative artificial intelligence for automated data extraction from unstructured medical text</t>
  </si>
  <si>
    <t>Nam Dao</t>
  </si>
  <si>
    <t>JAMIA Open</t>
  </si>
  <si>
    <t>Domain-specific application outside finance: medical data extraction</t>
  </si>
  <si>
    <t>W4414041124</t>
  </si>
  <si>
    <t>https://doi.org/10.1093/jamiaopen/ooaf097</t>
  </si>
  <si>
    <t>Performance analysis of large language models Chatgpt-4o, OpenAI O1, and OpenAI O3 mini in clinical treatment of pneumonia: a comparative study</t>
  </si>
  <si>
    <t>Zhiwu Lin</t>
  </si>
  <si>
    <t>Clinical and Experimental Medicine</t>
  </si>
  <si>
    <t>W4411468342</t>
  </si>
  <si>
    <t>https://doi.org/10.1007/s10238-025-01743-7</t>
  </si>
  <si>
    <t>PAL: Program-aided Language Models</t>
  </si>
  <si>
    <t>Luyu Gao</t>
  </si>
  <si>
    <t>ICML 2023 (PMLR 202)</t>
  </si>
  <si>
    <t>OpenAlex: M2-04</t>
  </si>
  <si>
    <t>Record is the arXiv version; the peer-reviewed version was assessed</t>
  </si>
  <si>
    <t>W4309591663</t>
  </si>
  <si>
    <t>https://doi.org/10.48550/arxiv.2211.10435</t>
  </si>
  <si>
    <t>Program of Thoughts Prompting: Disentangling Computation from Reasoning for Numerical Reasoning Tasks</t>
  </si>
  <si>
    <t>Wenhu Chen</t>
  </si>
  <si>
    <t>TMLR (10/2023)</t>
  </si>
  <si>
    <t>W4309953112</t>
  </si>
  <si>
    <t>https://doi.org/10.48550/arxiv.2211.12588</t>
  </si>
  <si>
    <t>Specification and Automated Analysis of Inter-Parameter Dependencies in Web APIs</t>
  </si>
  <si>
    <t>Alberto Martin-Lopez</t>
  </si>
  <si>
    <t>IEEE Transactions on Services Computing</t>
  </si>
  <si>
    <t>Off-topic: web APIs</t>
  </si>
  <si>
    <t>W3023591809</t>
  </si>
  <si>
    <t>https://doi.org/10.1109/tsc.2021.3050610</t>
  </si>
  <si>
    <t>Drowzee: Metamorphic Testing for Fact-Conflicting Hallucination Detection in Large Language Models</t>
  </si>
  <si>
    <t>Ningke Li</t>
  </si>
  <si>
    <t>Proceedings of the ACM on Programming Languages</t>
  </si>
  <si>
    <t>Off-topic: hallucination detection by testing, not repair</t>
  </si>
  <si>
    <t>W4403223051</t>
  </si>
  <si>
    <t>https://doi.org/10.1145/3689776</t>
  </si>
  <si>
    <t>Are LLMs Capable of Data-based Statistical and Causal Reasoning? Benchmarking Advanced Quantitative Reasoning with Data</t>
  </si>
  <si>
    <t>Xiao Liu</t>
  </si>
  <si>
    <t>W4402670585</t>
  </si>
  <si>
    <t>https://doi.org/10.18653/v1/2024.findings-acl.548</t>
  </si>
  <si>
    <t>CREATOR: Tool Creation for Disentangling Abstract and Concrete Reasoning of Large Language Models</t>
  </si>
  <si>
    <t>Cheng Qian</t>
  </si>
  <si>
    <t>W4389520009</t>
  </si>
  <si>
    <t>https://doi.org/10.18653/v1/2023.findings-emnlp.462</t>
  </si>
  <si>
    <t>Plan-and-Solve Prompting: Improving Zero-Shot Chain-of-Thought Reasoning by Large Language Models</t>
  </si>
  <si>
    <t>Lei Wang</t>
  </si>
  <si>
    <t>Off-topic: chain-of-thought prompting without programs</t>
  </si>
  <si>
    <t>W4375957723</t>
  </si>
  <si>
    <t>https://doi.org/10.48550/arxiv.2305.04091</t>
  </si>
  <si>
    <t>Development and Effects of Leukemia Nursing Simulation Based on Clinical Reasoning</t>
  </si>
  <si>
    <t>Aeri Jang</t>
  </si>
  <si>
    <t>International Journal of Environmental Research and Public Health</t>
  </si>
  <si>
    <t>Domain-specific application outside finance: nursing education</t>
  </si>
  <si>
    <t>W3152916018</t>
  </si>
  <si>
    <t>https://doi.org/10.3390/ijerph18084190</t>
  </si>
  <si>
    <t>Distilling mathematical reasoning capabilities into Small Language Models</t>
  </si>
  <si>
    <t>Xunyu Zhu</t>
  </si>
  <si>
    <t>Neural Networks 179</t>
  </si>
  <si>
    <t>W4401263076</t>
  </si>
  <si>
    <t>https://doi.org/10.1016/j.neunet.2024.106594</t>
  </si>
  <si>
    <t>Solving Math Word Problems by Combining Language Models With Symbolic Solvers</t>
  </si>
  <si>
    <t>Joy He-Yueya</t>
  </si>
  <si>
    <t>Non-archival NeurIPS 2023 MATH-AI workshop paper; no archival version found</t>
  </si>
  <si>
    <t>W4366460267</t>
  </si>
  <si>
    <t>https://doi.org/10.48550/arxiv.2304.09102</t>
  </si>
  <si>
    <t>Cumulative Reasoning with Large Language Models</t>
  </si>
  <si>
    <t>Off-topic: reasoning framework without programs</t>
  </si>
  <si>
    <t>W4385774107</t>
  </si>
  <si>
    <t>https://doi.org/10.48550/arxiv.2308.04371</t>
  </si>
  <si>
    <t>SatLM: Satisfiability-Aided Language Models Using Declarative Prompting</t>
  </si>
  <si>
    <t>Xi Ye</t>
  </si>
  <si>
    <t>NeurIPS 2023</t>
  </si>
  <si>
    <t>W7133237838</t>
  </si>
  <si>
    <t>https://doi.org/10.52202/075280-1974</t>
  </si>
  <si>
    <t>Automatic Model Selection with Large Language Models for Reasoning</t>
  </si>
  <si>
    <t>James Zhao</t>
  </si>
  <si>
    <t>W4389520003</t>
  </si>
  <si>
    <t>https://doi.org/10.18653/v1/2023.findings-emnlp.55</t>
  </si>
  <si>
    <t>FinanceMATH: Knowledge-Intensive Math Reasoning in Finance Domains</t>
  </si>
  <si>
    <t>Yilun Zhao</t>
  </si>
  <si>
    <t>ACL 2024 (Long Papers)</t>
  </si>
  <si>
    <t>W4402670994</t>
  </si>
  <si>
    <t>https://doi.org/10.18653/v1/2024.acl-long.693</t>
  </si>
  <si>
    <t>Plan, Verify and Switch: Integrated Reasoning with Diverse X-of-Thoughts</t>
  </si>
  <si>
    <t>Tengxiao Liu</t>
  </si>
  <si>
    <t>EMNLP 2023 (Main)</t>
  </si>
  <si>
    <t>W4389519465</t>
  </si>
  <si>
    <t>https://doi.org/10.18653/v1/2023.emnlp-main.169</t>
  </si>
  <si>
    <t>Chart-based Reasoning: Transferring Capabilities from LLMs to VLMs</t>
  </si>
  <si>
    <t>Victor Cărbune</t>
  </si>
  <si>
    <t>Non-text modality: charts</t>
  </si>
  <si>
    <t>W4401043400</t>
  </si>
  <si>
    <t>https://doi.org/10.18653/v1/2024.findings-naacl.62</t>
  </si>
  <si>
    <t>When Do Program-of-Thought Works for Reasoning?</t>
  </si>
  <si>
    <t>Zhen Bi</t>
  </si>
  <si>
    <t>W4393160048</t>
  </si>
  <si>
    <t>https://doi.org/10.1609/aaai.v38i16.29721</t>
  </si>
  <si>
    <t>PaD: Program-aided Distillation Can Teach Small Models Reasoning Better than Chain-of-thought Fine-tuning</t>
  </si>
  <si>
    <t>Xuekai Zhu</t>
  </si>
  <si>
    <t>NAACL-HLT 2024 (Long Papers)</t>
  </si>
  <si>
    <t>W4401042410</t>
  </si>
  <si>
    <t>https://doi.org/10.18653/v1/2024.naacl-long.142</t>
  </si>
  <si>
    <t>Reason-and-Execute Prompting: Enhancing Multi-Modal Large Language Models for Solving Geometry Questions</t>
  </si>
  <si>
    <t>Xiuliang Duan</t>
  </si>
  <si>
    <t>Non-text modality: geometry diagrams</t>
  </si>
  <si>
    <t>W4403780840</t>
  </si>
  <si>
    <t>https://doi.org/10.1145/3664647.3681484</t>
  </si>
  <si>
    <t>Unlocking Temporal Question Answering for Large Language Models with Tailor-Made Reasoning Logic</t>
  </si>
  <si>
    <t>Xingxuan Li</t>
  </si>
  <si>
    <t>Off-topic: temporal reasoning</t>
  </si>
  <si>
    <t>W4378465237</t>
  </si>
  <si>
    <t>https://doi.org/10.48550/arxiv.2305.15014</t>
  </si>
  <si>
    <t>arXiv version of PaD (NAACL 2024, record 87)</t>
  </si>
  <si>
    <t>W4378506904</t>
  </si>
  <si>
    <t>https://doi.org/10.48550/arxiv.2305.13888</t>
  </si>
  <si>
    <t>Pelican: Correcting Hallucination in Vision-LLMs via Claim Decomposition and Program of Thought Verification</t>
  </si>
  <si>
    <t>Pritish Sahu</t>
  </si>
  <si>
    <t>Conference on Empirical Methods in Natural Language Processing (EMNLP)</t>
  </si>
  <si>
    <t>W4404783445</t>
  </si>
  <si>
    <t>https://doi.org/10.18653/v1/2024.emnlp-main.470</t>
  </si>
  <si>
    <t>Improving Human Verification of LLM Reasoning through Interactive Explanation Interfaces</t>
  </si>
  <si>
    <t>Runtao Zhou</t>
  </si>
  <si>
    <t>ACM International Conference on Intelligent User Interfaces (IUI)</t>
  </si>
  <si>
    <t>Off-topic: human verification interface</t>
  </si>
  <si>
    <t>W7133356125</t>
  </si>
  <si>
    <t>https://doi.org/10.1145/3742413.3789134</t>
  </si>
  <si>
    <t>Automatic contrastive chain-of-thought prompting: Learning from reasoning errors of large language models</t>
  </si>
  <si>
    <t>Xi Li</t>
  </si>
  <si>
    <t>Expert Systems with Applications</t>
  </si>
  <si>
    <t>W7116922058</t>
  </si>
  <si>
    <t>https://doi.org/10.1016/j.eswa.2025.130919</t>
  </si>
  <si>
    <t>TableZoomer: a collaborative agent framework for large-scale table question answering</t>
  </si>
  <si>
    <t>Sishi Xiong</t>
  </si>
  <si>
    <t>Vicinagearth 2(1)</t>
  </si>
  <si>
    <t>W4415945257</t>
  </si>
  <si>
    <t>https://doi.org/10.1007/s44336-025-00016-x</t>
  </si>
  <si>
    <t>MultiHiertt: Numerical Reasoning over Multi Hierarchical Tabular and Textual Data</t>
  </si>
  <si>
    <t>ACL 2022 (Long Papers)</t>
  </si>
  <si>
    <t>OpenAlex: M2-05</t>
  </si>
  <si>
    <t>W4281656839</t>
  </si>
  <si>
    <t>https://doi.org/10.18653/v1/2022.acl-long.454</t>
  </si>
  <si>
    <t>PACIFIC: Towards Proactive Conversational Question Answering over Tabular and Textual Data in Finance</t>
  </si>
  <si>
    <t>Yang Deng</t>
  </si>
  <si>
    <t>W4385573361</t>
  </si>
  <si>
    <t>https://doi.org/10.18653/v1/2022.emnlp-main.469</t>
  </si>
  <si>
    <t>Exploring the Numerical Reasoning Capabilities of Language Models: A Comprehensive Analysis on Tabular Data</t>
  </si>
  <si>
    <t>Mubashara Akhtar</t>
  </si>
  <si>
    <t>W4389518637</t>
  </si>
  <si>
    <t>https://doi.org/10.18653/v1/2023.findings-emnlp.1028</t>
  </si>
  <si>
    <t>FinLLMs: A Framework for Financial Reasoning Dataset Generation With Large Language Models</t>
  </si>
  <si>
    <t>Ziqiang Yuan</t>
  </si>
  <si>
    <t>IEEE Transactions on Big Data 11(5)</t>
  </si>
  <si>
    <t>W4405907414</t>
  </si>
  <si>
    <t>https://doi.org/10.1109/tbdata.2024.3524083</t>
  </si>
  <si>
    <t>Enhancing Financial Question Answering with a Multi-Agent Reflection Framework</t>
  </si>
  <si>
    <t>Sorouralsadat Fatemi</t>
  </si>
  <si>
    <t>ACM ICAIF 2024</t>
  </si>
  <si>
    <t>W4404341031</t>
  </si>
  <si>
    <t>https://doi.org/10.1145/3677052.3698686</t>
  </si>
  <si>
    <t>SoarGraph: Numerical Reasoning over Financial Table-Text Data via Semantic-Oriented Hierarchical Graphs</t>
  </si>
  <si>
    <t>Fengbin Zhu</t>
  </si>
  <si>
    <t>WWW 2023 Companion</t>
  </si>
  <si>
    <t>W4367310354</t>
  </si>
  <si>
    <t>https://doi.org/10.1145/3543873.3587598</t>
  </si>
  <si>
    <t>TAT-QA: A Question Answering Benchmark on a Hybrid of Tabular and Textual Content in Finance</t>
  </si>
  <si>
    <t>W3162945537</t>
  </si>
  <si>
    <t>https://doi.org/10.48550/arxiv.2105.07624</t>
  </si>
  <si>
    <t>Enhancing Financial Table and Text Question Answering with Tabular Graph and Numerical Reasoning</t>
  </si>
  <si>
    <t>Rungsiman Nararatwong</t>
  </si>
  <si>
    <t>AACL-IJCNLP 2022</t>
  </si>
  <si>
    <t>W4404784051</t>
  </si>
  <si>
    <t>https://doi.org/10.18653/v1/2022.aacl-main.72</t>
  </si>
  <si>
    <t>Multi-View Graph Representation Learning for Answering Hybrid Numerical Reasoning Question</t>
  </si>
  <si>
    <t>Yifan Wei</t>
  </si>
  <si>
    <t>W4375869991</t>
  </si>
  <si>
    <t>https://doi.org/10.48550/arxiv.2305.03458</t>
  </si>
  <si>
    <t>Tab-CQA: A Tabular Conversational Question Answering Dataset on Financial Reports</t>
  </si>
  <si>
    <t>Chuang Liu</t>
  </si>
  <si>
    <t>ACL 2023 (Industry Track)</t>
  </si>
  <si>
    <t>W4385571974</t>
  </si>
  <si>
    <t>https://doi.org/10.18653/v1/2023.acl-industry.20</t>
  </si>
  <si>
    <t>Positive-Negative Chain-of-Thought Prompting for Table and Text Financial Question Answering</t>
  </si>
  <si>
    <t>Xingyi Huang</t>
  </si>
  <si>
    <t>International Conference on Cloud Computing, Big Data Application and Software Engineering (CBASE)</t>
  </si>
  <si>
    <t>W7124912983</t>
  </si>
  <si>
    <t>https://doi.org/10.1109/cbase67452.2025.11335438</t>
  </si>
  <si>
    <t>FinTagging: Benchmarking LLMs for Extracting and Structuring Financial Information</t>
  </si>
  <si>
    <t>Yan Wang</t>
  </si>
  <si>
    <t>Off-topic: information extraction (XBRL tagging), not reasoning or repair</t>
  </si>
  <si>
    <t>W4415036142</t>
  </si>
  <si>
    <t>https://doi.org/10.48550/arxiv.2505.20650</t>
  </si>
  <si>
    <t>Enhancing Financial Reasoning in Large Language Models: The Role of Gold Facts</t>
  </si>
  <si>
    <t>Shoutai Zhu</t>
  </si>
  <si>
    <t>IEEE International Conference on Big Data (BigData)</t>
  </si>
  <si>
    <t>W4406458604</t>
  </si>
  <si>
    <t>https://doi.org/10.1109/bigdata62323.2024.10825021</t>
  </si>
  <si>
    <t>Case-Based Reasoning Approach for Solving Financial Question Answering</t>
  </si>
  <si>
    <t>Kim, Yikyung</t>
  </si>
  <si>
    <t>arXiv preprint (2024); no peer-reviewed version found</t>
  </si>
  <si>
    <t>W4398794916</t>
  </si>
  <si>
    <t>https://doi.org/10.48550/arxiv.2405.13044</t>
  </si>
  <si>
    <t>A Novel DeBERTa-based Model for Financial Question Answering Task</t>
  </si>
  <si>
    <t>Yanbo J. Wang</t>
  </si>
  <si>
    <t>arXiv preprint (2022); no venue given</t>
  </si>
  <si>
    <t>W4285483838</t>
  </si>
  <si>
    <t>https://doi.org/10.48550/arxiv.2207.05875</t>
  </si>
  <si>
    <t>FinMath: Injecting a Tree-structured Solver for Question Answering over Financial Reports</t>
  </si>
  <si>
    <t>Chenying Li</t>
  </si>
  <si>
    <t>LREC 2022</t>
  </si>
  <si>
    <t>W7160272270</t>
  </si>
  <si>
    <t>https://doi.org/10.63317/3sn46fpg5rrp</t>
  </si>
  <si>
    <t>From Documents to Reasoning: A Validated Synthetic Data Pipeline and Semantic-Aware Fine-Tuning for Financial Numerical Reasoning</t>
  </si>
  <si>
    <t>Lokendra Birla</t>
  </si>
  <si>
    <t>W7204846388</t>
  </si>
  <si>
    <t>https://doi.org/10.48550/arxiv.2608.27919</t>
  </si>
  <si>
    <t>Gold-Guided Programmatic Distillation for Financial Reasoning over Hybrid Tables and Text</t>
  </si>
  <si>
    <t>Y H Dong</t>
  </si>
  <si>
    <t>W7169512667</t>
  </si>
  <si>
    <t>https://doi.org/10.48550/arxiv.2607.14709</t>
  </si>
  <si>
    <t>MoCA-Agent: A Market-of-Claims Code Agent for Financial and Numerical Reasoning</t>
  </si>
  <si>
    <t>Abdelrahman Abdallah</t>
  </si>
  <si>
    <t>W7164347280</t>
  </si>
  <si>
    <t>https://doi.org/10.48550/arxiv.2606.11537</t>
  </si>
  <si>
    <t>FIND: Toward Multimodal Financial Reasoning and Question Answering for Indic Languages</t>
  </si>
  <si>
    <t>Association for Computational Linguistics 2026</t>
  </si>
  <si>
    <t>Underline Science Inc.</t>
  </si>
  <si>
    <t>Non-text modality: multimodal documents</t>
  </si>
  <si>
    <t>W7168695405</t>
  </si>
  <si>
    <t>https://doi.org/10.48448/18ja-k592</t>
  </si>
  <si>
    <t>LedgerRAG: Faithful Retrieval-Augmented Numerical Reasoning over Financial Filings</t>
  </si>
  <si>
    <t>Nithesh Gudipuri</t>
  </si>
  <si>
    <t>Zenodo preprint (2026)</t>
  </si>
  <si>
    <t>W7163017587</t>
  </si>
  <si>
    <t>https://doi.org/10.5281/zenodo.20481702</t>
  </si>
  <si>
    <t>Knowing When to Ask: Segment-Level Credit Assignment for LLM Tool Use</t>
  </si>
  <si>
    <t>Abhijit Kumar</t>
  </si>
  <si>
    <t>Off-topic: reinforcement learning for tool use</t>
  </si>
  <si>
    <t>W7162626240</t>
  </si>
  <si>
    <t>https://doi.org/10.48550/arxiv.2605.27788</t>
  </si>
  <si>
    <t>Long-Context and Multimodal Language Models for Financial Forecasting</t>
  </si>
  <si>
    <t>Ross Koval</t>
  </si>
  <si>
    <t>eScholarship (California Digital Library)</t>
  </si>
  <si>
    <t>Not a research study: dissertation on forecasting</t>
  </si>
  <si>
    <t>W7213476994</t>
  </si>
  <si>
    <t>https://escholarship.org/uc/item/82k864kp</t>
  </si>
  <si>
    <t>MimirRAG: A Multi-Agent RAG Framework for Financial Data Retrieval with Metadata Integration</t>
  </si>
  <si>
    <t>Magnus Samuelsen</t>
  </si>
  <si>
    <t>Off-topic: retrieval for financial data</t>
  </si>
  <si>
    <t>W7162438838</t>
  </si>
  <si>
    <t>https://doi.org/10.48550/arxiv.2605.25030</t>
  </si>
  <si>
    <t>Sarmistha Das</t>
  </si>
  <si>
    <t>W7161147280</t>
  </si>
  <si>
    <t>https://doi.org/10.48550/arxiv.2605.13330</t>
  </si>
  <si>
    <t>STaR: Bootstrapping Reasoning with Reasoning</t>
  </si>
  <si>
    <t>Eric Zelikman</t>
  </si>
  <si>
    <t>NeurIPS 2022</t>
  </si>
  <si>
    <t>OpenAlex: M2-06</t>
  </si>
  <si>
    <t>W7133192525</t>
  </si>
  <si>
    <t>https://doi.org/10.52202/068431-1126</t>
  </si>
  <si>
    <t>FlexKBQA: A Flexible LLM-Powered Framework for Few-Shot Knowledge Base Question Answering</t>
  </si>
  <si>
    <t>Zhenyu Li</t>
  </si>
  <si>
    <t>Off-topic: knowledge-base QA</t>
  </si>
  <si>
    <t>W4393156804</t>
  </si>
  <si>
    <t>https://doi.org/10.1609/aaai.v38i17.29823</t>
  </si>
  <si>
    <t>MAKG: A maritime accident knowledge graph for intelligent accident analysis and management</t>
  </si>
  <si>
    <t>Dongge Liu</t>
  </si>
  <si>
    <t>Ocean Engineering</t>
  </si>
  <si>
    <t>Off-topic: maritime knowledge graph</t>
  </si>
  <si>
    <t>W4402583887</t>
  </si>
  <si>
    <t>https://doi.org/10.1016/j.oceaneng.2024.119280</t>
  </si>
  <si>
    <t>Jigyāsā: A Self-Taught Thinking Model Trained on Autonomously Generated Knowledge via SNN-Modulated Curiosity Loops</t>
  </si>
  <si>
    <t>Venkatesh Swaminathan</t>
  </si>
  <si>
    <t>Not a research study: software on Zenodo</t>
  </si>
  <si>
    <t>W7162307502</t>
  </si>
  <si>
    <t>https://doi.org/10.5281/zenodo.20379327</t>
  </si>
  <si>
    <t>ReST-MCTS*: LLM Self-Training via Process Reward Guided Tree Search</t>
  </si>
  <si>
    <t>Dan Zhang</t>
  </si>
  <si>
    <t>NeurIPS 2024</t>
  </si>
  <si>
    <t>W4415797351</t>
  </si>
  <si>
    <t>https://doi.org/10.52202/079017-2066</t>
  </si>
  <si>
    <t>PRefLexOR: preference-based recursive language modeling for exploratory optimization of reasoning and agentic thinking</t>
  </si>
  <si>
    <t>Markus J. Buehler</t>
  </si>
  <si>
    <t>npj Artificial Intelligence</t>
  </si>
  <si>
    <t>Off-topic: preference optimisation for scientific reasoning</t>
  </si>
  <si>
    <t>W4410374120</t>
  </si>
  <si>
    <t>https://doi.org/10.1038/s44387-025-00003-z</t>
  </si>
  <si>
    <t>Quiet-STaR: Language Models Can Teach Themselves to Think Before Speaking</t>
  </si>
  <si>
    <t>COLM 2024 acceptance reported only by secondary sources; not verified in the proceedings</t>
  </si>
  <si>
    <t>W4392886466</t>
  </si>
  <si>
    <t>https://doi.org/10.48550/arxiv.2403.09629</t>
  </si>
  <si>
    <t>Reinforcing Spatial Reasoning in Vision-Language Models with Interwoven Thinking and Visual Drawing</t>
  </si>
  <si>
    <t>Junfei Wu</t>
  </si>
  <si>
    <t>W4417308961</t>
  </si>
  <si>
    <t>https://doi.org/10.52202/085713-4797</t>
  </si>
  <si>
    <t>GenG: An LLM-Based Generic Time Series Data Generation Approach for Edge Intelligence via Cross-Domain Collaboration</t>
  </si>
  <si>
    <t>Xiaomao Zhou</t>
  </si>
  <si>
    <t>IEEE Conference on Computer Communications Workshops (INFOCOM WKSHPS)</t>
  </si>
  <si>
    <t>Off-topic: time-series generation</t>
  </si>
  <si>
    <t>W4401541343</t>
  </si>
  <si>
    <t>https://doi.org/10.1109/infocomwkshps61880.2024.10620716</t>
  </si>
  <si>
    <t>Self-Training Large Language and Vision Assistant for Medical Question Answering</t>
  </si>
  <si>
    <t>Guohao Sun</t>
  </si>
  <si>
    <t>Non-text modality: medical VQA</t>
  </si>
  <si>
    <t>W4404782337</t>
  </si>
  <si>
    <t>https://doi.org/10.18653/v1/2024.emnlp-main.1119</t>
  </si>
  <si>
    <t>Q: How to Specialize Large Vision-Language Models to Data-Scarce VQA Tasks? A: Self-Train on Unlabeled Images!</t>
  </si>
  <si>
    <t>Zaid Khan</t>
  </si>
  <si>
    <t>Non-text modality: VQA</t>
  </si>
  <si>
    <t>W4386065359</t>
  </si>
  <si>
    <t>https://doi.org/10.1109/cvpr52729.2023.01441</t>
  </si>
  <si>
    <t>Vision language representation learning</t>
  </si>
  <si>
    <t>Xiaofeng Yang</t>
  </si>
  <si>
    <t>Dissertation</t>
  </si>
  <si>
    <t>Not a research study: dissertation on vision-language</t>
  </si>
  <si>
    <t>W4385445765</t>
  </si>
  <si>
    <t>https://doi.org/10.32657/10356/169546</t>
  </si>
  <si>
    <t>Beyond Human Data: Scaling Self-Training for Problem-Solving with Language Models</t>
  </si>
  <si>
    <t>Avi Singh</t>
  </si>
  <si>
    <t>TMLR (04/2024)</t>
  </si>
  <si>
    <t>W4389649385</t>
  </si>
  <si>
    <t>https://doi.org/10.48550/arxiv.2312.06585</t>
  </si>
  <si>
    <t>Scaling Relationship on Learning Mathematical Reasoning with Large Language Models</t>
  </si>
  <si>
    <t>Zheng Yuan</t>
  </si>
  <si>
    <t>arXiv preprint marked 'working in progress'</t>
  </si>
  <si>
    <t>W4385970164</t>
  </si>
  <si>
    <t>https://doi.org/10.48550/arxiv.2308.01825</t>
  </si>
  <si>
    <t>Learning to explain is a good biomedical few-shot learner</t>
  </si>
  <si>
    <t>Peng Chen</t>
  </si>
  <si>
    <t>Bioinformatics</t>
  </si>
  <si>
    <t>Domain-specific application outside finance: biomedical</t>
  </si>
  <si>
    <t>W4403113340</t>
  </si>
  <si>
    <t>https://doi.org/10.1093/bioinformatics/btae589</t>
  </si>
  <si>
    <t>STaR-SQL: Self-Taught Reasoner for Text-to-SQL</t>
  </si>
  <si>
    <t>Mingqian He</t>
  </si>
  <si>
    <t>W4412945149</t>
  </si>
  <si>
    <t>https://doi.org/10.18653/v1/2025.acl-long.1187</t>
  </si>
  <si>
    <t>Breaking Language Barriers in Multilingual Mathematical Reasoning: Insights and Observations</t>
  </si>
  <si>
    <t>Nuo Chen</t>
  </si>
  <si>
    <t>Off-topic: multilingual instruction tuning</t>
  </si>
  <si>
    <t>W4404781253</t>
  </si>
  <si>
    <t>https://doi.org/10.18653/v1/2024.findings-emnlp.411</t>
  </si>
  <si>
    <t>Self-Training Large Language Models for Improved Visual Program Synthesis With Visual Reinforcement</t>
  </si>
  <si>
    <t>Non-text modality: visual programs</t>
  </si>
  <si>
    <t>W4402715986</t>
  </si>
  <si>
    <t>https://doi.org/10.1109/cvpr52733.2024.01360</t>
  </si>
  <si>
    <t>Self-Training with Direct Preference Optimization Improves Chain-of-Thought Reasoning</t>
  </si>
  <si>
    <t>Tianduo Wang</t>
  </si>
  <si>
    <t>W4402671561</t>
  </si>
  <si>
    <t>https://doi.org/10.18653/v1/2024.acl-long.643</t>
  </si>
  <si>
    <t>Enhancing Large Vision Language Models with Self-Training on Image Comprehension</t>
  </si>
  <si>
    <t>Yihe Deng</t>
  </si>
  <si>
    <t>Non-text modality: image comprehension</t>
  </si>
  <si>
    <t>W4415800540</t>
  </si>
  <si>
    <t>https://doi.org/10.52202/079017-4175</t>
  </si>
  <si>
    <t>Augmenting Math Word Problems via Iterative Question Composing</t>
  </si>
  <si>
    <t>Huanxi Liu</t>
  </si>
  <si>
    <t>Off-topic: data augmentation for math problems</t>
  </si>
  <si>
    <t>W4409348030</t>
  </si>
  <si>
    <t>https://doi.org/10.1609/aaai.v39i23.34640</t>
  </si>
  <si>
    <t>ReflectEvo: Improving Meta Introspection of Small LLMs by Learning Self-Reflection</t>
  </si>
  <si>
    <t>Jiaqi Li</t>
  </si>
  <si>
    <t>Findings of ACL 2025</t>
  </si>
  <si>
    <t>W4412888018</t>
  </si>
  <si>
    <t>https://doi.org/10.18653/v1/2025.findings-acl.871</t>
  </si>
  <si>
    <t>STEP: Enhancing Video-LLMs’ Compositional Reasoning by Spatio-Temporal Graph-guided Self-Training</t>
  </si>
  <si>
    <t>Haiyi Qiu</t>
  </si>
  <si>
    <t>Non-text modality: video</t>
  </si>
  <si>
    <t>W4413146694</t>
  </si>
  <si>
    <t>https://doi.org/10.1109/cvpr52734.2025.00312</t>
  </si>
  <si>
    <t>CogniDual Framework: Self-Training Large Language Models within a Dual-System Theoretical Framework for Improving Cognitive Tasks</t>
  </si>
  <si>
    <t>Yongxin Deng</t>
  </si>
  <si>
    <t>IEEE ICASSP 2025</t>
  </si>
  <si>
    <t>W4408353167</t>
  </si>
  <si>
    <t>https://doi.org/10.1109/icassp49660.2025.10887899</t>
  </si>
  <si>
    <t>Self-Training Elicits Concise Reasoning in Large Language Models</t>
  </si>
  <si>
    <t>Tergel Munkhbat</t>
  </si>
  <si>
    <t>W4412944632</t>
  </si>
  <si>
    <t>https://doi.org/10.18653/v1/2025.findings-acl.1289</t>
  </si>
  <si>
    <t>LoRA: Low-Rank Adaptation of Large Language Models</t>
  </si>
  <si>
    <t>J. Edward Hu</t>
  </si>
  <si>
    <t>ICLR 2022</t>
  </si>
  <si>
    <t>OpenAlex: M2-07</t>
  </si>
  <si>
    <t>OpenAlex lists this arXiv record (2106.09685) as 'LoRA Fine-Tuning of a 3B Code LLM for Algorithmic Efficiency'; title checked against the paper</t>
  </si>
  <si>
    <t>W3168867926</t>
  </si>
  <si>
    <t>https://doi.org/10.48550/arxiv.2106.09685</t>
  </si>
  <si>
    <t>QLoRA: Efficient Finetuning of Quantized LLMs</t>
  </si>
  <si>
    <t>Tim Dettmers</t>
  </si>
  <si>
    <t>W7133233472</t>
  </si>
  <si>
    <t>https://doi.org/10.52202/075280-0441</t>
  </si>
  <si>
    <t>Q8BERT: Quantized 8Bit BERT</t>
  </si>
  <si>
    <t>Ofir Zafrir</t>
  </si>
  <si>
    <t>Off-topic: inference quantisation of BERT</t>
  </si>
  <si>
    <t>W2979314664</t>
  </si>
  <si>
    <t>https://doi.org/10.1109/emc2-nips53020.2019.00016</t>
  </si>
  <si>
    <t>Learning Vector-Quantized Item Representation for Transferable Sequential Recommenders</t>
  </si>
  <si>
    <t>Yupeng Hou</t>
  </si>
  <si>
    <t>ACM Web Conference (WWW)</t>
  </si>
  <si>
    <t>Off-topic: recommender systems</t>
  </si>
  <si>
    <t>W4367047145</t>
  </si>
  <si>
    <t>https://doi.org/10.1145/3543507.3583434</t>
  </si>
  <si>
    <t>MotionGPT: Human Motion as a Foreign Language</t>
  </si>
  <si>
    <t>Biao Jiang</t>
  </si>
  <si>
    <t>Off-topic: motion generation</t>
  </si>
  <si>
    <t>W7133218515</t>
  </si>
  <si>
    <t>https://doi.org/10.52202/075280-0880</t>
  </si>
  <si>
    <t>Adapting Large Language Models by Integrating Collaborative Semantics for Recommendation</t>
  </si>
  <si>
    <t>Bowen Zheng</t>
  </si>
  <si>
    <t>Proceedings - International Conference on Data Engineering</t>
  </si>
  <si>
    <t>W4400909953</t>
  </si>
  <si>
    <t>https://doi.org/10.1109/icde60146.2024.00118</t>
  </si>
  <si>
    <t>A survey on LoRA of large language models</t>
  </si>
  <si>
    <t>Yuren Mao</t>
  </si>
  <si>
    <t>Frontiers of Computer Science 19(7)</t>
  </si>
  <si>
    <t>W4403753254</t>
  </si>
  <si>
    <t>https://doi.org/10.1007/s11704-024-40663-9</t>
  </si>
  <si>
    <t>Qwen2.5 Technical Report</t>
  </si>
  <si>
    <t>Qwen</t>
  </si>
  <si>
    <t>Technical report on arXiv; kept as background in sheet 06</t>
  </si>
  <si>
    <t>W4405655184</t>
  </si>
  <si>
    <t>https://doi.org/10.48550/arxiv.2412.15115</t>
  </si>
  <si>
    <t>When MOE Meets LLMs: Parameter Efficient Fine-tuning for Multi-task Medical Applications</t>
  </si>
  <si>
    <t>Qidong Liu</t>
  </si>
  <si>
    <t>International ACM SIGIR Conference on Research and Development in Information Retrieval (SIGIR)</t>
  </si>
  <si>
    <t>W4400525231</t>
  </si>
  <si>
    <t>https://doi.org/10.1145/3626772.3657722</t>
  </si>
  <si>
    <t>DRG-LLaMA : tuning LLaMA model to predict diagnosis-related group for hospitalized patients</t>
  </si>
  <si>
    <t>Hanyin Wang</t>
  </si>
  <si>
    <t>npj Digital Medicine</t>
  </si>
  <si>
    <t>Domain-specific application outside finance: hospital coding</t>
  </si>
  <si>
    <t>W4391098193</t>
  </si>
  <si>
    <t>https://doi.org/10.1038/s41746-023-00989-3</t>
  </si>
  <si>
    <t>Low-Rank Few-Shot Adaptation of Vision-Language Models</t>
  </si>
  <si>
    <t>Maxime Zanella</t>
  </si>
  <si>
    <t>IEEE/CVF Conference on Computer Vision and Pattern Recognition Workshops (CVPRW)</t>
  </si>
  <si>
    <t>W4402916156</t>
  </si>
  <si>
    <t>https://doi.org/10.1109/cvprw63382.2024.00166</t>
  </si>
  <si>
    <t>OWQ: Outlier-Aware Weight Quantization for Efficient Fine-Tuning and Inference of Large Language Models</t>
  </si>
  <si>
    <t>Changhun Lee</t>
  </si>
  <si>
    <t>W4393147284</t>
  </si>
  <si>
    <t>https://doi.org/10.1609/aaai.v38i12.29237</t>
  </si>
  <si>
    <t>MotionGPT: Finetuned LLMs Are General-Purpose Motion Generators</t>
  </si>
  <si>
    <t>Yaqi Zhang</t>
  </si>
  <si>
    <t>W4393153655</t>
  </si>
  <si>
    <t>https://doi.org/10.1609/aaai.v38i7.28567</t>
  </si>
  <si>
    <t>Harnessing Large Language Models for Text-Rich Sequential Recommendation</t>
  </si>
  <si>
    <t>Zhi Zheng</t>
  </si>
  <si>
    <t>W4396723256</t>
  </si>
  <si>
    <t>https://doi.org/10.1145/3589334.3645358</t>
  </si>
  <si>
    <t>NetGPT: An AI-Native Network Architecture for Provisioning Beyond Personalized Generative Services</t>
  </si>
  <si>
    <t>Yuxuan Chen</t>
  </si>
  <si>
    <t>IEEE Network</t>
  </si>
  <si>
    <t>Off-topic: network architecture</t>
  </si>
  <si>
    <t>W4392902389</t>
  </si>
  <si>
    <t>https://doi.org/10.1109/mnet.2024.3376419</t>
  </si>
  <si>
    <t>Differentially Private Low-Rank Adaptation of Large Language Model Using Federated Learning</t>
  </si>
  <si>
    <t>Xiao-Yang Liu</t>
  </si>
  <si>
    <t>ACM Transactions on Management Information Systems</t>
  </si>
  <si>
    <t>Off-topic: privacy-preserving federated fine-tuning</t>
  </si>
  <si>
    <t>W4401545746</t>
  </si>
  <si>
    <t>https://doi.org/10.1145/3682068</t>
  </si>
  <si>
    <t>Exploring Parameter-Efficient Fine-Tuning Techniques for Code Generation with Large Language Models</t>
  </si>
  <si>
    <t>Martin Weyssow</t>
  </si>
  <si>
    <t>ACM TOSEM 34(7)</t>
  </si>
  <si>
    <t>W4406688098</t>
  </si>
  <si>
    <t>https://doi.org/10.1145/3714461</t>
  </si>
  <si>
    <t>BioInstruct: instruction tuning of large language models for biomedical natural language processing</t>
  </si>
  <si>
    <t>Hieu Tran</t>
  </si>
  <si>
    <t>Journal of the American Medical Informatics Association</t>
  </si>
  <si>
    <t>W4399326970</t>
  </si>
  <si>
    <t>https://doi.org/10.1093/jamia/ocae122</t>
  </si>
  <si>
    <t>Qwen2 Technical Report</t>
  </si>
  <si>
    <t>Yang, An</t>
  </si>
  <si>
    <t>W4401660192</t>
  </si>
  <si>
    <t>https://doi.org/10.48550/arxiv.2407.10671</t>
  </si>
  <si>
    <t>Sparse Low-rank Adaptation of Pre-trained Language Models</t>
  </si>
  <si>
    <t>Ning Ding</t>
  </si>
  <si>
    <t>W4389524340</t>
  </si>
  <si>
    <t>https://doi.org/10.18653/v1/2023.emnlp-main.252</t>
  </si>
  <si>
    <t>Vision-Language Models for Edge Networks: A Comprehensive Survey</t>
  </si>
  <si>
    <t>Ahmed Sharshar</t>
  </si>
  <si>
    <t>IEEE Internet of Things Journal</t>
  </si>
  <si>
    <t>W4411232024</t>
  </si>
  <si>
    <t>https://doi.org/10.1109/jiot.2025.3579032</t>
  </si>
  <si>
    <t>OpenVLA: An Open-Source Vision-Language-Action Model</t>
  </si>
  <si>
    <t>Moo Jin Kim</t>
  </si>
  <si>
    <t>Off-topic: robotics</t>
  </si>
  <si>
    <t>W4399695759</t>
  </si>
  <si>
    <t>https://doi.org/10.48550/arxiv.2406.09246</t>
  </si>
  <si>
    <t>Edge-LLM: A Collaborative Framework for Large Language Model Serving in Edge Computing</t>
  </si>
  <si>
    <t>Fenglong Cai</t>
  </si>
  <si>
    <t>IEEE International Conference on Web Services (ICWS)</t>
  </si>
  <si>
    <t>Off-topic: edge serving</t>
  </si>
  <si>
    <t>W4403421327</t>
  </si>
  <si>
    <t>https://doi.org/10.1109/icws62655.2024.00099</t>
  </si>
  <si>
    <t>QUARK: Controllable Text Generation with Reinforced Unlearning</t>
  </si>
  <si>
    <t>Ximing Lu</t>
  </si>
  <si>
    <t>Off-topic: controllable generation with RL</t>
  </si>
  <si>
    <t>W7133216684</t>
  </si>
  <si>
    <t>https://doi.org/10.52202/068431-2001</t>
  </si>
  <si>
    <t>X-LoRA: Mixture of low-rank adapter experts, a flexible framework for large language models with applications in protein mechanics and molecular design</t>
  </si>
  <si>
    <t>Eric L. Buehler</t>
  </si>
  <si>
    <t>APL Machine Learning</t>
  </si>
  <si>
    <t>Domain-specific application outside finance: protein and materials design</t>
  </si>
  <si>
    <t>W4398777692</t>
  </si>
  <si>
    <t>https://doi.org/10.1063/5.0203126</t>
  </si>
  <si>
    <t>Do As I Can, Not As I Say: Grounding Language in Robotic Affordances</t>
  </si>
  <si>
    <t>Ahn, Michael</t>
  </si>
  <si>
    <t>OpenAlex: M2-08</t>
  </si>
  <si>
    <t>W4224912544</t>
  </si>
  <si>
    <t>https://doi.org/10.48550/arxiv.2204.01691</t>
  </si>
  <si>
    <t>Large language models are few-shot clinical information extractors</t>
  </si>
  <si>
    <t>Monica Agrawal</t>
  </si>
  <si>
    <t>Domain-specific application outside finance: clinical extraction</t>
  </si>
  <si>
    <t>W4385573087</t>
  </si>
  <si>
    <t>https://doi.org/10.18653/v1/2022.emnlp-main.130</t>
  </si>
  <si>
    <t>SGLang: Efficient Execution of Structured Language Model Programs</t>
  </si>
  <si>
    <t>Lianmin Zheng</t>
  </si>
  <si>
    <t>Off-topic: serving system</t>
  </si>
  <si>
    <t>W4415797413</t>
  </si>
  <si>
    <t>https://doi.org/10.52202/079017-2000</t>
  </si>
  <si>
    <t>A Survey on Uncertainty Quantification Methods for Deep Learning</t>
  </si>
  <si>
    <t>Wenchong He</t>
  </si>
  <si>
    <t>ACM Computing Surveys</t>
  </si>
  <si>
    <t>Off-topic: uncertainty survey</t>
  </si>
  <si>
    <t>W7116694432</t>
  </si>
  <si>
    <t>https://doi.org/10.1145/3786319</t>
  </si>
  <si>
    <t>"We Need Structured Output": Towards User-centered Constraints on Large Language Model Output</t>
  </si>
  <si>
    <t>Michael Xieyang Liu</t>
  </si>
  <si>
    <t>CHI EA 2024</t>
  </si>
  <si>
    <t>W4394780772</t>
  </si>
  <si>
    <t>https://doi.org/10.1145/3613905.3650756</t>
  </si>
  <si>
    <t>Are LLMs good at structured outputs? A benchmark for evaluating structured output capabilities in LLMs</t>
  </si>
  <si>
    <t>Yu Liu</t>
  </si>
  <si>
    <t>W4399785296</t>
  </si>
  <si>
    <t>https://doi.org/10.1016/j.ipm.2024.103809</t>
  </si>
  <si>
    <t>Grammar-Constrained Decoding for Structured NLP Tasks without Finetuning</t>
  </si>
  <si>
    <t>Saibo Geng</t>
  </si>
  <si>
    <t>W4389520385</t>
  </si>
  <si>
    <t>https://doi.org/10.18653/v1/2023.emnlp-main.674</t>
  </si>
  <si>
    <t>Few-shot Text-to-SQL Translation using Structure and Content Prompt Learning</t>
  </si>
  <si>
    <t>Zihui Gu</t>
  </si>
  <si>
    <t>Proceedings of the ACM on Management of Data</t>
  </si>
  <si>
    <t>W4381326864</t>
  </si>
  <si>
    <t>https://doi.org/10.1145/3589292</t>
  </si>
  <si>
    <t>Let Me Speak Freely? A Study On The Impact Of Format Restrictions On Large Language Model Performance.</t>
  </si>
  <si>
    <t>Zhi Rui Tam</t>
  </si>
  <si>
    <t>EMNLP 2024 (Industry Track)</t>
  </si>
  <si>
    <t>W4404783537</t>
  </si>
  <si>
    <t>https://doi.org/10.18653/v1/2024.emnlp-industry.91</t>
  </si>
  <si>
    <t>Exploiting Asymmetry for Synthetic Training Data Generation: SynthIE and the Case of Information Extraction</t>
  </si>
  <si>
    <t>Martin Josifoski</t>
  </si>
  <si>
    <t>Off-topic: synthetic data for information extraction</t>
  </si>
  <si>
    <t>W4389524085</t>
  </si>
  <si>
    <t>https://doi.org/10.18653/v1/2023.emnlp-main.96</t>
  </si>
  <si>
    <t>Large language models overcome the challenges of unstructured text data in ecology</t>
  </si>
  <si>
    <t>Andry Castro</t>
  </si>
  <si>
    <t>Ecological Informatics</t>
  </si>
  <si>
    <t>Domain-specific application outside finance: ecology</t>
  </si>
  <si>
    <t>W4401268044</t>
  </si>
  <si>
    <t>https://doi.org/10.1016/j.ecoinf.2024.102742</t>
  </si>
  <si>
    <t>COLD Decoding: Energy-Based Constrained Text Generation with Langevin Dynamics</t>
  </si>
  <si>
    <t>Lianhui Qin</t>
  </si>
  <si>
    <t>Constrains content (keywords, context) through energy-based decoding, not output structure</t>
  </si>
  <si>
    <t>W7133199979</t>
  </si>
  <si>
    <t>https://doi.org/10.52202/068431-0693</t>
  </si>
  <si>
    <t>TIARA: Multi-grained Retrieval for Robust Question Answering over Large Knowledge Base</t>
  </si>
  <si>
    <t>Yiheng Shu</t>
  </si>
  <si>
    <t>W4385573529</t>
  </si>
  <si>
    <t>https://doi.org/10.18653/v1/2022.emnlp-main.555</t>
  </si>
  <si>
    <t>Learning Approximate Inference Networks for Structured Prediction</t>
  </si>
  <si>
    <t>Lifu Tu</t>
  </si>
  <si>
    <t>Off-topic: structured prediction networks</t>
  </si>
  <si>
    <t>W2785442381</t>
  </si>
  <si>
    <t>https://doi.org/10.48550/arxiv.1803.03376</t>
  </si>
  <si>
    <t>Investigating students’ programming behaviors, interaction qualities and perceptions through prompt-based learning in ChatGPT</t>
  </si>
  <si>
    <t>Dan Sun</t>
  </si>
  <si>
    <t>Humanities and Social Sciences Communications</t>
  </si>
  <si>
    <t>W4403906927</t>
  </si>
  <si>
    <t>https://doi.org/10.1057/s41599-024-03991-6</t>
  </si>
  <si>
    <t>Data-Efficient Learning of Natural Language to Linear Temporal Logic Translators for Robot Task Specification</t>
  </si>
  <si>
    <t>Jiayi Pan</t>
  </si>
  <si>
    <t>Proceedings - IEEE International Conference on Robotics and Automation/Proceedings</t>
  </si>
  <si>
    <t>W4383108852</t>
  </si>
  <si>
    <t>https://doi.org/10.1109/icra48891.2023.10161125</t>
  </si>
  <si>
    <t>N-best T5: Robust ASR Error Correction using Multiple Input Hypotheses and Constrained Decoding Space</t>
  </si>
  <si>
    <t>Rao Ma</t>
  </si>
  <si>
    <t>Interspeech (USB)</t>
  </si>
  <si>
    <t>Off-topic: speech recognition</t>
  </si>
  <si>
    <t>W4385822949</t>
  </si>
  <si>
    <t>https://doi.org/10.21437/interspeech.2023-1616</t>
  </si>
  <si>
    <t>Prompt-Guided Generation of Structured Chest X-Ray Report Using a Pre-trained LLM</t>
  </si>
  <si>
    <t>Hongzhao Li</t>
  </si>
  <si>
    <t>IEEE International Conference on Multimedia and Expo (ICME)</t>
  </si>
  <si>
    <t>Domain-specific application outside finance: radiology reports</t>
  </si>
  <si>
    <t>W4402979174</t>
  </si>
  <si>
    <t>https://doi.org/10.1109/icme57554.2024.10687707</t>
  </si>
  <si>
    <t>Large Language Models for Biomedical Knowledge Graph Construction: Information extraction from EMR notes</t>
  </si>
  <si>
    <t>Vahan Arsenyan</t>
  </si>
  <si>
    <t>Workshop on Biomedical Natural Language Processing (BioNLP)</t>
  </si>
  <si>
    <t>Domain-specific application outside finance: biomedical knowledge graphs</t>
  </si>
  <si>
    <t>W4402671441</t>
  </si>
  <si>
    <t>https://doi.org/10.18653/v1/2024.bionlp-1.23</t>
  </si>
  <si>
    <t>ASR Error Correction Using Large Language Models</t>
  </si>
  <si>
    <t>IEEE Transactions on Audio Speech and Language Processing</t>
  </si>
  <si>
    <t>W4408565363</t>
  </si>
  <si>
    <t>https://doi.org/10.1109/taslpro.2025.3551083</t>
  </si>
  <si>
    <t>BROS: A Pre-trained Language Model for Understanding Texts in Document</t>
  </si>
  <si>
    <t>Teakgyu Hong</t>
  </si>
  <si>
    <t>Off-topic: document understanding</t>
  </si>
  <si>
    <t>W3123089036</t>
  </si>
  <si>
    <t>Tree-Based Representation and Generation of Natural and Mathematical Language</t>
  </si>
  <si>
    <t>Alexander Scarlatos</t>
  </si>
  <si>
    <t>Off-topic: math language representation</t>
  </si>
  <si>
    <t>W4385571028</t>
  </si>
  <si>
    <t>https://doi.org/10.18653/v1/2023.acl-long.205</t>
  </si>
  <si>
    <t>Efficient Avoidance of Vulnerabilities in Auto-completed Smart Contract Code Using Vulnerability-constrained Decoding</t>
  </si>
  <si>
    <t>André Storhaug</t>
  </si>
  <si>
    <t>IEEE International Symposium on Software Reliability Engineering (ISSRE)</t>
  </si>
  <si>
    <t>W4388212693</t>
  </si>
  <si>
    <t>https://doi.org/10.1109/issre59848.2023.00035</t>
  </si>
  <si>
    <t>N-Best Hypotheses Reranking for Text-to-SQL Systems</t>
  </si>
  <si>
    <t>Lu Zeng</t>
  </si>
  <si>
    <t>IEEE Spoken Language Technology Workshop (SLT)</t>
  </si>
  <si>
    <t>W4319862210</t>
  </si>
  <si>
    <t>https://doi.org/10.1109/slt54892.2023.10023434</t>
  </si>
  <si>
    <t>SELP: Generating Safe and Efficient Task Plans for Robot Agents with Large Language Models</t>
  </si>
  <si>
    <t>Yi Wu</t>
  </si>
  <si>
    <t>W4413917076</t>
  </si>
  <si>
    <t>https://doi.org/10.1109/icra55743.2025.11128420</t>
  </si>
  <si>
    <t>FinQA: A Dataset of Numerical Reasoning over Financial Data</t>
  </si>
  <si>
    <t>Z. Chen</t>
  </si>
  <si>
    <t>EMNLP 2021 (Main)</t>
  </si>
  <si>
    <t>Citation chasing; located with OpenAlex title lookup CC-01</t>
  </si>
  <si>
    <t>Citation chasing</t>
  </si>
  <si>
    <t>Backward: cited by PoT, QRData, FinanceMATH, MultiHiertt, Fatemi 2024 and others. Title and abstract judged relevant before retrieval</t>
  </si>
  <si>
    <t>https://doi.org/10.18653/v1/2021.emnlp-main.300</t>
  </si>
  <si>
    <t>ConvFinQA: Exploring the Chain of Numerical Reasoning in Conversational Finance Question Answering</t>
  </si>
  <si>
    <t>Citation chasing; located with OpenAlex title lookup CC-02</t>
  </si>
  <si>
    <t>Backward: cited by PoT, Yuan 2025 (FinLLMs), Fatemi 2024. Title and abstract judged relevant before retrieval</t>
  </si>
  <si>
    <t>https://doi.org/10.18653/v1/2022.emnlp-main.421</t>
  </si>
  <si>
    <t>RARR: Researching and Revising What Language Models Say, Using Language Models</t>
  </si>
  <si>
    <t>L. Gao</t>
  </si>
  <si>
    <t>Citation chasing; located with OpenAlex title lookup CD-01</t>
  </si>
  <si>
    <t>Backward: cited by Pan 2024, Kamoi 2024, Huang 2024. Title and abstract judged relevant before retrieval</t>
  </si>
  <si>
    <t>https://doi.org/10.18653/v1/2023.acl-long.910</t>
  </si>
  <si>
    <t>CRITIC: Large Language Models Can Self-Correct with Tool-Interactive Critiquing</t>
  </si>
  <si>
    <t>Z. Gou</t>
  </si>
  <si>
    <t>Backward: cited by Pan 2024, Kamoi 2024, Huang 2024, PoT, Fatemi 2024. Title and abstract judged relevant before retrieval</t>
  </si>
  <si>
    <t>https://arxiv.org/pdf/2305.11738</t>
  </si>
  <si>
    <t>Self-Refine: Iterative Refinement with Self-Feedback</t>
  </si>
  <si>
    <t>A. Madaan</t>
  </si>
  <si>
    <t>Backward: cited by Pan 2024, Kamoi 2024, Huang 2024, SatLM, PaD. Title and abstract judged relevant before retrieval</t>
  </si>
  <si>
    <t>https://arxiv.org/pdf/2303.17651</t>
  </si>
  <si>
    <t>Fine-grained Hallucination Detection and Editing for Language Models</t>
  </si>
  <si>
    <t>A. Mishra</t>
  </si>
  <si>
    <t>COLM 2024</t>
  </si>
  <si>
    <t>Backward: cited by Kamoi 2024. Title and abstract judged relevant before retrieval</t>
  </si>
  <si>
    <t>https://arxiv.org/pdf/2401.06855</t>
  </si>
  <si>
    <t>Toolformer: Language Models Can Teach Themselves to Use Tools</t>
  </si>
  <si>
    <t>T. Schick</t>
  </si>
  <si>
    <t>Backward: cited by PoT, CREATOR, SatLM, Wang 2024 (DPO-ST). Title and abstract judged relevant before retrieval</t>
  </si>
  <si>
    <t>https://arxiv.org/pdf/2302.04761</t>
  </si>
  <si>
    <t>Verify-and-Edit: A Knowledge-Enhanced Chain-of-Thought Framework</t>
  </si>
  <si>
    <t>R. Zhao</t>
  </si>
  <si>
    <t>https://doi.org/10.18653/v1/2023.acl-long.320</t>
  </si>
  <si>
    <t>TAT-LLM: A Specialized Language Model for Discrete Reasoning over Financial Tabular and Textual Data</t>
  </si>
  <si>
    <t>F. Zhu</t>
  </si>
  <si>
    <t>Backward: cited by Fatemi 2024. Title and abstract judged relevant before retrieval</t>
  </si>
  <si>
    <t>https://doi.org/10.1145/3677052.3698685</t>
  </si>
  <si>
    <t>03 - Extraction matrix: Repair (included studies)</t>
  </si>
  <si>
    <t>One row per included study, ordered by subtopic. Every figure is taken from the paper itself; 'Limitations / gap' records what the authors state (or 'No limitations section' when they state none). Column O links back to the screening log.</t>
  </si>
  <si>
    <t>Citation (Author, Year)</t>
  </si>
  <si>
    <t>Study type</t>
  </si>
  <si>
    <t>Research focus</t>
  </si>
  <si>
    <t>Data / evaluation setting</t>
  </si>
  <si>
    <t>Method / model</t>
  </si>
  <si>
    <t>Dataset, metrics and key results</t>
  </si>
  <si>
    <t>Limitations / gap stated by authors</t>
  </si>
  <si>
    <t>Member subtopic</t>
  </si>
  <si>
    <t>Free full-text URL</t>
  </si>
  <si>
    <t>Free-access route</t>
  </si>
  <si>
    <t>Screening log #</t>
  </si>
  <si>
    <t>Cao et al., 2020</t>
  </si>
  <si>
    <t>Method (post-editing corrector)</t>
  </si>
  <si>
    <t>Correcting factual errors in generated summaries after the fact</t>
  </si>
  <si>
    <t>Artificial corruption test set and a manually annotated test set</t>
  </si>
  <si>
    <t>Corrector pre-trained on reference summaries corrupted by heuristic transformations</t>
  </si>
  <si>
    <t>Outperforms previous models on the human-annotated test set by wide margins</t>
  </si>
  <si>
    <t>Transfer from artificial to real errors is very hard; low recall and false positives remain</t>
  </si>
  <si>
    <t>https://aclanthology.org/2020.emnlp-main.506.pdf</t>
  </si>
  <si>
    <t>ACL Anthology (open access)</t>
  </si>
  <si>
    <t>Thorne &amp; Vlachos, 2021</t>
  </si>
  <si>
    <t>Task, dataset and method</t>
  </si>
  <si>
    <t>Editing a refuted claim so that evidence supports it</t>
  </si>
  <si>
    <t>65,000 instances derived from FEVER</t>
  </si>
  <si>
    <t>Two-stage distant supervision: mask the parts the evidence does not support, then fill them from evidence</t>
  </si>
  <si>
    <t>Correct corrections for 5 times more instances in human evaluation; +0.125 SARI</t>
  </si>
  <si>
    <t>With retrieved evidence only 24% of claims are corrected (SARI .419) versus 69% for a fully supervised system with gold evidence</t>
  </si>
  <si>
    <t>https://aclanthology.org/2021.acl-long.256.pdf</t>
  </si>
  <si>
    <t>Balachandran et al., 2022</t>
  </si>
  <si>
    <t>Better synthetic training data for correcting factual errors in summaries</t>
  </si>
  <si>
    <t>CNN/DM and XSum summaries</t>
  </si>
  <si>
    <t>FactEdit: infilling LMs create hard non-factual summaries; a model learns to rewrite them correctly</t>
  </si>
  <si>
    <t>Vastly outperforms prior post-editing correctors on factual consistency</t>
  </si>
  <si>
    <t>Relies on an off-the-shelf error detector; often rewrites summaries that were already correct and could introduce new errors</t>
  </si>
  <si>
    <t>https://aclanthology.org/2022.emnlp-main.667.pdf</t>
  </si>
  <si>
    <t>Lee et al., 2022</t>
  </si>
  <si>
    <t>Fast, interpretable correction of entity errors in summaries</t>
  </si>
  <si>
    <t>Two summarisation factual-error-correction benchmarks</t>
  </si>
  <si>
    <t>RFEC: retrieve evidence sentences from the article, detect entity-level errors, substitute the wrong entity with one from the evidence</t>
  </si>
  <si>
    <t>More competitive than baseline correctors at a much faster speed</t>
  </si>
  <si>
    <t>No limitations section; corrects entity-level errors only, by substitution from retrieved evidence</t>
  </si>
  <si>
    <t>https://aclanthology.org/2022.gem-1.41.pdf</t>
  </si>
  <si>
    <t>Chen et al., 2023a</t>
  </si>
  <si>
    <t>Method (constrained editing)</t>
  </si>
  <si>
    <t>Minimal-edit factual error correction without paired data</t>
  </si>
  <si>
    <t>FEVER-based claim correction</t>
  </si>
  <si>
    <t>VENCE: iterative sampling of edit actions under a target density built from an offline verifier's truthfulness score</t>
  </si>
  <si>
    <t>+5.3 SARI over the previous best distantly supervised method</t>
  </si>
  <si>
    <t>Quality depends on the external verifier that scores truthfulness</t>
  </si>
  <si>
    <t>https://ojs.aaai.org/index.php/AAAI/article/download/26485/26257</t>
  </si>
  <si>
    <t>AAAI open-access proceedings</t>
  </si>
  <si>
    <t>Gao et al., 2023a</t>
  </si>
  <si>
    <t>Method (research-and-revise)</t>
  </si>
  <si>
    <t>Adding attribution to any generator's output and fixing unsupported content</t>
  </si>
  <si>
    <t>Outputs of several LMs on diverse generation tasks</t>
  </si>
  <si>
    <t>RARR: generate questions, retrieve web evidence, check agreement, edit minimally</t>
  </si>
  <si>
    <t>Improves attribution while preserving the original text far more than earlier edit models</t>
  </si>
  <si>
    <t>Attribution and preservation may deserve different weights by application; metrics do not capture all of attribution</t>
  </si>
  <si>
    <t>https://aclanthology.org/2023.acl-long.910.pdf</t>
  </si>
  <si>
    <t>Gao et al., 2023c</t>
  </si>
  <si>
    <t>Benchmark and evaluation framework</t>
  </si>
  <si>
    <t>How to evaluate factual error correction reliably, by error category</t>
  </si>
  <si>
    <t>4,000 manually corrected dialogue summaries (SAMSum, DialogSum)</t>
  </si>
  <si>
    <t>FERRANTI: reference-correction-based evaluation that labels and scores corrections per error category</t>
  </si>
  <si>
    <t>Factuality metrics are unreliable for judging correction; existing correctors differ sharply by error category</t>
  </si>
  <si>
    <t>Small dataset (4,000 items); short daily-chat dialogues only; FERRANTI relies on English lexical and syntactic features</t>
  </si>
  <si>
    <t>https://aclanthology.org/2023.acl-long.779.pdf</t>
  </si>
  <si>
    <t>He et al., 2023</t>
  </si>
  <si>
    <t>Method (data synthesis for correction)</t>
  </si>
  <si>
    <t>Getting paired training data for factual error correction by asking an LLM to inject errors</t>
  </si>
  <si>
    <t>FECDATA (FEVER-based claim correction)</t>
  </si>
  <si>
    <t>PivotFEC: few-shot LLM error injection creates (false, correct) pairs that train a corrector</t>
  </si>
  <si>
    <t>+11.3 SARI over the best distantly supervised method and +7.9 SARI over direct few-shot LLM correction</t>
  </si>
  <si>
    <t>Only GPT-series LLMs tested (compute limits); retrieved evidence is not always relevant to the claim</t>
  </si>
  <si>
    <t>https://aclanthology.org/2023.findings-emnlp.667.pdf</t>
  </si>
  <si>
    <t>Huang et al., 2023</t>
  </si>
  <si>
    <t>Method (zero-shot corrector)</t>
  </si>
  <si>
    <t>Faithful factual error correction without training data</t>
  </si>
  <si>
    <t>FEVER and SciFact claims with given evidence</t>
  </si>
  <si>
    <t>Ask questions about the claim, answer them from the evidence, propose corrections, keep those consistent with evidence</t>
  </si>
  <si>
    <t>Outperforms fully supervised correctors; corrections are more faithful in human judgement</t>
  </si>
  <si>
    <t>Cannot fix errors that need domain knowledge; assumes the relevant evidence is provided</t>
  </si>
  <si>
    <t>https://aclanthology.org/2023.acl-long.311.pdf</t>
  </si>
  <si>
    <t>Zhao et al., 2023b</t>
  </si>
  <si>
    <t>Method (post-editing reasoning)</t>
  </si>
  <si>
    <t>Fixing factual errors in chain-of-thought with retrieved knowledge</t>
  </si>
  <si>
    <t>Open-domain multi-hop QA and fact verification with GPT-3</t>
  </si>
  <si>
    <t>Verify-and-Edit: find low-consistency predictions, retrieve facts, edit the rationale, re-answer</t>
  </si>
  <si>
    <t>Accuracy improvements on several open-domain QA tasks</t>
  </si>
  <si>
    <t>Works best on open-domain QA needing complex reasoning; less benefit on simpler or commonsense sets; the calibrator needs provided contexts</t>
  </si>
  <si>
    <t>https://aclanthology.org/2023.acl-long.320.pdf</t>
  </si>
  <si>
    <t>He et al., 2024</t>
  </si>
  <si>
    <t>Learning to inject factual errors so that paired correction data can be made</t>
  </si>
  <si>
    <t>FEVER-based claim correction with human evaluation</t>
  </si>
  <si>
    <t>LIFE: a corruptor injects errors into correct claims; a corrector is trained on the resulting pairs</t>
  </si>
  <si>
    <t>Outperforms few-shot LLM baselines on the corrected rate in human evaluation</t>
  </si>
  <si>
    <t>A gap remains to the fully supervised baseline</t>
  </si>
  <si>
    <t>https://ojs.aaai.org/index.php/AAAI/article/download/29778/31342</t>
  </si>
  <si>
    <t>Mishra et al., 2024</t>
  </si>
  <si>
    <t>Benchmark and method (detect and edit)</t>
  </si>
  <si>
    <t>Editing hallucinated spans by error type after detecting them</t>
  </si>
  <si>
    <t>FavaBench fine-grained human judgements</t>
  </si>
  <si>
    <t>FAVA: retrieval-augmented LM trained on synthetic error insertions to detect and edit</t>
  </si>
  <si>
    <t>Better fine-grained detection than ChatGPT (+23.7%) and higher factuality after editing</t>
  </si>
  <si>
    <t>Large room for improvement remains</t>
  </si>
  <si>
    <t>arXiv author version of the COLM paper</t>
  </si>
  <si>
    <t>Su et al., 2024</t>
  </si>
  <si>
    <t>Method (detect-then-correct)</t>
  </si>
  <si>
    <t>Detecting entity-level hallucinations while generating and correcting them with retrieved knowledge</t>
  </si>
  <si>
    <t>Hallucination detection on LLM passages; retrieval-augmented QA incl. 2WikiMultihopQA</t>
  </si>
  <si>
    <t>DRAD: real-time hallucination detection from the model's uncertainty (RHD) plus self-correction from external knowledge (SEK)</t>
  </si>
  <si>
    <t>Better detection and mitigation than retrieval-augmentation baselines</t>
  </si>
  <si>
    <t>Uncertainty-based detection catches knowledge gaps but misses errors from wrong knowledge learned in pre-training</t>
  </si>
  <si>
    <t>https://arxiv.org/pdf/2407.09417</t>
  </si>
  <si>
    <t>arXiv author version of the ACM paper</t>
  </si>
  <si>
    <t>Woesle et al., 2025</t>
  </si>
  <si>
    <t>Systematic review (PRISMA)</t>
  </si>
  <si>
    <t>Mapping hallucination detection and mitigation by system architecture and application domain</t>
  </si>
  <si>
    <t>125 peer-reviewed papers (2015-Jan 2025) from IEEE Xplore, ACM DL and ScienceDirect</t>
  </si>
  <si>
    <t>PRISMA review with four architecture classes: unaugmented, post-hoc reactive validation, proactive detect-and-mitigate, integrated</t>
  </si>
  <si>
    <t>QA/IR and multimodal work make up 48% of studies and use the most integrated designs; software, education and robotics are underserved</t>
  </si>
  <si>
    <t>Keyword filters may miss relevant work; assigning architecture classes is partly subjective; categories simplify overlapping designs</t>
  </si>
  <si>
    <t>https://ieeexplore.ieee.org/document/11132297</t>
  </si>
  <si>
    <t>IEEE Xplore open access (CC BY)</t>
  </si>
  <si>
    <t>Zhu et al., 2025</t>
  </si>
  <si>
    <t>Correcting factual errors in summaries with a cloze-style model trained on cleaner data</t>
  </si>
  <si>
    <t>Summarisation datasets; new distilled faithful dataset SummDSC; several factual-consistency metrics</t>
  </si>
  <si>
    <t>FactCloze: conditional-generation cloze that fills or abstains on masked factual factors; data distillation by multi-dimensional evaluation</t>
  </si>
  <si>
    <t>Improves several factual-consistency metrics over earlier post-editing correctors</t>
  </si>
  <si>
    <t>No limitations section in the free version; gains are reported on automatic consistency metrics</t>
  </si>
  <si>
    <t>https://arxiv.org/pdf/2402.08581</t>
  </si>
  <si>
    <t>arXiv: earlier author preprint (Li et al., 2024) of the journal article</t>
  </si>
  <si>
    <t>Madaan et al., 2023</t>
  </si>
  <si>
    <t>Method (iterative self-feedback)</t>
  </si>
  <si>
    <t>Improving outputs by letting the same LLM give feedback and refine</t>
  </si>
  <si>
    <t>Seven tasks incl. dialogue, code optimisation and math reasoning with GPT-3.5 and GPT-4</t>
  </si>
  <si>
    <t>Self-Refine: generate, self-feedback, refine, repeat (no training)</t>
  </si>
  <si>
    <t>About 20% absolute improvement on average; preferred by humans and metrics</t>
  </si>
  <si>
    <t>Base models need strong few-shot or instruction-following ability to give useful feedback in context</t>
  </si>
  <si>
    <t>arXiv author version of the NeurIPS paper</t>
  </si>
  <si>
    <t>Gou et al., 2024</t>
  </si>
  <si>
    <t>Method (tool-based critique)</t>
  </si>
  <si>
    <t>Self-correction that checks outputs with external tools</t>
  </si>
  <si>
    <t>Free-form QA, mathematical program synthesis, toxicity reduction</t>
  </si>
  <si>
    <t>CRITIC: verify with tools (search, code interpreter, toxicity API), critique, revise; iterate</t>
  </si>
  <si>
    <t>Consistently improves LLM performance; external feedback is crucial for self-improvement</t>
  </si>
  <si>
    <t>Extra tool calls add inference latency</t>
  </si>
  <si>
    <t>arXiv author version of the ICLR paper</t>
  </si>
  <si>
    <t>Huang et al., 2024</t>
  </si>
  <si>
    <t>Empirical analysis</t>
  </si>
  <si>
    <t>Whether LLMs can fix their reasoning without external feedback</t>
  </si>
  <si>
    <t>Reasoning benchmarks (e.g. GSM8K, CommonsenseQA, HotpotQA) with GPT-3.5 and GPT-4</t>
  </si>
  <si>
    <t>Intrinsic self-correction experiments with fair baselines</t>
  </si>
  <si>
    <t>Without external feedback LLMs struggle to self-correct, and accuracy can even fall</t>
  </si>
  <si>
    <t>Earlier gains often relied on oracle labels or weaker baselines</t>
  </si>
  <si>
    <t>https://arxiv.org/pdf/2310.01798</t>
  </si>
  <si>
    <t>Kamoi et al., 2024</t>
  </si>
  <si>
    <t>Critical survey</t>
  </si>
  <si>
    <t>When LLMs can actually correct their own mistakes</t>
  </si>
  <si>
    <t>Review of self-correction studies and their experimental designs</t>
  </si>
  <si>
    <t>Categorises research questions and frameworks; checklist for sound self-correction experiments</t>
  </si>
  <si>
    <t>Many studies have unclear questions or unfair designs; self-correction works mainly with reliable external feedback</t>
  </si>
  <si>
    <t>Authors stress that intrinsic self-correction from prompting alone has little support</t>
  </si>
  <si>
    <t>https://aclanthology.org/2024.tacl-1.78.pdf</t>
  </si>
  <si>
    <t>Pan et al., 2024</t>
  </si>
  <si>
    <t>Survey</t>
  </si>
  <si>
    <t>Correcting LLM outputs with automated feedback (self- or external)</t>
  </si>
  <si>
    <t>Review of training-time, generation-time and post-hoc correction methods</t>
  </si>
  <si>
    <t>Taxonomy by feedback source, format and correction timing</t>
  </si>
  <si>
    <t>Post-hoc correction with external feedback (retrieval, tools, verifiers) is the most practical family for factual errors</t>
  </si>
  <si>
    <t>Five future directions, including the reliability of LLM-generated feedback and theory of when correction works</t>
  </si>
  <si>
    <t>https://aclanthology.org/2024.tacl-1.27.pdf</t>
  </si>
  <si>
    <t>Tyen et al., 2024</t>
  </si>
  <si>
    <t>Benchmark and analysis</t>
  </si>
  <si>
    <t>Whether self-correction fails at finding errors or at fixing them</t>
  </si>
  <si>
    <t>BIG-Bench Mistake: LLM chain-of-thought traces with the first logical mistake marked</t>
  </si>
  <si>
    <t>Benchmark mistake finding; backtracking given the mistake location; small reward model for locating mistakes</t>
  </si>
  <si>
    <t>LLMs struggle to find logical mistakes but can correct outputs once given the location</t>
  </si>
  <si>
    <t>Mistake finding is the bottleneck; a trained locator helps only partly</t>
  </si>
  <si>
    <t>https://aclanthology.org/2024.findings-acl.826.pdf</t>
  </si>
  <si>
    <t>Li et al., 2025</t>
  </si>
  <si>
    <t>Method (self-reflection training)</t>
  </si>
  <si>
    <t>Teaching small models to reflect on and correct their own reasoning, using self-generated data</t>
  </si>
  <si>
    <t>ReflectEvo-460k self-generated reflection data; BIG-bench and other reasoning tasks</t>
  </si>
  <si>
    <t>Iterative self-reflection generation for self-training, then SFT and DPO</t>
  </si>
  <si>
    <t>Llama-3 52.4% to 71.2% and Mistral 44.4% to 71.1%; rivals larger open models without distillation</t>
  </si>
  <si>
    <t>Reflection quality depends on the model's initial reasoning ability; coding and maths need more specialised critiques</t>
  </si>
  <si>
    <t>https://aclanthology.org/2025.findings-acl.871.pdf</t>
  </si>
  <si>
    <t>Zhou &amp; Chen, 2025</t>
  </si>
  <si>
    <t>Method (multi-agent critique)</t>
  </si>
  <si>
    <t>Correcting reasoning and factual errors through debate between specialised LLM agents</t>
  </si>
  <si>
    <t>Six benchmarks incl. GSM8K, MMLU, arithmetic, factual generation and chess-move validity</t>
  </si>
  <si>
    <t>A-HMAD: role-specialised agents, dynamic debate routing and a learned consensus that weights agents by reliability</t>
  </si>
  <si>
    <t>GSM8K 90.2% (+6.2 over standard debate, +13.2 over self-consistency); MMLU 76.5% (+5.4); up to 6% over standard debate overall</t>
  </si>
  <si>
    <t>Agent roles are hand-defined; consensus is learned offline; external tools and evidence not yet integrated</t>
  </si>
  <si>
    <t>https://link.springer.com/article/10.1007/s44443-025-00353-3</t>
  </si>
  <si>
    <t>Springer open access (publisher)</t>
  </si>
  <si>
    <t>Akhtar et al., 2023</t>
  </si>
  <si>
    <t>Empirical evaluation (probing)</t>
  </si>
  <si>
    <t>Which numerical reasoning skills language models actually have, tested on tables</t>
  </si>
  <si>
    <t>Table NLI with probes for more than ten numerical reasoning types; ten models</t>
  </si>
  <si>
    <t>Hierarchical taxonomy (representation, number sense, manipulation, complex reasoning); semi-automatic probe generation</t>
  </si>
  <si>
    <t>No model excels on all types; FlanT5 and few-shot GPT-3.5 are strongest; label-flip probes show models exploit dataset artefacts</t>
  </si>
  <si>
    <t>Only table NLI evaluated; most probes change the hypothesis, not numbers in the table premise</t>
  </si>
  <si>
    <t>https://aclanthology.org/2023.findings-emnlp.1028.pdf</t>
  </si>
  <si>
    <t>Chen et al., 2023b</t>
  </si>
  <si>
    <t>Method (program-aided reasoning)</t>
  </si>
  <si>
    <t>Separating reasoning (program) from computation (interpreter) for numerical tasks</t>
  </si>
  <si>
    <t>Math word problems and financial QA (FinQA, ConvFinQA, TAT-QA)</t>
  </si>
  <si>
    <t>Program of Thoughts prompting, few-shot and zero-shot, with self-consistency</t>
  </si>
  <si>
    <t>About 12% average gain over chain-of-thought across datasets</t>
  </si>
  <si>
    <t>Executing generated code carries risks; weaker on some sets (58% on AQuA)</t>
  </si>
  <si>
    <t>https://arxiv.org/pdf/2211.12588</t>
  </si>
  <si>
    <t>arXiv author version of the TMLR paper</t>
  </si>
  <si>
    <t>Gao et al., 2023b</t>
  </si>
  <si>
    <t>Offloading calculation to a Python interpreter</t>
  </si>
  <si>
    <t>Math, symbolic and algorithmic reasoning benchmarks (incl. GSM8K)</t>
  </si>
  <si>
    <t>PAL: the LLM writes a program as its reasoning; the interpreter computes the answer</t>
  </si>
  <si>
    <t>With Codex, state of the art on GSM8K, 15% absolute above PaLM-540B with chain-of-thought</t>
  </si>
  <si>
    <t>No limitations section; relies on a code-capable LLM (Codex) to write the programs</t>
  </si>
  <si>
    <t>https://proceedings.mlr.press/v202/gao23f/gao23f.pdf</t>
  </si>
  <si>
    <t>PMLR (open access); found as arXiv record, peer-reviewed version assessed</t>
  </si>
  <si>
    <t>Liu et al., 2023b</t>
  </si>
  <si>
    <t>Method (integrated reasoning)</t>
  </si>
  <si>
    <t>Switching between CoT, PoT and equation-based reasoning with verification and execution feedback</t>
  </si>
  <si>
    <t>10 math reasoning datasets; also logical reasoning</t>
  </si>
  <si>
    <t>XoT: plan the method, execute, verify (active and passive), switch methods when checks fail</t>
  </si>
  <si>
    <t>Methods are complementary (together could solve 92.72% of problems, over 10% above the best single method); XoT improves accuracy across datasets</t>
  </si>
  <si>
    <t>Little gain on easy datasets; depends on diverse prompting methods; works better on larger models</t>
  </si>
  <si>
    <t>https://aclanthology.org/2023.emnlp-main.169.pdf</t>
  </si>
  <si>
    <t>Qian et al., 2023</t>
  </si>
  <si>
    <t>Method (tool creation)</t>
  </si>
  <si>
    <t>Letting the LLM write its own tools (code) before using them, separating planning from execution</t>
  </si>
  <si>
    <t>MATH, TabMWP and a new 2K-question Creation Challenge</t>
  </si>
  <si>
    <t>CREATOR: create a tool (documentation plus code), decide how to use it, execute, then rectify on errors</t>
  </si>
  <si>
    <t>ChatGPT with CREATOR averages 59.7% on MATH and 94.7% on TabMWP, above CoT, PoT and tool-use baselines</t>
  </si>
  <si>
    <t>Only two established benchmarks plus the new set; correctness of more complex created tools is not yet evaluated</t>
  </si>
  <si>
    <t>https://aclanthology.org/2023.findings-emnlp.462.pdf</t>
  </si>
  <si>
    <t>Schick et al., 2023</t>
  </si>
  <si>
    <t>Method (self-taught tool use)</t>
  </si>
  <si>
    <t>Letting an LM learn when and how to call tools such as a calculator</t>
  </si>
  <si>
    <t>GPT-J (6.7B) on maths, QA, multilingual and temporal tasks</t>
  </si>
  <si>
    <t>Self-supervised: sample API calls, keep those that reduce loss, fine-tune</t>
  </si>
  <si>
    <t>Large zero-shot gains, often competitive with much larger models</t>
  </si>
  <si>
    <t>Cannot chain tools (one tool's output into another) or use a tool interactively, e.g. browsing search results</t>
  </si>
  <si>
    <t>Ye et al., 2023</t>
  </si>
  <si>
    <t>Method (solver-aided reasoning)</t>
  </si>
  <si>
    <t>Having the LLM write a declarative specification and letting a solver find the answer</t>
  </si>
  <si>
    <t>8 datasets incl. GSM, LSAT, BoardgameQA</t>
  </si>
  <si>
    <t>SatLM: LLM parses the problem into declarative formulas; an automated theorem prover (SAT/SMT) solves them</t>
  </si>
  <si>
    <t>23% better than program-aided LMs on a hard GSM subset; new state of the art on LSAT and BoardgameQA</t>
  </si>
  <si>
    <t>Less effective when problems suit imperative programs (lags on GSM); inherits solver cost and expressiveness limits</t>
  </si>
  <si>
    <t>https://arxiv.org/pdf/2305.09656</t>
  </si>
  <si>
    <t>Zhao et al., 2023a</t>
  </si>
  <si>
    <t>Method (reasoning-mode selection)</t>
  </si>
  <si>
    <t>Choosing per question between chain-of-thought and program-aided reasoning</t>
  </si>
  <si>
    <t>Eight reasoning datasets with Codex, ChatGPT and GPT-4</t>
  </si>
  <si>
    <t>An LLM selects between the CoT and PAL solutions; theoretical analysis of when selection helps; combined with self-consistency</t>
  </si>
  <si>
    <t>Gains on all eight datasets; new state of the art on GSM8K (96.8%) and SVAMP (93.7%); lower cost with self-consistency</t>
  </si>
  <si>
    <t>Selector is affected by option order (LLM bias); only two base methods combined; reasoning tasks only</t>
  </si>
  <si>
    <t>https://aclanthology.org/2023.findings-emnlp.55.pdf</t>
  </si>
  <si>
    <t>Bi et al., 2024</t>
  </si>
  <si>
    <t>Empirical analysis and data method</t>
  </si>
  <si>
    <t>Which properties of code data make program-of-thought prompting improve reasoning</t>
  </si>
  <si>
    <t>Mathematical reasoning instruction data and code-generation data</t>
  </si>
  <si>
    <t>Complexity-Impacted Reasoning Score (AST structure plus logical and cyclomatic complexity); auto-synthesising and stratifying data</t>
  </si>
  <si>
    <t>Code of an optimal complexity level is learnable and helps most; overly complex code is too hard for LLMs to learn</t>
  </si>
  <si>
    <t>No separate limitations section; the learnable complexity level depends on model size</t>
  </si>
  <si>
    <t>https://ojs.aaai.org/index.php/AAAI/article/download/29721/31237</t>
  </si>
  <si>
    <t>Liu et al., 2024b</t>
  </si>
  <si>
    <t>Benchmark</t>
  </si>
  <si>
    <t>Whether LLMs can do statistical and causal reasoning on real data, by text, programs or agents</t>
  </si>
  <si>
    <t>QRData: 411 questions with data sheets, plus 290 text-only questions (QRText)</t>
  </si>
  <si>
    <t>Compares chain-of-thought, program-of-thoughts, ReAct and code-interpreter agents across many LLMs</t>
  </si>
  <si>
    <t>Best model GPT-4 reaches 58%; best open model (Deepseek-coder-instruct) 37%; models struggle to combine causal knowledge with the data</t>
  </si>
  <si>
    <t>English only; covers statistical and causal reasoning only; not all models and agent frameworks tested</t>
  </si>
  <si>
    <t>https://aclanthology.org/2024.findings-acl.548.pdf</t>
  </si>
  <si>
    <t>Zhu et al., 2024c</t>
  </si>
  <si>
    <t>Method (distillation)</t>
  </si>
  <si>
    <t>Distilling reasoning into small models with programs instead of chain-of-thought</t>
  </si>
  <si>
    <t>Arithmetic and symbolic reasoning; general ability</t>
  </si>
  <si>
    <t>Program-aided Distillation: keep only programs that execute correctly; self-refinement and step-by-step verification</t>
  </si>
  <si>
    <t>Small models outperform some LLMs (e.g. LLaMA-1 13B) with far fewer parameters and data</t>
  </si>
  <si>
    <t>Small models remain limited: distilled models do not perform well across many tasks at once</t>
  </si>
  <si>
    <t>https://aclanthology.org/2024.naacl-long.142.pdf</t>
  </si>
  <si>
    <t>Xiong et al., 2025</t>
  </si>
  <si>
    <t>Method (LLM agent)</t>
  </si>
  <si>
    <t>Table QA on large tables by zooming into the relevant sub-table and computing with programs</t>
  </si>
  <si>
    <t>DataBench (large tables) and TableBench (incl. fact checking) with Qwen3-8B-Instruct</t>
  </si>
  <si>
    <t>TableZoomer: table schema instead of verbalised table, query-aware zooming, Program-of-Thoughts in a ReAct loop</t>
  </si>
  <si>
    <t>+19.34% accuracy over conventional PoT on DataBench and +25% on TableBench fact checking</t>
  </si>
  <si>
    <t>Predefined fixed workflow is a performance bottleneck; authors plan an adaptive agentic scheduler</t>
  </si>
  <si>
    <t>https://link.springer.com/article/10.1007/s44336-025-00016-x</t>
  </si>
  <si>
    <t>Chen et al., 2021</t>
  </si>
  <si>
    <t>Numerical reasoning over financial reports with executable gold programs</t>
  </si>
  <si>
    <t>8,281 QA pairs from S&amp;P 500 earnings reports by finance professionals</t>
  </si>
  <si>
    <t>Retriever-generator: retrieve facts, generate executable reasoning programs</t>
  </si>
  <si>
    <t>65.05% execution accuracy versus 91.16% for experts</t>
  </si>
  <si>
    <t>Large gap to experts in domain knowledge and multi-step reasoning</t>
  </si>
  <si>
    <t>https://aclanthology.org/2021.emnlp-main.300.pdf</t>
  </si>
  <si>
    <t>Zhu et al., 2021</t>
  </si>
  <si>
    <t>Benchmark and method</t>
  </si>
  <si>
    <t>QA needing arithmetic over hybrid tables and text in financial reports</t>
  </si>
  <si>
    <t>TAT-QA: 16,552 questions from real financial reports</t>
  </si>
  <si>
    <t>TAGOP: tag evidence cells and spans, apply symbolic operators</t>
  </si>
  <si>
    <t>TAGOP F1 58.0% versus 90.8% for humans</t>
  </si>
  <si>
    <t>Large gap to humans in numerical reasoning over hybrid data</t>
  </si>
  <si>
    <t>https://aclanthology.org/2021.acl-long.254.pdf</t>
  </si>
  <si>
    <t>ACL Anthology (open access); found as arXiv record, peer-reviewed version assessed</t>
  </si>
  <si>
    <t>Chen et al., 2022</t>
  </si>
  <si>
    <t>Chains of numerical reasoning across conversation turns in finance</t>
  </si>
  <si>
    <t>ConvFinQA: conversations built by decomposing FinQA questions</t>
  </si>
  <si>
    <t>Neural-symbolic models and prompting-based methods</t>
  </si>
  <si>
    <t>Both kinds stay below 70% execution accuracy versus 89.4% for humans</t>
  </si>
  <si>
    <t>Only two conversation-construction mechanisms; does not cover all real conversation patterns</t>
  </si>
  <si>
    <t>https://aclanthology.org/2022.emnlp-main.421.pdf</t>
  </si>
  <si>
    <t>Deng et al., 2022</t>
  </si>
  <si>
    <t>Conversational financial QA that asks clarifying questions and reasons numerically over tables and text</t>
  </si>
  <si>
    <t>PACIFIC dataset built on hybrid table-text financial reports</t>
  </si>
  <si>
    <t>UniPCQA: one Seq2Seq model for all sub-tasks, with numerical reasoning rewritten as code generation and an ensemble over top-k outputs</t>
  </si>
  <si>
    <t>The dataset is very challenging; models must handle hybrid input and output formats and diverse numerical reasoning</t>
  </si>
  <si>
    <t>Questions need only basic arithmetic, counting and comparison; clarification turns are limited in form</t>
  </si>
  <si>
    <t>https://aclanthology.org/2022.emnlp-main.469.pdf</t>
  </si>
  <si>
    <t>Li et al., 2022</t>
  </si>
  <si>
    <t>Method (financial QA model)</t>
  </si>
  <si>
    <t>Multi-step numerical reasoning over financial reports with a tree-structured solver</t>
  </si>
  <si>
    <t>TAT-QA</t>
  </si>
  <si>
    <t>FinMath: evidence extraction, then a tree-structured neural decoder that builds the arithmetic expression top-down</t>
  </si>
  <si>
    <t>Exact Match 50.1% to 58.6% (+8.5) and numeracy-focused F1 58.0% to 64.1% (+6.1) over the previous best</t>
  </si>
  <si>
    <t>No limitations section; evaluated on TAT-QA only</t>
  </si>
  <si>
    <t>http://www.lrec-conf.org/proceedings/lrec2022/pdf/2022.lrec-1.661.pdf</t>
  </si>
  <si>
    <t>LREC proceedings (open access, CC BY-NC)</t>
  </si>
  <si>
    <t>Nararatwong et al., 2022</t>
  </si>
  <si>
    <t>Keeping financial table-text QA accurate when data and compute are limited</t>
  </si>
  <si>
    <t>TAT-QA (TagOp baseline)</t>
  </si>
  <si>
    <t>GNN-based table evidence extraction plus a numerical module that fixes operand order for subtraction and division</t>
  </si>
  <si>
    <t>Graph module helps in low-resource settings; the ordering module improves arithmetic regardless of data or model size</t>
  </si>
  <si>
    <t>No limitations section; built on and evaluated with the TagOp pipeline only</t>
  </si>
  <si>
    <t>https://aclanthology.org/2022.aacl-main.72.pdf</t>
  </si>
  <si>
    <t>Zhao et al., 2022</t>
  </si>
  <si>
    <t>Numerical reasoning across multiple hierarchical tables and text</t>
  </si>
  <si>
    <t>MultiHiertt: QA over financial reports with several hierarchical tables</t>
  </si>
  <si>
    <t>MT2Net: facts retrieval plus a reasoning module</t>
  </si>
  <si>
    <t>MT2Net F1 38.43% versus 87.03% for human experts</t>
  </si>
  <si>
    <t>Models fail on reasoning across tables and on multi-step reasoning</t>
  </si>
  <si>
    <t>https://aclanthology.org/2022.acl-long.454.pdf</t>
  </si>
  <si>
    <t>Liu et al., 2023a</t>
  </si>
  <si>
    <t>Conversational QA over tables from Chinese company financial reports</t>
  </si>
  <si>
    <t>7,041 tables and 109,089 QA pairs (manual and template-generated), incl. unanswerable questions</t>
  </si>
  <si>
    <t>Text-based and operation-based tabular CQA baselines</t>
  </si>
  <si>
    <t>Large gap between human and model performance; 47.7% of QA pairs involve coreference or ellipsis</t>
  </si>
  <si>
    <t>No limitations section; Chinese-language reports only</t>
  </si>
  <si>
    <t>https://aclanthology.org/2023.acl-industry.20.pdf</t>
  </si>
  <si>
    <t>Zhu et al., 2023</t>
  </si>
  <si>
    <t>Better evidence extraction and numerical reasoning over financial tables and text</t>
  </si>
  <si>
    <t>FinQA and TAT-QA</t>
  </si>
  <si>
    <t>SoarGraph: hierarchical graphs over question, cells, paragraphs, quantities and dates</t>
  </si>
  <si>
    <t>Exact Match +3.3 (FinQA) and +1.8 (TAT-QA) over the best baselines on the test sets</t>
  </si>
  <si>
    <t>No limitations section; motivated by models missing supporting evidence</t>
  </si>
  <si>
    <t>https://dl.acm.org/doi/fullHtml/10.1145/3543873.3587598</t>
  </si>
  <si>
    <t>ACM Digital Library (free access)</t>
  </si>
  <si>
    <t>Fatemi &amp; Hu, 2024</t>
  </si>
  <si>
    <t>Method (multi-agent reflection)</t>
  </si>
  <si>
    <t>Critic agents that check extraction and calculation in financial QA</t>
  </si>
  <si>
    <t>FinQA, ConvFinQA and TAT-QA with LLaMA3-8B and 70B</t>
  </si>
  <si>
    <t>Multi-agent framework: an expert answers; critic agents review data extraction and reasoning; answer is revised</t>
  </si>
  <si>
    <t>+15% accuracy for LLaMA3-8B and +5% for LLaMA3-70B over single-agent baselines</t>
  </si>
  <si>
    <t>No limitations section; gains are smaller for the larger model (+5% vs +15%)</t>
  </si>
  <si>
    <t>https://arxiv.org/pdf/2410.21741</t>
  </si>
  <si>
    <t>Zhao et al., 2024</t>
  </si>
  <si>
    <t>Knowledge-intensive financial maths over text and tables, with programs as reference solutions</t>
  </si>
  <si>
    <t>1,200 problems with Python reference solutions; finance knowledge bank; 51 LLMs</t>
  </si>
  <si>
    <t>Evaluates CoT and PoT prompting and knowledge-augmentation strategies</t>
  </si>
  <si>
    <t>Best system (GPT-4o) reaches only 60.9% with CoT; adding knowledge helps (Gemini-1.5-Pro 47.5% to 54.5%)</t>
  </si>
  <si>
    <t>Answer extraction is imperfect (scores are an approximate lower bound, about 2% matching error); tables given as text, not images</t>
  </si>
  <si>
    <t>https://aclanthology.org/2024.acl-long.693.pdf</t>
  </si>
  <si>
    <t>Zhu et al., 2024a</t>
  </si>
  <si>
    <t>Method (specialised small LLM)</t>
  </si>
  <si>
    <t>A 7B model specialised for discrete reasoning over tables and text</t>
  </si>
  <si>
    <t>FinQA, TAT-QA and TAT-DQA</t>
  </si>
  <si>
    <t>Step-wise pipeline (Extractor, Reasoner, Executor) learned by fine-tuning LLaMA-2 7B</t>
  </si>
  <si>
    <t>The 7B TAT-LLM outperforms GPT-4 and other baselines on the three benchmarks</t>
  </si>
  <si>
    <t>Inputs over 100 pages exceed the model's length limit</t>
  </si>
  <si>
    <t>https://arxiv.org/pdf/2401.13223</t>
  </si>
  <si>
    <t>Yuan et al., 2025</t>
  </si>
  <si>
    <t>Method (data synthesis)</t>
  </si>
  <si>
    <t>Generating financial numerical-reasoning QA data from formulas to cut annotation cost</t>
  </si>
  <si>
    <t>Financial table-and-text QA (FinQA, TAT-QA-style) models trained with synthetic data</t>
  </si>
  <si>
    <t>Formula graph built from common financial formulas, augmented by shared variables; GPT-3.5 generates tables, text and QA</t>
  </si>
  <si>
    <t>Synthetic data improve several numerical reasoning models beyond training on human-labelled data alone</t>
  </si>
  <si>
    <t>Retriever statement selection relies on imprecise number matching; LLM data synthesis carries privacy and security risks</t>
  </si>
  <si>
    <t>https://arxiv.org/pdf/2401.10744</t>
  </si>
  <si>
    <t>arXiv author version of the journal article</t>
  </si>
  <si>
    <t>Zelikman et al., 2022</t>
  </si>
  <si>
    <t>Method (self-training)</t>
  </si>
  <si>
    <t>Bootstrapping reasoning from a few rationale examples</t>
  </si>
  <si>
    <t>Arithmetic, CommonsenseQA and GSM8K</t>
  </si>
  <si>
    <t>STaR: generate rationales, keep those reaching correct answers, rationalise failures given the answer, fine-tune, repeat</t>
  </si>
  <si>
    <t>Comparable to fine-tuning a 30 times larger model on CommonsenseQA; beats direct-answer fine-tuning</t>
  </si>
  <si>
    <t>Needs above-chance few-shot performance to start; stalls once the model cannot solve new training problems</t>
  </si>
  <si>
    <t>https://arxiv.org/pdf/2203.14465</t>
  </si>
  <si>
    <t>Singh et al., 2024</t>
  </si>
  <si>
    <t>Self-training with binary feedback instead of human data</t>
  </si>
  <si>
    <t>MATH and APPS with PaLM-2 models</t>
  </si>
  <si>
    <t>ReST-EM: sample, filter by correctness, fine-tune, repeat (expectation-maximisation)</t>
  </si>
  <si>
    <t>Scales with model size and clearly beats fine-tuning on human data only</t>
  </si>
  <si>
    <t>Needs a training set of problems and a reliable reward (correctness) function</t>
  </si>
  <si>
    <t>https://arxiv.org/pdf/2312.06585</t>
  </si>
  <si>
    <t>Wang et al., 2024</t>
  </si>
  <si>
    <t>Improving small models' maths reasoning from their own outputs instead of distilling a large model</t>
  </si>
  <si>
    <t>GSM8K and other math word-problem sets with small models such as Flan-T5-Large</t>
  </si>
  <si>
    <t>DPO-augmented self-training (DPO-ST): self-generated pseudo-labels, with DPO to improve their quality and diversity</t>
  </si>
  <si>
    <t>Outperforms models of comparable size on GSM8K with minimal compute</t>
  </si>
  <si>
    <t>Does not use unlabelled data explicitly; experiments only on math reasoning, for lack of training data in other tasks</t>
  </si>
  <si>
    <t>https://aclanthology.org/2024.acl-long.643.pdf</t>
  </si>
  <si>
    <t>Zhang et al., 2024</t>
  </si>
  <si>
    <t>Better self-training data by inferring per-step process rewards with tree search</t>
  </si>
  <si>
    <t>Math and science reasoning benchmarks with three LLMs</t>
  </si>
  <si>
    <t>ReST-MCTS*: process-reward-guided MCTS infers step values from final answers; trains both policy and reward model</t>
  </si>
  <si>
    <t>Higher accuracy than Best-of-N and Tree-of-Thought at equal search budget; beats ReST-EM and Self-Rewarding over iterations</t>
  </si>
  <si>
    <t>Needs to show transfer beyond maths (coding, agents) and to tasks without ground truth; value model and data filtering need scaling</t>
  </si>
  <si>
    <t>https://arxiv.org/pdf/2406.03816</t>
  </si>
  <si>
    <t>Zhu et al., 2024b</t>
  </si>
  <si>
    <t>Moving an LLM's maths reasoning into sub-billion-parameter models</t>
  </si>
  <si>
    <t>Math word-problem benchmarks with small language models</t>
  </si>
  <si>
    <t>Equation-of-Thought Distillation (EoTD) and Ensemble Thoughts Distillation (CoT, PoT and EoT data together)</t>
  </si>
  <si>
    <t>EoTD boosts small-model reasoning; the ensemble reaches state-of-the-art small-model performance</t>
  </si>
  <si>
    <t>LLMs and SLMs are pre-trained mostly on text and code, so equation-style data are scarcer and benefit SLMs less</t>
  </si>
  <si>
    <t>https://arxiv.org/pdf/2401.11864</t>
  </si>
  <si>
    <t>arXiv author version (accepted manuscript)</t>
  </si>
  <si>
    <t>Deng et al., 2025</t>
  </si>
  <si>
    <t>Whether self-training lets an LLM keep chain-of-thought gains without being prompted for chain-of-thought</t>
  </si>
  <si>
    <t>Vicuna and Llama2 models of several sizes; GSM8K, ReClor, LogiQA 2.0 (1,000 training and 1,000 test items each)</t>
  </si>
  <si>
    <t>CogniDual: self-practice on own CoT answers, then answering directly (System 2 to System 1)</t>
  </si>
  <si>
    <t>After self-training, models retain CoT-level accuracy without CoT prompts; larger models gain more from limited data</t>
  </si>
  <si>
    <t>Small samples (1,000 per dataset); all models run 4-bit quantised for a uniform comparison</t>
  </si>
  <si>
    <t>https://arxiv.org/pdf/2409.03381</t>
  </si>
  <si>
    <t>arXiv author version of the IEEE paper</t>
  </si>
  <si>
    <t>Munkhbat et al., 2025</t>
  </si>
  <si>
    <t>Shortening chain-of-thought without losing accuracy by training on the model's own concise solutions</t>
  </si>
  <si>
    <t>GSM8K and MATH across five model families</t>
  </si>
  <si>
    <t>Fine-tuning on self-generated concise paths from best-of-N sampling and few-shot conditioning (FS-BoN)</t>
  </si>
  <si>
    <t>About 30% fewer output tokens on average while keeping average accuracy</t>
  </si>
  <si>
    <t>Scaling study only up to 8B (Llama 3.x); RL-based schemes and advanced few-shot prompting not explored</t>
  </si>
  <si>
    <t>https://aclanthology.org/2025.findings-acl.1289.pdf</t>
  </si>
  <si>
    <t>Hu et al., 2022</t>
  </si>
  <si>
    <t>Method (PEFT)</t>
  </si>
  <si>
    <t>Fine-tuning large models by training small low-rank updates</t>
  </si>
  <si>
    <t>RoBERTa, DeBERTa, GPT-2 and GPT-3 175B</t>
  </si>
  <si>
    <t>LoRA: freeze weights; inject trainable rank-decomposition matrices</t>
  </si>
  <si>
    <t>10,000 times fewer trainable parameters and 3 times less GPU memory than full fine-tuning of GPT-3, with on-par or better quality</t>
  </si>
  <si>
    <t>Choice of weight matrices to adapt is heuristic; how adaptation works is still unclear</t>
  </si>
  <si>
    <t>https://arxiv.org/pdf/2106.09685</t>
  </si>
  <si>
    <t>arXiv author version of the ICLR paper (OpenAlex record carried a wrong title)</t>
  </si>
  <si>
    <t>Dettmers et al., 2023</t>
  </si>
  <si>
    <t>Method (quantised PEFT)</t>
  </si>
  <si>
    <t>Fine-tuning very large models on one GPU</t>
  </si>
  <si>
    <t>Instruction tuning; Vicuna and other chatbot benchmarks</t>
  </si>
  <si>
    <t>QLoRA: 4-bit NormalFloat base model, double quantisation, paged optimisers, LoRA adapters</t>
  </si>
  <si>
    <t>Fine-tunes a 65B model on a single 48GB GPU with 16-bit quality; Guanaco reaches 99.3% of ChatGPT on Vicuna</t>
  </si>
  <si>
    <t>Parity with full 16-bit fine-tuning not established at 33B and 65B; chatbot benchmarks and human ratings are unreliable (Fleiss kappa 0.42)</t>
  </si>
  <si>
    <t>https://arxiv.org/pdf/2305.14314</t>
  </si>
  <si>
    <t>Ding et al., 2023</t>
  </si>
  <si>
    <t>Letting LoRA's rank adapt during training instead of fixing it</t>
  </si>
  <si>
    <t>Standard NLP fine-tuning benchmarks</t>
  </si>
  <si>
    <t>SoRA: gated low-rank adaptation with a proximal-gradient sparsity gate; sparsifying scheduler</t>
  </si>
  <si>
    <t>Beats PEFT baselines with fewer parameters, with 70% retained parameters and about 30% shorter training</t>
  </si>
  <si>
    <t>Evaluated only on traditional NLP tasks (not instruction tuning or cross-modal); the sparsifying process is hard to explain rigorously</t>
  </si>
  <si>
    <t>https://aclanthology.org/2023.emnlp-main.252.pdf</t>
  </si>
  <si>
    <t>Geng et al., 2023</t>
  </si>
  <si>
    <t>Method (constrained decoding)</t>
  </si>
  <si>
    <t>Guaranteeing well-formed structured output without fine-tuning</t>
  </si>
  <si>
    <t>Information extraction, entity disambiguation and constituency parsing</t>
  </si>
  <si>
    <t>Grammar-constrained decoding with input-dependent formal grammars</t>
  </si>
  <si>
    <t>Boosts few-shot LLM performance on structured tasks, often beating fine-tuned models</t>
  </si>
  <si>
    <t>Needs access to decoding logits (not possible with closed APIs); adds latency</t>
  </si>
  <si>
    <t>https://aclanthology.org/2023.emnlp-main.674.pdf</t>
  </si>
  <si>
    <t>Lee et al., 2024</t>
  </si>
  <si>
    <t>Method (quantisation and tuning)</t>
  </si>
  <si>
    <t>Low-bit weight quantisation that keeps quality and still allows task fine-tuning</t>
  </si>
  <si>
    <t>LLM language-modelling and task benchmarks</t>
  </si>
  <si>
    <t>OWQ: keeps quantisation-sensitive weight columns in high precision; weak column tuning (WCT) for task adaptation</t>
  </si>
  <si>
    <t>3.1-bit OWQ models perform comparably to 4-bit OPTQ models; WCT adapts tasks with minimal memory</t>
  </si>
  <si>
    <t>No limitations section; overhead is described as negligible storage and computation</t>
  </si>
  <si>
    <t>https://ojs.aaai.org/index.php/AAAI/article/download/29237/30335</t>
  </si>
  <si>
    <t>Liu et al., 2024a</t>
  </si>
  <si>
    <t>Survey study (practitioners)</t>
  </si>
  <si>
    <t>Why and how practitioners want to constrain LLM output format and content</t>
  </si>
  <si>
    <t>Survey of 51 experienced industry professionals</t>
  </si>
  <si>
    <t>Inductive thematic analysis; ConstraintMaker prototype GUI</t>
  </si>
  <si>
    <t>134 use cases: low-level (format, length) and high-level (semantic, style, no hallucination) constraints; constraints simplify prompt development</t>
  </si>
  <si>
    <t>Industry professionals from a single corporation only; open-ended questions may have lowered the response rate</t>
  </si>
  <si>
    <t>https://arxiv.org/pdf/2404.07362</t>
  </si>
  <si>
    <t>Tam et al., 2024</t>
  </si>
  <si>
    <t>Empirical evaluation</t>
  </si>
  <si>
    <t>Whether forcing JSON/XML formats hurts LLM reasoning</t>
  </si>
  <si>
    <t>Reasoning and classification tasks under several format restrictions</t>
  </si>
  <si>
    <t>Compare free-form answers, format-following prompts and constrained decoding (JSON mode)</t>
  </si>
  <si>
    <t>Strict format constraints degrade reasoning but can help classification; looser formats work better for reasoning</t>
  </si>
  <si>
    <t>Cost prevented testing stronger models (LLaMA 70B, GPT-4o); evaluation tasks are limited in scope</t>
  </si>
  <si>
    <t>https://aclanthology.org/2024.emnlp-industry.91.pdf</t>
  </si>
  <si>
    <t>Mao et al., 2025</t>
  </si>
  <si>
    <t>State of LoRA research for LLMs</t>
  </si>
  <si>
    <t>Review of LoRA variants, multi-LoRA generalisation, efficiency methods, federated learning and applications</t>
  </si>
  <si>
    <t>Narrative survey organised in five perspectives</t>
  </si>
  <si>
    <t>LoRA is parameter-efficient, pluggable and composable, which makes it central to LLM applications</t>
  </si>
  <si>
    <t>Future directions: LoRA for generative-AI-as-a-service, continued pre-training and further scenarios</t>
  </si>
  <si>
    <t>https://arxiv.org/pdf/2407.11046</t>
  </si>
  <si>
    <t>Weyssow et al., 2025</t>
  </si>
  <si>
    <t>Empirical study</t>
  </si>
  <si>
    <t>How LoRA, QLoRA and other PEFT methods compare with in-context learning and RAG</t>
  </si>
  <si>
    <t>Conala, CodeAlpacaPy and APPS code generation; small and large code LLMs</t>
  </si>
  <si>
    <t>Systematic comparison of PEFT techniques (incl. LoRA, QLoRA) against ICL and RAG</t>
  </si>
  <si>
    <t>PEFT beats ICL and RAG across LLMs; combining PEFT with quantisation lets larger models be tuned with much less memory</t>
  </si>
  <si>
    <t>Code generation only; authors call for study of efficient techniques in other fine-tuning settings, at inference, and other SE tasks</t>
  </si>
  <si>
    <t>https://arxiv.org/pdf/2308.10462</t>
  </si>
  <si>
    <t>04 - PRISMA counts: Repair</t>
  </si>
  <si>
    <t>Every count is a formula over sheets 01 and 02, so it updates when a decision changes.</t>
  </si>
  <si>
    <t>Stage</t>
  </si>
  <si>
    <t>Count</t>
  </si>
  <si>
    <t>Where it comes from</t>
  </si>
  <si>
    <t>Identification (databases)</t>
  </si>
  <si>
    <t>Records identified from database searches (all hits)</t>
  </si>
  <si>
    <t>Sum of total hits, sheet 01</t>
  </si>
  <si>
    <t>Records not exported (beyond the 25 most-cited per search)</t>
  </si>
  <si>
    <t>Hits minus exported records</t>
  </si>
  <si>
    <t>Sum of exported records, sheet 01</t>
  </si>
  <si>
    <t>Duplicate records removed (same record found by more than one search)</t>
  </si>
  <si>
    <t>Exported minus unique records</t>
  </si>
  <si>
    <t>Records screened (unique)</t>
  </si>
  <si>
    <t>Database rows in sheet 02</t>
  </si>
  <si>
    <t>Records excluded at title (P1)</t>
  </si>
  <si>
    <t>P1 = DROP</t>
  </si>
  <si>
    <t>Records excluded at abstract (P2)</t>
  </si>
  <si>
    <t>P2 = DROP</t>
  </si>
  <si>
    <t>Full texts assessed for eligibility</t>
  </si>
  <si>
    <t>Screened minus P1 and P2 exclusions</t>
  </si>
  <si>
    <t>Full texts excluded (P3)</t>
  </si>
  <si>
    <t>P3 = DROP; reasons below</t>
  </si>
  <si>
    <t>Studies included from databases</t>
  </si>
  <si>
    <t>Assessed minus excluded</t>
  </si>
  <si>
    <t>Identification (other methods)</t>
  </si>
  <si>
    <t>Records identified by citation chasing</t>
  </si>
  <si>
    <t>Citation-chasing rows in sheet 02</t>
  </si>
  <si>
    <t>P3 = DROP</t>
  </si>
  <si>
    <t>Studies included by citation chasing</t>
  </si>
  <si>
    <t>Identified minus excluded</t>
  </si>
  <si>
    <t>Total studies included</t>
  </si>
  <si>
    <t>Databases plus citation chasing</t>
  </si>
  <si>
    <t>Check: INCLUDED = YES in sheet 02</t>
  </si>
  <si>
    <t>Must equal the total above</t>
  </si>
  <si>
    <t>Full-text exclusion reasons (all routes)</t>
  </si>
  <si>
    <t>Reason</t>
  </si>
  <si>
    <t>Definition</t>
  </si>
  <si>
    <t>preprints and technical reports with no archival version found, non-archival workshop papers, and journals whose peer review cannot be verified (open-access journals not listed in DOAJ).</t>
  </si>
  <si>
    <t>Outside date range</t>
  </si>
  <si>
    <t>published before 2017.</t>
  </si>
  <si>
    <t>Outside scope</t>
  </si>
  <si>
    <t>fails the member's scope at full-text stage.</t>
  </si>
  <si>
    <t>subscription-only and no author version found (arXiv searched by title).</t>
  </si>
  <si>
    <t>another version (e.g. arXiv copy) of a paper already in the log.</t>
  </si>
  <si>
    <t>Total</t>
  </si>
  <si>
    <t>Must equal P3 exclusions from both routes</t>
  </si>
  <si>
    <t>Included studies by subtopic</t>
  </si>
  <si>
    <t>Subtopic</t>
  </si>
  <si>
    <t>Label</t>
  </si>
  <si>
    <t>A</t>
  </si>
  <si>
    <t>Post-hoc revision and factual error correction</t>
  </si>
  <si>
    <t>B</t>
  </si>
  <si>
    <t>Self-correction and critique</t>
  </si>
  <si>
    <t>C</t>
  </si>
  <si>
    <t>Program- and tool-aided numerical reasoning</t>
  </si>
  <si>
    <t>D</t>
  </si>
  <si>
    <t>Financial numerical reasoning</t>
  </si>
  <si>
    <t>E</t>
  </si>
  <si>
    <t>Self-training, rejection sampling and distillation</t>
  </si>
  <si>
    <t>F</t>
  </si>
  <si>
    <t>Efficient fine-tuning and structured output</t>
  </si>
  <si>
    <t>05 - Gaps register: Repair</t>
  </si>
  <si>
    <t>Gaps as the authors state them (see sheet 03), and whether FaithGuard closes them. 'Not addressed' marks honest future work.</t>
  </si>
  <si>
    <t>Gap as stated by the authors</t>
  </si>
  <si>
    <t>Source (Author, Year)</t>
  </si>
  <si>
    <t>Theme</t>
  </si>
  <si>
    <t>Your note / how it would be closed</t>
  </si>
  <si>
    <t>Correctors trained on artificial corruptions transfer poorly to real model errors; low recall and false positives remain.</t>
  </si>
  <si>
    <t>Training data realism</t>
  </si>
  <si>
    <t>Stage B self-trains on the repairer's own outputs on real answers, filtered by the hard gate.</t>
  </si>
  <si>
    <t>Post-editors often rewrite summaries that were already correct and can introduce new errors.</t>
  </si>
  <si>
    <t>Collateral damage</t>
  </si>
  <si>
    <t>Edit programs KEEP unflagged text; the hard gate rejects repairs that add new errors, and damage is counted.</t>
  </si>
  <si>
    <t>LLMs cannot find reasoning errors but can correct them once given the location.</t>
  </si>
  <si>
    <t>Error localisation</t>
  </si>
  <si>
    <t>The repair prompt lists the claims the detector flagged, so the model is told where the errors are.</t>
  </si>
  <si>
    <t>Without external feedback, LLMs struggle to self-correct reasoning and may get worse.</t>
  </si>
  <si>
    <t>Feedback source</t>
  </si>
  <si>
    <t>Repair uses external checks (rule checker, recheck in the gate), not intrinsic self-correction.</t>
  </si>
  <si>
    <t>Zero-shot correction cannot fix errors that need domain knowledge and assumes evidence is given.</t>
  </si>
  <si>
    <t>Evidence</t>
  </si>
  <si>
    <t>COPY and CALCULATE take values only from the source filing (provenance check).</t>
  </si>
  <si>
    <t>Retrieved evidence is not always relevant to the claim.</t>
  </si>
  <si>
    <t>Evidence is the filing itself; the gate's relevance check covers it.</t>
  </si>
  <si>
    <t>Executing generated code carries risks; some sets remain weak (58% on AQuA).</t>
  </si>
  <si>
    <t>Safe computation</t>
  </si>
  <si>
    <t>A restricted expression language is parsed and evaluated with Decimal; nothing is passed to eval.</t>
  </si>
  <si>
    <t>Distilled small models still do not perform well across many tasks.</t>
  </si>
  <si>
    <t>Small models</t>
  </si>
  <si>
    <t>The task is narrowed to short edit programs that a 2B model can learn.</t>
  </si>
  <si>
    <t>Self-training needs a set of training problems and a reliable reward function.</t>
  </si>
  <si>
    <t>Reward</t>
  </si>
  <si>
    <t>The hard gate serves as the binary reward for rejection sampling.</t>
  </si>
  <si>
    <t>Strict format restrictions (JSON mode) degrade reasoning.</t>
  </si>
  <si>
    <t>Output format</t>
  </si>
  <si>
    <t>Edit programs are short JSON objects parsed after generation.</t>
  </si>
  <si>
    <t>Grammar-constrained decoding needs access to decoding and adds latency.</t>
  </si>
  <si>
    <t>FaithGuard runs an open model locally, so constrained decoding remains an option.</t>
  </si>
  <si>
    <t>Multi-table numerical reasoning stays far below experts (F1 38.43 vs 87.03).</t>
  </si>
  <si>
    <t>Financial reasoning</t>
  </si>
  <si>
    <t>Repair targets the specific wrong number instead of answering the whole question again.</t>
  </si>
  <si>
    <t>Answer extraction from free text is imperfect (about 2% matching error).</t>
  </si>
  <si>
    <t>Evaluation</t>
  </si>
  <si>
    <t>Typed edit programs are parsed exactly; numbers are compared with Decimal.</t>
  </si>
  <si>
    <t>Parity of 4-bit QLoRA with full 16-bit fine-tuning is not established at 33B-65B.</t>
  </si>
  <si>
    <t>Efficiency</t>
  </si>
  <si>
    <t>FaithGuard trains a 2B model with LoRA in fp16 on one T4; full fine-tuning is outside the budget.</t>
  </si>
  <si>
    <t>06 - Technology comparison evidence</t>
  </si>
  <si>
    <t>Alternatives compared for each design choice, the criteria used, and the provisional decision recorded in the FaithGuard architecture and decision log. Preprints appear here only as background; they are excluded from the review.</t>
  </si>
  <si>
    <t>Research / technology area</t>
  </si>
  <si>
    <t>Alternatives compared</t>
  </si>
  <si>
    <t>Selection criteria and provisional decision</t>
  </si>
  <si>
    <t>Source (citation or URL)</t>
  </si>
  <si>
    <t>Repair strategy</t>
  </si>
  <si>
    <t>Regenerate the answer; free-text post-editing (FactEdit, RARR); research-and-revise; typed edit programs</t>
  </si>
  <si>
    <t>Need minimal, checkable changes that never break correct text. Decision: typed edit programs (KEEP, COPY, CALCULATE, CANNOT_FIX) applied by a deterministic executor.</t>
  </si>
  <si>
    <t>Balachandran et al., 2022; Gao et al., 2023a; Thorne &amp; Vlachos, 2021; Huang et al., 2023</t>
  </si>
  <si>
    <t>Arithmetic</t>
  </si>
  <si>
    <t>Chain-of-thought; program-of-thoughts and PAL; tool calls (Toolformer); declarative solvers (SatLM)</t>
  </si>
  <si>
    <t>Need exact financial arithmetic. Decision: CALCULATE operations evaluated with Python Decimal through a restricted parser.</t>
  </si>
  <si>
    <t>Gao et al., 2023b; Chen et al., 2023b; Schick et al., 2023; Ye et al., 2023</t>
  </si>
  <si>
    <t>Correction signal</t>
  </si>
  <si>
    <t>Intrinsic self-correction (Self-Refine); tool-based critique (CRITIC); given error location (Tyen et al.)</t>
  </si>
  <si>
    <t>Evidence shows correction works with external feedback and known locations. Decision: flagged claims as input; the hard gate rechecks the result, with one retry given the gate's reason.</t>
  </si>
  <si>
    <t>Huang et al., 2024; Kamoi et al., 2024; Gou et al., 2024; Tyen et al., 2024</t>
  </si>
  <si>
    <t>Training scheme</t>
  </si>
  <si>
    <t>Supervised fine-tuning; rejection-sampling self-training (STaR, ReST-EM); DPO self-training; process-reward RL (ReST-MCTS*)</t>
  </si>
  <si>
    <t>Need improvement without more human labels and within T4 limits. Decision: stage A SFT, then stage B rejection-sampling self-training filtered by the hard gate, with stage A data mixed in.</t>
  </si>
  <si>
    <t>Zelikman et al., 2022; Singh et al., 2024; Wang et al., 2024; Zhang et al., 2024</t>
  </si>
  <si>
    <t>Parameter efficiency</t>
  </si>
  <si>
    <t>Full fine-tuning; LoRA; QLoRA; outlier-aware quantisation (OWQ); SoRA</t>
  </si>
  <si>
    <t>Must fit one free T4 GPU. Decision: LoRA (rank 16) on Qwen3.5-2B in fp16.</t>
  </si>
  <si>
    <t>Hu et al., 2022; Dettmers et al., 2023; Lee et al., 2024; Ding et al., 2023; Mao et al., 2025</t>
  </si>
  <si>
    <t>Free text plus parser; JSON mode; grammar-constrained decoding</t>
  </si>
  <si>
    <t>Need reliably parseable programs without hurting reasoning. Decision: short JSON edit programs validated by a parser; constrained decoding kept as an option.</t>
  </si>
  <si>
    <t>Geng et al., 2023; Tam et al., 2024; Liu et al., 2024a</t>
  </si>
  <si>
    <t>Background preprints (not included)</t>
  </si>
  <si>
    <t>Qwen2.5 and Qwen2 technical reports (arXiv); PURR; CoNLI</t>
  </si>
  <si>
    <t>Model cards and preprints used only as engineering references; excluded in sheet 02 as not peer-reviewed.</t>
  </si>
  <si>
    <t>arXiv preprints</t>
  </si>
  <si>
    <t>07 - Reference list: Repair (64 included studies)</t>
  </si>
  <si>
    <t>APA 7 style, alphabetical. Venue, volume and pages checked against Crossref or the proceedings page; free full-text link given for each.</t>
  </si>
  <si>
    <t>Citation</t>
  </si>
  <si>
    <t>Full reference</t>
  </si>
  <si>
    <t>Akhtar, M., Shankarampeta, A., Gupta, V., Patil, A., Cocarascu, O., &amp; Simperl, E. (2023). Exploring the numerical reasoning capabilities of language models: A comprehensive analysis on tabular data. In Findings of the Association for Computational Linguistics: EMNLP 2023 (pp. 15391-15405). ACL. https://doi.org/10.18653/v1/2023.findings-emnlp.1028</t>
  </si>
  <si>
    <t>Balachandran, V., Hajishirzi, H., Cohen, W., &amp; Tsvetkov, Y. (2022). Correcting diverse factual errors in abstractive summarization via post-editing and language model infilling. In Proceedings of the 2022 Conference on Empirical Methods in Natural Language Processing (pp. 9818-9830). ACL. https://doi.org/10.18653/v1/2022.emnlp-main.667</t>
  </si>
  <si>
    <t>Bi, Z., Zhang, N., Jiang, Y., Deng, S., Zheng, G., &amp; Chen, H. (2024). When do program-of-thought works for reasoning? In Proceedings of the AAAI Conference on Artificial Intelligence, 38(16), 17691-17699. https://doi.org/10.1609/aaai.v38i16.29721</t>
  </si>
  <si>
    <t>Cao, M., Dong, Y., Wu, J., &amp; Cheung, J. C. K. (2020). Factual error correction for abstractive summarization models. In Proceedings of the 2020 Conference on Empirical Methods in Natural Language Processing (EMNLP) (pp. 6251-6258). ACL. https://doi.org/10.18653/v1/2020.emnlp-main.506</t>
  </si>
  <si>
    <t>Chen, J., Xu, R., Zeng, W., Sun, C., Li, L., &amp; Xiao, Y. (2023a). Converge to the truth: Factual error correction via iterative constrained editing. In Proceedings of the AAAI Conference on Artificial Intelligence, 37(11), 12616-12625. https://doi.org/10.1609/aaai.v37i11.26485</t>
  </si>
  <si>
    <t>Chen, W., Ma, X., Wang, X., &amp; Cohen, W. W. (2023b). Program of thoughts prompting: Disentangling computation from reasoning for numerical reasoning tasks. Transactions on Machine Learning Research.</t>
  </si>
  <si>
    <t>Chen, Z., Chen, W., Smiley, C., Shah, S., Borova, I., Langdon, D., Moussa, R., Beane, M., Huang, T.-H., Routledge, B., &amp; Wang, W. Y. (2021). FinQA: A dataset of numerical reasoning over financial data. In Proceedings of the 2021 Conference on Empirical Methods in Natural Language Processing (pp. 3697-3711). ACL. https://doi.org/10.18653/v1/2021.emnlp-main.300</t>
  </si>
  <si>
    <t>Chen, Z., Li, S., Smiley, C., Ma, Z., Shah, S., &amp; Wang, W. Y. (2022). ConvFinQA: Exploring the chain of numerical reasoning in conversational finance question answering. In Proceedings of the 2022 Conference on Empirical Methods in Natural Language Processing (pp. 6279-6292). ACL. https://doi.org/10.18653/v1/2022.emnlp-main.421</t>
  </si>
  <si>
    <t>Deng, Y., Lei, W., Zhang, W., Lam, W., &amp; Chua, T.-S. (2022). PACIFIC: Towards proactive conversational question answering over tabular and textual data in finance. In Proceedings of the 2022 Conference on Empirical Methods in Natural Language Processing (pp. 6970-6984). ACL. https://doi.org/10.18653/v1/2022.emnlp-main.469</t>
  </si>
  <si>
    <t>Deng, Y., Qiu, X., Tan, X., Qu, C., Pan, J., Cheng, Y., Xu, Y., &amp; Chu, W. (2025). CogniDual framework: Self-training large language models within a dual-system theoretical framework for improving cognitive tasks. In ICASSP 2025 - IEEE International Conference on Acoustics, Speech and Signal Processing (pp. 1-5). IEEE. https://doi.org/10.1109/ICASSP49660.2025.10887899</t>
  </si>
  <si>
    <t>Dettmers, T., Pagnoni, A., Holtzman, A., &amp; Zettlemoyer, L. (2023). QLoRA: Efficient finetuning of quantized LLMs. In Advances in Neural Information Processing Systems 36 (NeurIPS 2023).</t>
  </si>
  <si>
    <t>Ding, N., Lv, X., Wang, Q., Chen, Y., Zhou, B., Liu, Z., &amp; Sun, M. (2023). Sparse low-rank adaptation of pre-trained language models. In Proceedings of the 2023 Conference on Empirical Methods in Natural Language Processing (pp. 4133-4145). ACL. https://doi.org/10.18653/v1/2023.emnlp-main.252</t>
  </si>
  <si>
    <t>Fatemi, S., &amp; Hu, Y. (2024). Enhancing financial question answering with a multi-agent reflection framework. In Proceedings of the 5th ACM International Conference on AI in Finance (ICAIF '24) (pp. 530-537). ACM. https://doi.org/10.1145/3677052.3698686</t>
  </si>
  <si>
    <t>Gao, L., Dai, Z., Pasupat, P., Chen, A., Chaganty, A. T., Fan, Y., Zhao, V., Lao, N., Lee, H., Juan, D.-C., &amp; Guu, K. (2023a). RARR: Researching and revising what language models say, using language models. In Proceedings of the 61st Annual Meeting of the Association for Computational Linguistics (Volume 1: Long Papers) (pp. 16477-16508). ACL. https://doi.org/10.18653/v1/2023.acl-long.910</t>
  </si>
  <si>
    <t>Gao, L., Madaan, A., Zhou, S., Alon, U., Liu, P., Yang, Y., Callan, J., &amp; Neubig, G. (2023b). PAL: Program-aided language models. In Proceedings of the 40th International Conference on Machine Learning (PMLR 202, pp. 10764-10799).</t>
  </si>
  <si>
    <t>Gao, M., Wan, X., Su, J., Wang, Z., &amp; Huai, B. (2023c). Reference matters: Benchmarking factual error correction for dialogue summarization with fine-grained evaluation framework. In Proceedings of the 61st Annual Meeting of the Association for Computational Linguistics (Volume 1: Long Papers) (pp. 13932-13959). ACL. https://doi.org/10.18653/v1/2023.acl-long.779</t>
  </si>
  <si>
    <t>Geng, S., Josifoski, M., Peyrard, M., &amp; West, R. (2023). Grammar-constrained decoding for structured NLP tasks without finetuning. In Proceedings of the 2023 Conference on Empirical Methods in Natural Language Processing (pp. 10932-10952). ACL. https://doi.org/10.18653/v1/2023.emnlp-main.674</t>
  </si>
  <si>
    <t>Gou, Z., Shao, Z., Gong, Y., Shen, Y., Yang, Y., Duan, N., &amp; Chen, W. (2024). CRITIC: Large language models can self-correct with tool-interactive critiquing. In International Conference on Learning Representations (ICLR 2024).</t>
  </si>
  <si>
    <t>He, X., Jin, A.-L., Ma, J., Yuan, Y., &amp; Yiu, S. M. (2023). PivotFEC: Enhancing few-shot factual error correction with a pivot task approach using large language models. In Findings of the Association for Computational Linguistics: EMNLP 2023 (pp. 9960-9976). ACL. https://doi.org/10.18653/v1/2023.findings-emnlp.667</t>
  </si>
  <si>
    <t>He, X., Zhang, Q., Jin, A.-L., Ma, J., Yuan, Y., &amp; Yiu, S. M. (2024). Improving factual error correction by learning to inject factual errors. In Proceedings of the AAAI Conference on Artificial Intelligence, 38(16), 18197-18205. https://doi.org/10.1609/aaai.v38i16.29778</t>
  </si>
  <si>
    <t>Hu, E. J., Shen, Y., Wallis, P., Allen-Zhu, Z., Li, Y., Wang, S., Wang, L., &amp; Chen, W. (2022). LoRA: Low-rank adaptation of large language models. In International Conference on Learning Representations (ICLR 2022).</t>
  </si>
  <si>
    <t>Huang, J., Chen, X., Mishra, S., Zheng, H. S., Yu, A. W., Song, X., &amp; Zhou, D. (2024). Large language models cannot self-correct reasoning yet. In International Conference on Learning Representations (ICLR 2024).</t>
  </si>
  <si>
    <t>Huang, K.-H., Chan, H. P., &amp; Ji, H. (2023). Zero-shot faithful factual error correction. In Proceedings of the 61st Annual Meeting of the Association for Computational Linguistics (Volume 1: Long Papers) (pp. 5660-5676). ACL. https://doi.org/10.18653/v1/2023.acl-long.311</t>
  </si>
  <si>
    <t>Kamoi, R., Zhang, Y., Zhang, N., Han, J., &amp; Zhang, R. (2024). When can LLMs actually correct their own mistakes? A critical survey of self-correction of LLMs. Transactions of the Association for Computational Linguistics, 12, 1417-1440. https://doi.org/10.1162/tacl_a_00713</t>
  </si>
  <si>
    <t>Lee, C., Jin, J., Kim, T., Kim, H., &amp; Park, E. (2024). OWQ: Outlier-aware weight quantization for efficient fine-tuning and inference of large language models. In Proceedings of the AAAI Conference on Artificial Intelligence, 38(12), 13355-13364. https://doi.org/10.1609/aaai.v38i12.29237</t>
  </si>
  <si>
    <t>Lee, H., Park, C., Yoon, S., Bui, T., Dernoncourt, F., Kim, J., &amp; Jung, K. (2022). Factual error correction for abstractive summaries using entity retrieval. In Proceedings of the 2nd Workshop on Natural Language Generation, Evaluation, and Metrics (GEM) (pp. 439-444). ACL. https://doi.org/10.18653/v1/2022.gem-1.41</t>
  </si>
  <si>
    <t>Li, C., Ye, W., &amp; Zhao, Y. (2022). FinMath: Injecting a tree-structured solver for question answering over financial reports. In Proceedings of the Thirteenth Language Resources and Evaluation Conference (LREC 2022) (pp. 6147-6152). ELRA.</t>
  </si>
  <si>
    <t>Li, J., Dong, X., Liu, Y., Yang, Z., Wang, Q., Wang, X., Zhu, S., Jia, Z., &amp; Zheng, Z. (2025). ReflectEvo: Improving meta introspection of small LLMs by learning self-reflection. In Findings of the Association for Computational Linguistics: ACL 2025 (pp. 16948-16966). ACL. https://doi.org/10.18653/v1/2025.findings-acl.871</t>
  </si>
  <si>
    <t>Liu, C., Li, J., &amp; Xiong, D. (2023a). Tab-CQA: A tabular conversational question answering dataset on financial reports. In Proceedings of the 61st Annual Meeting of the Association for Computational Linguistics (Volume 5: Industry Track) (pp. 196-207). ACL. https://doi.org/10.18653/v1/2023.acl-industry.20</t>
  </si>
  <si>
    <t>Liu, M. X., Liu, F., Fiannaca, A. J., Koo, T., Dixon, L., Terry, M., &amp; Cai, C. J. (2024a). "We need structured output": Towards user-centered constraints on large language model output. In Extended Abstracts of the CHI Conference on Human Factors in Computing Systems (CHI EA '24) (pp. 1-9). ACM. https://doi.org/10.1145/3613905.3650756</t>
  </si>
  <si>
    <t>Liu, T., Guo, Q., Yang, Y., Hu, X., Zhang, Y., Qiu, X., &amp; Zhang, Z. (2023b). Plan, verify and switch: Integrated reasoning with diverse X-of-thoughts. In Proceedings of the 2023 Conference on Empirical Methods in Natural Language Processing (pp. 2807-2822). ACL. https://doi.org/10.18653/v1/2023.emnlp-main.169</t>
  </si>
  <si>
    <t>Liu, X., Wu, Z., Wu, X., Lu, P., Chang, K.-W., &amp; Feng, Y. (2024b). Are LLMs capable of data-based statistical and causal reasoning? Benchmarking advanced quantitative reasoning with data. In Findings of the Association for Computational Linguistics: ACL 2024 (pp. 9215-9235). ACL. https://doi.org/10.18653/v1/2024.findings-acl.548</t>
  </si>
  <si>
    <t>Madaan, A., Tandon, N., Gupta, P., Hallinan, S., Gao, L., Wiegreffe, S., Alon, U., Dziri, N., Prabhumoye, S., Yang, Y., Gupta, S., Majumder, B. P., Hermann, K., Welleck, S., Yazdanbakhsh, A., &amp; Clark, P. (2023). Self-Refine: Iterative refinement with self-feedback. In Advances in Neural Information Processing Systems 36 (NeurIPS 2023).</t>
  </si>
  <si>
    <t>Mao, Y., Ge, Y., Fan, Y., Xu, W., Mi, Y., Hu, Z., &amp; Gao, Y. (2025). A survey on LoRA of large language models. Frontiers of Computer Science, 19(7), 197605. https://doi.org/10.1007/s11704-024-40663-9</t>
  </si>
  <si>
    <t>Mishra, A., Asai, A., Balachandran, V., Wang, Y., Tsvetkov, Y., Neubig, G., &amp; Hajishirzi, H. (2024). Fine-grained hallucination detection and editing for language models. In Proceedings of the First Conference on Language Modeling (COLM 2024).</t>
  </si>
  <si>
    <t>Munkhbat, T., Ho, N., Kim, S. H., Yang, Y., Kim, Y., &amp; Yun, S.-Y. (2025). Self-training elicits concise reasoning in large language models. In Findings of the Association for Computational Linguistics: ACL 2025 (pp. 25127-25152). ACL. https://doi.org/10.18653/v1/2025.findings-acl.1289</t>
  </si>
  <si>
    <t>Nararatwong, R., Kertkeidkachorn, N., &amp; Ichise, R. (2022). Enhancing financial table and text question answering with tabular graph and numerical reasoning. In Proceedings of the 2nd Conference of the Asia-Pacific Chapter of the ACL and the 12th IJCNLP (Volume 1: Long Papers) (pp. 991-1000). ACL. https://doi.org/10.18653/v1/2022.aacl-main.72</t>
  </si>
  <si>
    <t>Pan, L., Saxon, M., Xu, W., Nathani, D., Wang, X., &amp; Wang, W. Y. (2024). Automatically correcting large language models: Surveying the landscape of diverse automated correction strategies. Transactions of the Association for Computational Linguistics, 12, 484-506. https://doi.org/10.1162/tacl_a_00660</t>
  </si>
  <si>
    <t>Qian, C., Han, C., Fung, Y., Qin, Y., Liu, Z., &amp; Ji, H. (2023). CREATOR: Tool creation for disentangling abstract and concrete reasoning of large language models. In Findings of the Association for Computational Linguistics: EMNLP 2023 (pp. 6922-6939). ACL. https://doi.org/10.18653/v1/2023.findings-emnlp.462</t>
  </si>
  <si>
    <t>Schick, T., Dwivedi-Yu, J., Dessì, R., Raileanu, R., Lomeli, M., Hambro, E., Zettlemoyer, L., Cancedda, N., &amp; Scialom, T. (2023). Toolformer: Language models can teach themselves to use tools. In Advances in Neural Information Processing Systems 36 (NeurIPS 2023).</t>
  </si>
  <si>
    <t>Singh, A., Co-Reyes, J. D., Agarwal, R., et al. (2024). Beyond human data: Scaling self-training for problem-solving with language models. Transactions on Machine Learning Research.</t>
  </si>
  <si>
    <t>Su, W., Tang, Y., Ai, Q., Wang, C., Wu, Z., &amp; Liu, Y. (2024). Mitigating entity-level hallucination in large language models. In Proceedings of the 2024 Annual International ACM SIGIR Conference on Research and Development in Information Retrieval in the Asia Pacific Region (SIGIR-AP '24) (pp. 23-31). ACM. https://doi.org/10.1145/3673791.3698403</t>
  </si>
  <si>
    <t>Tam, Z. R., Wu, C.-K., Tsai, Y.-L., Lin, C.-Y., Lee, H.-y., &amp; Chen, Y.-N. (2024). Let me speak freely? A study on the impact of format restrictions on large language model performance. In Proceedings of the 2024 Conference on Empirical Methods in Natural Language Processing: Industry Track (pp. 1218-1236). ACL. https://doi.org/10.18653/v1/2024.emnlp-industry.91</t>
  </si>
  <si>
    <t>Thorne, J., &amp; Vlachos, A. (2021). Evidence-based factual error correction. In Proceedings of the 59th Annual Meeting of the ACL and the 11th IJCNLP (Volume 1: Long Papers) (pp. 3298-3309). ACL. https://doi.org/10.18653/v1/2021.acl-long.256</t>
  </si>
  <si>
    <t>Tyen, G., Mansoor, H., Carbune, V., Chen, P., &amp; Mak, T. (2024). LLMs cannot find reasoning errors, but can correct them given the error location. In Findings of the Association for Computational Linguistics: ACL 2024 (pp. 13894-13908). ACL. https://doi.org/10.18653/v1/2024.findings-acl.826</t>
  </si>
  <si>
    <t>Wang, T., Li, S., &amp; Lu, W. (2024). Self-training with direct preference optimization improves chain-of-thought reasoning. In Proceedings of the 62nd Annual Meeting of the Association for Computational Linguistics (Volume 1: Long Papers) (pp. 11917-11928). ACL. https://doi.org/10.18653/v1/2024.acl-long.643</t>
  </si>
  <si>
    <t>Weyssow, M., Zhou, X., Kim, K., Lo, D., &amp; Sahraoui, H. (2025). Exploring parameter-efficient fine-tuning techniques for code generation with large language models. ACM Transactions on Software Engineering and Methodology, 34(7), 1-25. https://doi.org/10.1145/3714461</t>
  </si>
  <si>
    <t>Woesle, C., Fischer-Brandies, L., &amp; Buettner, R. (2025). A systematic literature review of hallucinations in large language models. IEEE Access, 13, 148231-148253. https://doi.org/10.1109/ACCESS.2025.3601206</t>
  </si>
  <si>
    <t>Xiong, S., He, Z., He, Z., Zhao, Y., Pan, C., Zhang, J., Song, S., &amp; Li, Y. (2025). TableZoomer: A collaborative agent framework for large-scale table question answering. Vicinagearth, 2(1), Article 11. https://doi.org/10.1007/s44336-025-00016-x</t>
  </si>
  <si>
    <t>Ye, X., Chen, Q., Dillig, I., &amp; Durrett, G. (2023). SatLM: Satisfiability-aided language models using declarative prompting. In Advances in Neural Information Processing Systems 36 (NeurIPS 2023).</t>
  </si>
  <si>
    <t>Yuan, Z., Wang, K., Zhu, S., Yuan, Y., Zhou, J., Zhu, Y., &amp; Wei, W. (2025). FinLLMs: A framework for financial reasoning dataset generation with large language models. IEEE Transactions on Big Data, 11(5), 2264-2277. https://doi.org/10.1109/TBDATA.2024.3524083</t>
  </si>
  <si>
    <t>Zelikman, E., Wu, Y., Mu, J., &amp; Goodman, N. D. (2022). STaR: Bootstrapping reasoning with reasoning. In Advances in Neural Information Processing Systems 35 (NeurIPS 2022).</t>
  </si>
  <si>
    <t>Zhang, D., Zhoubian, S., Hu, Z., Yue, Y., Dong, Y., &amp; Tang, J. (2024). ReST-MCTS*: LLM self-training via process reward guided tree search. In Advances in Neural Information Processing Systems 37 (NeurIPS 2024).</t>
  </si>
  <si>
    <t>Zhao, J. X., Xie, Y., Kawaguchi, K., He, J., &amp; Xie, M. Q. (2023a). Automatic model selection with large language models for reasoning. In Findings of the Association for Computational Linguistics: EMNLP 2023 (pp. 758-783). ACL. https://doi.org/10.18653/v1/2023.findings-emnlp.55</t>
  </si>
  <si>
    <t>Zhao, R., Li, X., Joty, S., Qin, C., &amp; Bing, L. (2023b). Verify-and-edit: A knowledge-enhanced chain-of-thought framework. In Proceedings of the 61st Annual Meeting of the Association for Computational Linguistics (Volume 1: Long Papers) (pp. 5823-5840). ACL. https://doi.org/10.18653/v1/2023.acl-long.320</t>
  </si>
  <si>
    <t>Zhao, Y., Li, Y., Li, C., &amp; Zhang, R. (2022). MultiHiertt: Numerical reasoning over multi hierarchical tabular and textual data. In Proceedings of the 60th Annual Meeting of the Association for Computational Linguistics (Volume 1: Long Papers) (pp. 6588-6600). ACL. https://doi.org/10.18653/v1/2022.acl-long.454</t>
  </si>
  <si>
    <t>Zhao, Y., Liu, H., Long, Y., Zhang, R., Zhao, C., &amp; Cohan, A. (2024). FinanceMATH: Knowledge-intensive math reasoning in finance domains. In Proceedings of the 62nd Annual Meeting of the Association for Computational Linguistics (Volume 1: Long Papers) (pp. 12841-12858). ACL. https://doi.org/10.18653/v1/2024.acl-long.693</t>
  </si>
  <si>
    <t>Zhou, Y., &amp; Chen, Y. (2025). Adaptive heterogeneous multi-agent debate for enhanced educational and factual reasoning in large language models. Journal of King Saud University - Computer and Information Sciences, 37(10), Article 330. https://doi.org/10.1007/s44443-025-00353-3</t>
  </si>
  <si>
    <t>Zhu, F., Lei, W., Huang, Y., Wang, C., Zhang, S., Lv, J., Feng, F., &amp; Chua, T.-S. (2021). TAT-QA: A question answering benchmark on a hybrid of tabular and textual content in finance. In Proceedings of the 59th Annual Meeting of the ACL and the 11th IJCNLP (Volume 1: Long Papers) (pp. 3277-3287). ACL. https://doi.org/10.18653/v1/2021.acl-long.254</t>
  </si>
  <si>
    <t>Zhu, F., Li, M., Xiao, J., Feng, F., Wang, C., &amp; Chua, T. S. (2023). SoarGraph: Numerical reasoning over financial table-text data via semantic-oriented hierarchical graphs. In Companion Proceedings of the ACM Web Conference 2023 (WWW '23 Companion) (pp. 1236-1244). ACM. https://doi.org/10.1145/3543873.3587598</t>
  </si>
  <si>
    <t>Zhu, F., Liu, Z., Feng, F., Wang, C., Li, M., &amp; Chua, T. S. (2024a). TAT-LLM: A specialized language model for discrete reasoning over financial tabular and textual data. In Proceedings of the 5th ACM International Conference on AI in Finance (ICAIF '24) (pp. 310-318). ACM. https://doi.org/10.1145/3677052.3698685</t>
  </si>
  <si>
    <t>Zhu, X., Li, J., Liu, Y., Ma, C., &amp; Wang, W. (2024b). Distilling mathematical reasoning capabilities into small language models. Neural Networks, 179, 106594. https://doi.org/10.1016/j.neunet.2024.106594</t>
  </si>
  <si>
    <t>Zhu, X., Qi, B., Zhang, K., Long, X., Lin, Z., &amp; Zhou, B. (2024c). PaD: Program-aided distillation can teach small models reasoning better than chain-of-thought fine-tuning. In Proceedings of the 2024 Conference of the North American Chapter of the ACL: Human Language Technologies (Volume 1: Long Papers) (pp. 2571-2597). ACL. https://doi.org/10.18653/v1/2024.naacl-long.142</t>
  </si>
  <si>
    <t>Zhu, Y., Li, Y., Li, L., Hu, D., Hao, X., Chen, D., Zhang, X., Zhang, Z., Zhou, Y., Litvak, M., &amp; Vanetik, N. (2025). Improving factual error correction for abstractive summarization via data distillation and conditional-generation cloze. IEEE/ACM Transactions on Audio, Speech, and Language Processing, 33, 2021-2031. https://doi.org/10.1109/TASLPRO.2025.3567744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</si>
</sst>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C4F8B"/>
      <name val="Arial"/>
    </font>
    <font>
      <sz val="9"/>
      <color rgb="FF6B727C"/>
      <name val="Arial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b/>
      <sz val="9"/>
      <name val="Arial"/>
    </font>
    <font>
      <sz val="10"/>
      <name val="Arial"/>
    </font>
    <font>
      <b/>
      <sz val="18"/>
      <color rgb="FF1C4F8B"/>
      <name val="Arial"/>
    </font>
    <font>
      <sz val="10"/>
      <color rgb="FF6B727C"/>
      <name val="Arial"/>
    </font>
  </fonts>
  <fills count="6">
    <fill>
      <patternFill patternType="none"/>
    </fill>
    <fill>
      <patternFill patternType="gray125"/>
    </fill>
    <fill>
      <patternFill patternType="solid">
        <fgColor rgb="FF1C4F8B"/>
      </patternFill>
    </fill>
    <fill>
      <patternFill patternType="solid">
        <fgColor rgb="FFFFFDE7"/>
      </patternFill>
    </fill>
    <fill>
      <patternFill patternType="solid">
        <fgColor rgb="FF275D9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5" fillId="0" borderId="0" xfId="0" applyFont="1"/>
    <xf numFmtId="0" fontId="7" fillId="3" borderId="1" xfId="0" applyFont="1" applyFill="1" applyBorder="1"/>
    <xf numFmtId="0" fontId="7" fillId="0" borderId="1" xfId="0" applyFont="1" applyBorder="1"/>
    <xf numFmtId="0" fontId="7" fillId="5" borderId="1" xfId="0" applyFont="1" applyFill="1" applyBorder="1"/>
    <xf numFmtId="0" fontId="7" fillId="0" borderId="0" xfId="0" applyFont="1"/>
    <xf numFmtId="0" fontId="1" fillId="0" borderId="0" xfId="0" applyFont="1"/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6"/>
  <sheetViews>
    <sheetView tabSelected="1" workbookViewId="0"/>
  </sheetViews>
  <sheetFormatPr defaultRowHeight="14.5" x14ac:dyDescent="0.35"/>
  <cols>
    <col min="1" max="1" width="4" customWidth="1"/>
    <col min="2" max="2" width="30" customWidth="1"/>
    <col min="3" max="3" width="80" customWidth="1"/>
    <col min="4" max="4" width="26" customWidth="1"/>
  </cols>
  <sheetData>
    <row r="2" spans="2:4" ht="23" x14ac:dyDescent="0.5">
      <c r="B2" s="1" t="s">
        <v>0</v>
      </c>
    </row>
    <row r="3" spans="2:4" x14ac:dyDescent="0.35">
      <c r="B3" s="2" t="s">
        <v>1</v>
      </c>
    </row>
    <row r="4" spans="2:4" ht="44" customHeight="1" x14ac:dyDescent="0.35">
      <c r="B4" s="24" t="s">
        <v>2</v>
      </c>
      <c r="C4" s="25"/>
      <c r="D4" s="25"/>
    </row>
    <row r="6" spans="2:4" x14ac:dyDescent="0.35">
      <c r="B6" s="3" t="s">
        <v>3</v>
      </c>
      <c r="C6" s="3" t="s">
        <v>4</v>
      </c>
      <c r="D6" s="3" t="s">
        <v>5</v>
      </c>
    </row>
    <row r="7" spans="2:4" ht="30" customHeight="1" x14ac:dyDescent="0.35">
      <c r="B7" s="4" t="s">
        <v>6</v>
      </c>
      <c r="C7" s="4" t="s">
        <v>7</v>
      </c>
      <c r="D7" s="4" t="s">
        <v>8</v>
      </c>
    </row>
    <row r="8" spans="2:4" ht="30" customHeight="1" x14ac:dyDescent="0.35">
      <c r="B8" s="4" t="s">
        <v>9</v>
      </c>
      <c r="C8" s="4" t="s">
        <v>10</v>
      </c>
      <c r="D8" s="4" t="s">
        <v>11</v>
      </c>
    </row>
    <row r="9" spans="2:4" ht="30" customHeight="1" x14ac:dyDescent="0.35">
      <c r="B9" s="4" t="s">
        <v>12</v>
      </c>
      <c r="C9" s="4" t="s">
        <v>13</v>
      </c>
      <c r="D9" s="4" t="s">
        <v>14</v>
      </c>
    </row>
    <row r="10" spans="2:4" ht="30" customHeight="1" x14ac:dyDescent="0.35">
      <c r="B10" s="4" t="s">
        <v>8</v>
      </c>
      <c r="C10" s="4" t="s">
        <v>15</v>
      </c>
      <c r="D10" s="4" t="s">
        <v>16</v>
      </c>
    </row>
    <row r="11" spans="2:4" ht="30" customHeight="1" x14ac:dyDescent="0.35">
      <c r="B11" s="4" t="s">
        <v>17</v>
      </c>
      <c r="C11" s="4" t="s">
        <v>18</v>
      </c>
      <c r="D11" s="4" t="s">
        <v>19</v>
      </c>
    </row>
    <row r="12" spans="2:4" ht="30" customHeight="1" x14ac:dyDescent="0.35">
      <c r="B12" s="4" t="s">
        <v>20</v>
      </c>
      <c r="C12" s="4" t="s">
        <v>21</v>
      </c>
      <c r="D12" s="4" t="s">
        <v>22</v>
      </c>
    </row>
    <row r="13" spans="2:4" ht="30" customHeight="1" x14ac:dyDescent="0.35">
      <c r="B13" s="4" t="s">
        <v>23</v>
      </c>
      <c r="C13" s="4" t="s">
        <v>24</v>
      </c>
      <c r="D13" s="4" t="s">
        <v>25</v>
      </c>
    </row>
    <row r="15" spans="2:4" x14ac:dyDescent="0.35">
      <c r="B15" s="5" t="s">
        <v>26</v>
      </c>
    </row>
    <row r="16" spans="2:4" x14ac:dyDescent="0.35">
      <c r="B16" s="6" t="s">
        <v>27</v>
      </c>
    </row>
    <row r="17" spans="2:4" x14ac:dyDescent="0.35">
      <c r="B17" s="7" t="s">
        <v>28</v>
      </c>
    </row>
    <row r="18" spans="2:4" x14ac:dyDescent="0.35">
      <c r="B18" s="8" t="s">
        <v>29</v>
      </c>
    </row>
    <row r="20" spans="2:4" ht="34" customHeight="1" x14ac:dyDescent="0.35">
      <c r="B20" s="26" t="str">
        <f>"Completed bounded review: "&amp;'04 PRISMA counts'!C11&amp;" unique records screened from "&amp;'04 PRISMA counts'!C7&amp;" database hits ("&amp;'04 PRISMA counts'!C9&amp;" exported), "&amp;'04 PRISMA counts'!C16&amp;" included from databases and "&amp;'04 PRISMA counts'!C20&amp;" by citation chasing: "&amp;'04 PRISMA counts'!C21&amp;" studies in total."</f>
        <v>Completed bounded review: 194 unique records screened from 6496 database hits (197 exported), 55 included from databases and 9 by citation chasing: 64 studies in total.</v>
      </c>
      <c r="C20" s="25"/>
      <c r="D20" s="25"/>
    </row>
    <row r="22" spans="2:4" x14ac:dyDescent="0.35">
      <c r="B22" s="5" t="s">
        <v>30</v>
      </c>
    </row>
    <row r="23" spans="2:4" ht="32" customHeight="1" x14ac:dyDescent="0.35">
      <c r="B23" s="24" t="s">
        <v>31</v>
      </c>
      <c r="C23" s="25"/>
      <c r="D23" s="25"/>
    </row>
    <row r="25" spans="2:4" x14ac:dyDescent="0.35">
      <c r="B25" s="5" t="s">
        <v>32</v>
      </c>
    </row>
    <row r="26" spans="2:4" x14ac:dyDescent="0.35">
      <c r="B26" s="5" t="s">
        <v>33</v>
      </c>
    </row>
    <row r="27" spans="2:4" ht="28" customHeight="1" x14ac:dyDescent="0.35">
      <c r="B27" s="24" t="s">
        <v>34</v>
      </c>
      <c r="C27" s="25"/>
      <c r="D27" s="25"/>
    </row>
    <row r="28" spans="2:4" ht="28" customHeight="1" x14ac:dyDescent="0.35">
      <c r="B28" s="24" t="s">
        <v>35</v>
      </c>
      <c r="C28" s="25"/>
      <c r="D28" s="25"/>
    </row>
    <row r="29" spans="2:4" ht="28" customHeight="1" x14ac:dyDescent="0.35">
      <c r="B29" s="24" t="s">
        <v>36</v>
      </c>
      <c r="C29" s="25"/>
      <c r="D29" s="25"/>
    </row>
    <row r="30" spans="2:4" ht="28" customHeight="1" x14ac:dyDescent="0.35">
      <c r="B30" s="24" t="s">
        <v>37</v>
      </c>
      <c r="C30" s="25"/>
      <c r="D30" s="25"/>
    </row>
    <row r="31" spans="2:4" ht="28" customHeight="1" x14ac:dyDescent="0.35">
      <c r="B31" s="24" t="s">
        <v>38</v>
      </c>
      <c r="C31" s="25"/>
      <c r="D31" s="25"/>
    </row>
    <row r="32" spans="2:4" ht="58" customHeight="1" x14ac:dyDescent="0.35">
      <c r="B32" s="24" t="s">
        <v>39</v>
      </c>
      <c r="C32" s="25"/>
      <c r="D32" s="25"/>
    </row>
    <row r="33" spans="2:4" ht="58" customHeight="1" x14ac:dyDescent="0.35">
      <c r="B33" s="24" t="s">
        <v>40</v>
      </c>
      <c r="C33" s="25"/>
      <c r="D33" s="25"/>
    </row>
    <row r="35" spans="2:4" x14ac:dyDescent="0.35">
      <c r="B35" s="5" t="s">
        <v>41</v>
      </c>
    </row>
    <row r="36" spans="2:4" ht="30" customHeight="1" x14ac:dyDescent="0.35">
      <c r="B36" s="24" t="s">
        <v>42</v>
      </c>
      <c r="C36" s="25"/>
      <c r="D36" s="25"/>
    </row>
    <row r="37" spans="2:4" ht="30" customHeight="1" x14ac:dyDescent="0.35">
      <c r="B37" s="24" t="s">
        <v>43</v>
      </c>
      <c r="C37" s="25"/>
      <c r="D37" s="25"/>
    </row>
    <row r="38" spans="2:4" ht="30" customHeight="1" x14ac:dyDescent="0.35">
      <c r="B38" s="24" t="s">
        <v>44</v>
      </c>
      <c r="C38" s="25"/>
      <c r="D38" s="25"/>
    </row>
    <row r="39" spans="2:4" ht="30" customHeight="1" x14ac:dyDescent="0.35">
      <c r="B39" s="24" t="s">
        <v>45</v>
      </c>
      <c r="C39" s="25"/>
      <c r="D39" s="25"/>
    </row>
    <row r="40" spans="2:4" ht="30" customHeight="1" x14ac:dyDescent="0.35">
      <c r="B40" s="24" t="s">
        <v>46</v>
      </c>
      <c r="C40" s="25"/>
      <c r="D40" s="25"/>
    </row>
    <row r="42" spans="2:4" x14ac:dyDescent="0.35">
      <c r="B42" s="5" t="s">
        <v>47</v>
      </c>
    </row>
    <row r="43" spans="2:4" x14ac:dyDescent="0.35">
      <c r="B43" s="9" t="s">
        <v>48</v>
      </c>
    </row>
    <row r="44" spans="2:4" x14ac:dyDescent="0.35">
      <c r="B44" s="9" t="s">
        <v>49</v>
      </c>
    </row>
    <row r="45" spans="2:4" x14ac:dyDescent="0.35">
      <c r="B45" s="9" t="s">
        <v>50</v>
      </c>
    </row>
    <row r="46" spans="2:4" x14ac:dyDescent="0.35">
      <c r="B46" s="9" t="s">
        <v>51</v>
      </c>
    </row>
    <row r="47" spans="2:4" x14ac:dyDescent="0.35">
      <c r="B47" s="9" t="s">
        <v>52</v>
      </c>
    </row>
    <row r="48" spans="2:4" x14ac:dyDescent="0.35">
      <c r="B48" s="9" t="s">
        <v>53</v>
      </c>
    </row>
    <row r="50" spans="2:4" x14ac:dyDescent="0.35">
      <c r="B50" s="5" t="s">
        <v>54</v>
      </c>
    </row>
    <row r="51" spans="2:4" ht="32" customHeight="1" x14ac:dyDescent="0.35">
      <c r="B51" s="24" t="s">
        <v>55</v>
      </c>
      <c r="C51" s="25"/>
      <c r="D51" s="25"/>
    </row>
    <row r="52" spans="2:4" ht="32" customHeight="1" x14ac:dyDescent="0.35">
      <c r="B52" s="24" t="s">
        <v>56</v>
      </c>
      <c r="C52" s="25"/>
      <c r="D52" s="25"/>
    </row>
    <row r="53" spans="2:4" ht="32" customHeight="1" x14ac:dyDescent="0.35">
      <c r="B53" s="24" t="s">
        <v>57</v>
      </c>
      <c r="C53" s="25"/>
      <c r="D53" s="25"/>
    </row>
    <row r="54" spans="2:4" ht="32" customHeight="1" x14ac:dyDescent="0.35">
      <c r="B54" s="24" t="s">
        <v>58</v>
      </c>
      <c r="C54" s="25"/>
      <c r="D54" s="25"/>
    </row>
    <row r="55" spans="2:4" ht="32" customHeight="1" x14ac:dyDescent="0.35">
      <c r="B55" s="24" t="s">
        <v>59</v>
      </c>
      <c r="C55" s="25"/>
      <c r="D55" s="25"/>
    </row>
    <row r="56" spans="2:4" ht="32" customHeight="1" x14ac:dyDescent="0.35">
      <c r="B56" s="24" t="s">
        <v>60</v>
      </c>
      <c r="C56" s="25"/>
      <c r="D56" s="25"/>
    </row>
  </sheetData>
  <mergeCells count="21">
    <mergeCell ref="B4:D4"/>
    <mergeCell ref="B54:D54"/>
    <mergeCell ref="B31:D31"/>
    <mergeCell ref="B27:D27"/>
    <mergeCell ref="B56:D56"/>
    <mergeCell ref="B52:D52"/>
    <mergeCell ref="B39:D39"/>
    <mergeCell ref="B55:D55"/>
    <mergeCell ref="B51:D51"/>
    <mergeCell ref="B20:D20"/>
    <mergeCell ref="B33:D33"/>
    <mergeCell ref="B36:D36"/>
    <mergeCell ref="B32:D32"/>
    <mergeCell ref="B23:D23"/>
    <mergeCell ref="B53:D53"/>
    <mergeCell ref="B29:D29"/>
    <mergeCell ref="B38:D38"/>
    <mergeCell ref="B28:D28"/>
    <mergeCell ref="B37:D37"/>
    <mergeCell ref="B40:D40"/>
    <mergeCell ref="B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20" customWidth="1"/>
    <col min="3" max="3" width="52" customWidth="1"/>
    <col min="4" max="4" width="14" customWidth="1"/>
    <col min="5" max="5" width="12" customWidth="1"/>
    <col min="6" max="6" width="14" customWidth="1"/>
    <col min="7" max="7" width="40" customWidth="1"/>
  </cols>
  <sheetData>
    <row r="1" spans="1:7" ht="18" x14ac:dyDescent="0.4">
      <c r="A1" s="10" t="s">
        <v>61</v>
      </c>
    </row>
    <row r="2" spans="1:7" ht="52" customHeight="1" x14ac:dyDescent="0.35">
      <c r="A2" s="27" t="s">
        <v>62</v>
      </c>
      <c r="B2" s="25"/>
      <c r="C2" s="25"/>
      <c r="D2" s="25"/>
      <c r="E2" s="25"/>
      <c r="F2" s="25"/>
      <c r="G2" s="25"/>
    </row>
    <row r="4" spans="1:7" ht="30" customHeight="1" x14ac:dyDescent="0.3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</row>
    <row r="6" spans="1:7" ht="29" customHeight="1" x14ac:dyDescent="0.35">
      <c r="A6" s="11" t="s">
        <v>70</v>
      </c>
      <c r="B6" s="12" t="s">
        <v>71</v>
      </c>
      <c r="C6" s="12" t="s">
        <v>72</v>
      </c>
      <c r="D6" s="11" t="s">
        <v>73</v>
      </c>
      <c r="E6" s="11">
        <v>432</v>
      </c>
      <c r="F6" s="11">
        <v>25</v>
      </c>
      <c r="G6" s="12" t="s">
        <v>74</v>
      </c>
    </row>
    <row r="7" spans="1:7" ht="28" customHeight="1" x14ac:dyDescent="0.35">
      <c r="A7" s="11" t="s">
        <v>75</v>
      </c>
      <c r="B7" s="12" t="s">
        <v>71</v>
      </c>
      <c r="C7" s="12" t="s">
        <v>76</v>
      </c>
      <c r="D7" s="11" t="s">
        <v>73</v>
      </c>
      <c r="E7" s="11">
        <v>22</v>
      </c>
      <c r="F7" s="11">
        <v>22</v>
      </c>
      <c r="G7" s="12" t="s">
        <v>74</v>
      </c>
    </row>
    <row r="8" spans="1:7" ht="28" customHeight="1" x14ac:dyDescent="0.35">
      <c r="A8" s="11" t="s">
        <v>77</v>
      </c>
      <c r="B8" s="12" t="s">
        <v>71</v>
      </c>
      <c r="C8" s="12" t="s">
        <v>78</v>
      </c>
      <c r="D8" s="11" t="s">
        <v>73</v>
      </c>
      <c r="E8" s="11">
        <v>1015</v>
      </c>
      <c r="F8" s="11">
        <v>25</v>
      </c>
      <c r="G8" s="12" t="s">
        <v>74</v>
      </c>
    </row>
    <row r="9" spans="1:7" ht="29" customHeight="1" x14ac:dyDescent="0.35">
      <c r="A9" s="11" t="s">
        <v>79</v>
      </c>
      <c r="B9" s="12" t="s">
        <v>71</v>
      </c>
      <c r="C9" s="12" t="s">
        <v>80</v>
      </c>
      <c r="D9" s="11" t="s">
        <v>73</v>
      </c>
      <c r="E9" s="11">
        <v>123</v>
      </c>
      <c r="F9" s="11">
        <v>25</v>
      </c>
      <c r="G9" s="12" t="s">
        <v>74</v>
      </c>
    </row>
    <row r="10" spans="1:7" ht="29" customHeight="1" x14ac:dyDescent="0.35">
      <c r="A10" s="11" t="s">
        <v>81</v>
      </c>
      <c r="B10" s="12" t="s">
        <v>71</v>
      </c>
      <c r="C10" s="12" t="s">
        <v>82</v>
      </c>
      <c r="D10" s="11" t="s">
        <v>73</v>
      </c>
      <c r="E10" s="11">
        <v>50</v>
      </c>
      <c r="F10" s="11">
        <v>25</v>
      </c>
      <c r="G10" s="12" t="s">
        <v>74</v>
      </c>
    </row>
    <row r="11" spans="1:7" ht="29" customHeight="1" x14ac:dyDescent="0.35">
      <c r="A11" s="11" t="s">
        <v>83</v>
      </c>
      <c r="B11" s="12" t="s">
        <v>71</v>
      </c>
      <c r="C11" s="12" t="s">
        <v>84</v>
      </c>
      <c r="D11" s="11" t="s">
        <v>73</v>
      </c>
      <c r="E11" s="11">
        <v>225</v>
      </c>
      <c r="F11" s="11">
        <v>25</v>
      </c>
      <c r="G11" s="12" t="s">
        <v>74</v>
      </c>
    </row>
    <row r="12" spans="1:7" ht="29" customHeight="1" x14ac:dyDescent="0.35">
      <c r="A12" s="11" t="s">
        <v>85</v>
      </c>
      <c r="B12" s="12" t="s">
        <v>71</v>
      </c>
      <c r="C12" s="12" t="s">
        <v>86</v>
      </c>
      <c r="D12" s="11" t="s">
        <v>73</v>
      </c>
      <c r="E12" s="11">
        <v>3462</v>
      </c>
      <c r="F12" s="11">
        <v>25</v>
      </c>
      <c r="G12" s="12" t="s">
        <v>74</v>
      </c>
    </row>
    <row r="13" spans="1:7" ht="41.5" customHeight="1" x14ac:dyDescent="0.35">
      <c r="A13" s="11" t="s">
        <v>87</v>
      </c>
      <c r="B13" s="12" t="s">
        <v>71</v>
      </c>
      <c r="C13" s="12" t="s">
        <v>88</v>
      </c>
      <c r="D13" s="11" t="s">
        <v>73</v>
      </c>
      <c r="E13" s="11">
        <v>1167</v>
      </c>
      <c r="F13" s="11">
        <v>25</v>
      </c>
      <c r="G13" s="12" t="s">
        <v>74</v>
      </c>
    </row>
    <row r="14" spans="1:7" x14ac:dyDescent="0.35">
      <c r="A14" s="12"/>
      <c r="B14" s="12"/>
      <c r="C14" s="12"/>
      <c r="D14" s="12"/>
      <c r="E14" s="12"/>
      <c r="F14" s="12"/>
      <c r="G14" s="12"/>
    </row>
    <row r="15" spans="1:7" x14ac:dyDescent="0.35">
      <c r="A15" s="12"/>
      <c r="B15" s="12"/>
      <c r="C15" s="12"/>
      <c r="D15" s="12"/>
      <c r="E15" s="12"/>
      <c r="F15" s="12"/>
      <c r="G15" s="12"/>
    </row>
    <row r="16" spans="1:7" x14ac:dyDescent="0.35">
      <c r="A16" s="12"/>
      <c r="B16" s="12"/>
      <c r="C16" s="12"/>
      <c r="D16" s="12"/>
      <c r="E16" s="12"/>
      <c r="F16" s="12"/>
      <c r="G16" s="12"/>
    </row>
    <row r="17" spans="1:7" x14ac:dyDescent="0.35">
      <c r="A17" s="12"/>
      <c r="B17" s="12"/>
      <c r="C17" s="12"/>
      <c r="D17" s="12"/>
      <c r="E17" s="12"/>
      <c r="F17" s="12"/>
      <c r="G17" s="12"/>
    </row>
    <row r="18" spans="1:7" x14ac:dyDescent="0.35">
      <c r="A18" s="12"/>
      <c r="B18" s="12"/>
      <c r="C18" s="12"/>
      <c r="D18" s="12"/>
      <c r="E18" s="12"/>
      <c r="F18" s="12"/>
      <c r="G18" s="12"/>
    </row>
    <row r="19" spans="1:7" x14ac:dyDescent="0.35">
      <c r="A19" s="12"/>
      <c r="B19" s="12"/>
      <c r="C19" s="12"/>
      <c r="D19" s="12"/>
      <c r="E19" s="12"/>
      <c r="F19" s="12"/>
      <c r="G19" s="12"/>
    </row>
    <row r="20" spans="1:7" x14ac:dyDescent="0.35">
      <c r="A20" s="12"/>
      <c r="B20" s="12"/>
      <c r="C20" s="12"/>
      <c r="D20" s="12"/>
      <c r="E20" s="12"/>
      <c r="F20" s="12"/>
      <c r="G20" s="12"/>
    </row>
    <row r="21" spans="1:7" x14ac:dyDescent="0.35">
      <c r="A21" s="12"/>
      <c r="B21" s="12"/>
      <c r="C21" s="12"/>
      <c r="D21" s="12"/>
      <c r="E21" s="12"/>
      <c r="F21" s="12"/>
      <c r="G21" s="12"/>
    </row>
    <row r="22" spans="1:7" x14ac:dyDescent="0.35">
      <c r="A22" s="12"/>
      <c r="B22" s="12"/>
      <c r="C22" s="12"/>
      <c r="D22" s="12"/>
      <c r="E22" s="12"/>
      <c r="F22" s="12"/>
      <c r="G22" s="12"/>
    </row>
    <row r="23" spans="1:7" x14ac:dyDescent="0.35">
      <c r="A23" s="12"/>
      <c r="B23" s="12"/>
      <c r="C23" s="12"/>
      <c r="D23" s="12"/>
      <c r="E23" s="12"/>
      <c r="F23" s="12"/>
      <c r="G23" s="12"/>
    </row>
    <row r="24" spans="1:7" x14ac:dyDescent="0.35">
      <c r="A24" s="12"/>
      <c r="B24" s="12"/>
      <c r="C24" s="12"/>
      <c r="D24" s="12"/>
      <c r="E24" s="12"/>
      <c r="F24" s="12"/>
      <c r="G24" s="12"/>
    </row>
    <row r="25" spans="1:7" x14ac:dyDescent="0.35">
      <c r="A25" s="12"/>
      <c r="B25" s="12"/>
      <c r="C25" s="12"/>
      <c r="D25" s="12"/>
      <c r="E25" s="12"/>
      <c r="F25" s="12"/>
      <c r="G25" s="12"/>
    </row>
    <row r="26" spans="1:7" x14ac:dyDescent="0.35">
      <c r="A26" s="12"/>
      <c r="B26" s="12"/>
      <c r="C26" s="12"/>
      <c r="D26" s="12"/>
      <c r="E26" s="12"/>
      <c r="F26" s="12"/>
      <c r="G26" s="12"/>
    </row>
    <row r="28" spans="1:7" x14ac:dyDescent="0.35">
      <c r="D28" s="5" t="s">
        <v>89</v>
      </c>
      <c r="E28" s="13">
        <f>SUM(E6:E26)</f>
        <v>6496</v>
      </c>
      <c r="F28" s="13">
        <f>SUM(F6:F26)</f>
        <v>197</v>
      </c>
    </row>
    <row r="30" spans="1:7" x14ac:dyDescent="0.35">
      <c r="A30" s="5" t="s">
        <v>90</v>
      </c>
    </row>
    <row r="31" spans="1:7" ht="30" customHeight="1" x14ac:dyDescent="0.35">
      <c r="A31" s="3" t="s">
        <v>63</v>
      </c>
      <c r="B31" s="3" t="s">
        <v>64</v>
      </c>
      <c r="C31" s="3" t="s">
        <v>65</v>
      </c>
      <c r="D31" s="3" t="s">
        <v>66</v>
      </c>
      <c r="E31" s="3" t="s">
        <v>67</v>
      </c>
      <c r="F31" s="3" t="s">
        <v>91</v>
      </c>
      <c r="G31" s="3" t="s">
        <v>92</v>
      </c>
    </row>
    <row r="32" spans="1:7" ht="66.5" customHeight="1" x14ac:dyDescent="0.35">
      <c r="A32" s="11" t="s">
        <v>93</v>
      </c>
      <c r="B32" s="12" t="s">
        <v>71</v>
      </c>
      <c r="C32" s="12" t="s">
        <v>94</v>
      </c>
      <c r="D32" s="11" t="s">
        <v>73</v>
      </c>
      <c r="E32" s="11">
        <v>337</v>
      </c>
      <c r="F32" s="11">
        <v>50</v>
      </c>
      <c r="G32" s="12" t="s">
        <v>95</v>
      </c>
    </row>
    <row r="33" spans="1:7" ht="54" customHeight="1" x14ac:dyDescent="0.35">
      <c r="A33" s="11" t="s">
        <v>96</v>
      </c>
      <c r="B33" s="12" t="s">
        <v>71</v>
      </c>
      <c r="C33" s="12" t="s">
        <v>97</v>
      </c>
      <c r="D33" s="11" t="s">
        <v>73</v>
      </c>
      <c r="E33" s="11">
        <v>102</v>
      </c>
      <c r="F33" s="11">
        <v>50</v>
      </c>
      <c r="G33" s="12" t="s">
        <v>98</v>
      </c>
    </row>
    <row r="34" spans="1:7" ht="54" customHeight="1" x14ac:dyDescent="0.35">
      <c r="A34" s="11" t="s">
        <v>99</v>
      </c>
      <c r="B34" s="12" t="s">
        <v>71</v>
      </c>
      <c r="C34" s="12" t="s">
        <v>100</v>
      </c>
      <c r="D34" s="11" t="s">
        <v>73</v>
      </c>
      <c r="E34" s="11">
        <v>36</v>
      </c>
      <c r="F34" s="11">
        <v>36</v>
      </c>
      <c r="G34" s="12" t="s">
        <v>98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40" customWidth="1"/>
    <col min="3" max="3" width="20" customWidth="1"/>
    <col min="4" max="4" width="8" customWidth="1"/>
    <col min="5" max="5" width="26" customWidth="1"/>
    <col min="6" max="6" width="18" customWidth="1"/>
    <col min="7" max="9" width="11" customWidth="1"/>
    <col min="10" max="10" width="22" customWidth="1"/>
    <col min="11" max="11" width="11" customWidth="1"/>
    <col min="12" max="12" width="15" customWidth="1"/>
    <col min="13" max="13" width="46" customWidth="1"/>
    <col min="14" max="14" width="14" customWidth="1"/>
    <col min="15" max="15" width="30" customWidth="1"/>
  </cols>
  <sheetData>
    <row r="1" spans="1:15" ht="18" x14ac:dyDescent="0.4">
      <c r="A1" s="10" t="s">
        <v>101</v>
      </c>
    </row>
    <row r="2" spans="1:15" ht="30" customHeight="1" x14ac:dyDescent="0.35">
      <c r="A2" s="27" t="s">
        <v>102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5" ht="32" customHeight="1" x14ac:dyDescent="0.35">
      <c r="A4" s="3" t="s">
        <v>63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109</v>
      </c>
      <c r="I4" s="3" t="s">
        <v>110</v>
      </c>
      <c r="J4" s="3" t="s">
        <v>111</v>
      </c>
      <c r="K4" s="3" t="s">
        <v>112</v>
      </c>
      <c r="L4" s="3" t="s">
        <v>113</v>
      </c>
      <c r="M4" s="3" t="s">
        <v>114</v>
      </c>
      <c r="N4" s="3" t="s">
        <v>115</v>
      </c>
      <c r="O4" s="3" t="s">
        <v>116</v>
      </c>
    </row>
    <row r="6" spans="1:15" ht="29" customHeight="1" x14ac:dyDescent="0.35">
      <c r="A6" s="11">
        <v>1</v>
      </c>
      <c r="B6" s="12" t="s">
        <v>117</v>
      </c>
      <c r="C6" s="12" t="s">
        <v>118</v>
      </c>
      <c r="D6" s="11">
        <v>2023</v>
      </c>
      <c r="E6" s="12" t="s">
        <v>119</v>
      </c>
      <c r="F6" s="12" t="s">
        <v>120</v>
      </c>
      <c r="G6" s="11" t="s">
        <v>121</v>
      </c>
      <c r="H6" s="11"/>
      <c r="I6" s="11"/>
      <c r="J6" s="12"/>
      <c r="K6" s="14" t="str">
        <f t="shared" ref="K6:K69" si="0">IF(AND(G6="KEEP",H6="KEEP",I6="KEEP"),"YES",IF(OR(G6="DROP",H6="DROP",I6="DROP"),"NO",""))</f>
        <v>NO</v>
      </c>
      <c r="L6" s="12" t="s">
        <v>122</v>
      </c>
      <c r="M6" s="12" t="s">
        <v>123</v>
      </c>
      <c r="N6" s="12" t="s">
        <v>124</v>
      </c>
      <c r="O6" s="12" t="s">
        <v>125</v>
      </c>
    </row>
    <row r="7" spans="1:15" ht="29" customHeight="1" x14ac:dyDescent="0.35">
      <c r="A7" s="11">
        <v>2</v>
      </c>
      <c r="B7" s="12" t="s">
        <v>126</v>
      </c>
      <c r="C7" s="12" t="s">
        <v>127</v>
      </c>
      <c r="D7" s="11">
        <v>2024</v>
      </c>
      <c r="E7" s="12" t="s">
        <v>128</v>
      </c>
      <c r="F7" s="12" t="s">
        <v>120</v>
      </c>
      <c r="G7" s="11" t="s">
        <v>121</v>
      </c>
      <c r="H7" s="11"/>
      <c r="I7" s="11"/>
      <c r="J7" s="12"/>
      <c r="K7" s="14" t="str">
        <f t="shared" si="0"/>
        <v>NO</v>
      </c>
      <c r="L7" s="12" t="s">
        <v>122</v>
      </c>
      <c r="M7" s="12" t="s">
        <v>129</v>
      </c>
      <c r="N7" s="12" t="s">
        <v>130</v>
      </c>
      <c r="O7" s="12" t="s">
        <v>131</v>
      </c>
    </row>
    <row r="8" spans="1:15" ht="41.5" customHeight="1" x14ac:dyDescent="0.35">
      <c r="A8" s="11">
        <v>3</v>
      </c>
      <c r="B8" s="12" t="s">
        <v>132</v>
      </c>
      <c r="C8" s="12" t="s">
        <v>133</v>
      </c>
      <c r="D8" s="11">
        <v>2024</v>
      </c>
      <c r="E8" s="12" t="s">
        <v>134</v>
      </c>
      <c r="F8" s="12" t="s">
        <v>135</v>
      </c>
      <c r="G8" s="11" t="s">
        <v>136</v>
      </c>
      <c r="H8" s="11" t="s">
        <v>136</v>
      </c>
      <c r="I8" s="11" t="s">
        <v>136</v>
      </c>
      <c r="J8" s="12"/>
      <c r="K8" s="14" t="str">
        <f t="shared" si="0"/>
        <v>YES</v>
      </c>
      <c r="L8" s="12" t="s">
        <v>122</v>
      </c>
      <c r="M8" s="12"/>
      <c r="N8" s="12" t="s">
        <v>137</v>
      </c>
      <c r="O8" s="12" t="s">
        <v>138</v>
      </c>
    </row>
    <row r="9" spans="1:15" ht="29" customHeight="1" x14ac:dyDescent="0.35">
      <c r="A9" s="11">
        <v>4</v>
      </c>
      <c r="B9" s="12" t="s">
        <v>139</v>
      </c>
      <c r="C9" s="12" t="s">
        <v>140</v>
      </c>
      <c r="D9" s="11">
        <v>2023</v>
      </c>
      <c r="E9" s="12" t="s">
        <v>141</v>
      </c>
      <c r="F9" s="12" t="s">
        <v>120</v>
      </c>
      <c r="G9" s="11" t="s">
        <v>121</v>
      </c>
      <c r="H9" s="11"/>
      <c r="I9" s="11"/>
      <c r="J9" s="12"/>
      <c r="K9" s="14" t="str">
        <f t="shared" si="0"/>
        <v>NO</v>
      </c>
      <c r="L9" s="12" t="s">
        <v>122</v>
      </c>
      <c r="M9" s="12" t="s">
        <v>142</v>
      </c>
      <c r="N9" s="12" t="s">
        <v>143</v>
      </c>
      <c r="O9" s="12" t="s">
        <v>144</v>
      </c>
    </row>
    <row r="10" spans="1:15" ht="29" customHeight="1" x14ac:dyDescent="0.35">
      <c r="A10" s="11">
        <v>5</v>
      </c>
      <c r="B10" s="12" t="s">
        <v>145</v>
      </c>
      <c r="C10" s="12" t="s">
        <v>146</v>
      </c>
      <c r="D10" s="11">
        <v>2023</v>
      </c>
      <c r="E10" s="12" t="s">
        <v>147</v>
      </c>
      <c r="F10" s="12" t="s">
        <v>120</v>
      </c>
      <c r="G10" s="11" t="s">
        <v>121</v>
      </c>
      <c r="H10" s="11"/>
      <c r="I10" s="11"/>
      <c r="J10" s="12"/>
      <c r="K10" s="14" t="str">
        <f t="shared" si="0"/>
        <v>NO</v>
      </c>
      <c r="L10" s="12" t="s">
        <v>122</v>
      </c>
      <c r="M10" s="12" t="s">
        <v>148</v>
      </c>
      <c r="N10" s="12" t="s">
        <v>149</v>
      </c>
      <c r="O10" s="12" t="s">
        <v>150</v>
      </c>
    </row>
    <row r="11" spans="1:15" ht="41.5" customHeight="1" x14ac:dyDescent="0.35">
      <c r="A11" s="11">
        <v>6</v>
      </c>
      <c r="B11" s="12" t="s">
        <v>151</v>
      </c>
      <c r="C11" s="12" t="s">
        <v>152</v>
      </c>
      <c r="D11" s="11">
        <v>2022</v>
      </c>
      <c r="E11" s="12" t="s">
        <v>153</v>
      </c>
      <c r="F11" s="12" t="s">
        <v>120</v>
      </c>
      <c r="G11" s="11" t="s">
        <v>136</v>
      </c>
      <c r="H11" s="11" t="s">
        <v>136</v>
      </c>
      <c r="I11" s="11" t="s">
        <v>136</v>
      </c>
      <c r="J11" s="12"/>
      <c r="K11" s="14" t="str">
        <f t="shared" si="0"/>
        <v>YES</v>
      </c>
      <c r="L11" s="12" t="s">
        <v>122</v>
      </c>
      <c r="M11" s="12"/>
      <c r="N11" s="12" t="s">
        <v>154</v>
      </c>
      <c r="O11" s="12" t="s">
        <v>155</v>
      </c>
    </row>
    <row r="12" spans="1:15" ht="41.5" customHeight="1" x14ac:dyDescent="0.35">
      <c r="A12" s="11">
        <v>7</v>
      </c>
      <c r="B12" s="12" t="s">
        <v>156</v>
      </c>
      <c r="C12" s="12" t="s">
        <v>157</v>
      </c>
      <c r="D12" s="11">
        <v>2024</v>
      </c>
      <c r="E12" s="12" t="s">
        <v>158</v>
      </c>
      <c r="F12" s="12" t="s">
        <v>120</v>
      </c>
      <c r="G12" s="11" t="s">
        <v>121</v>
      </c>
      <c r="H12" s="11"/>
      <c r="I12" s="11"/>
      <c r="J12" s="12"/>
      <c r="K12" s="14" t="str">
        <f t="shared" si="0"/>
        <v>NO</v>
      </c>
      <c r="L12" s="12" t="s">
        <v>122</v>
      </c>
      <c r="M12" s="12" t="s">
        <v>142</v>
      </c>
      <c r="N12" s="12" t="s">
        <v>159</v>
      </c>
      <c r="O12" s="12" t="s">
        <v>160</v>
      </c>
    </row>
    <row r="13" spans="1:15" ht="41.5" customHeight="1" x14ac:dyDescent="0.35">
      <c r="A13" s="11">
        <v>8</v>
      </c>
      <c r="B13" s="12" t="s">
        <v>161</v>
      </c>
      <c r="C13" s="12" t="s">
        <v>133</v>
      </c>
      <c r="D13" s="11">
        <v>2023</v>
      </c>
      <c r="E13" s="12" t="s">
        <v>147</v>
      </c>
      <c r="F13" s="12" t="s">
        <v>135</v>
      </c>
      <c r="G13" s="11" t="s">
        <v>136</v>
      </c>
      <c r="H13" s="11" t="s">
        <v>136</v>
      </c>
      <c r="I13" s="11" t="s">
        <v>121</v>
      </c>
      <c r="J13" s="12" t="s">
        <v>162</v>
      </c>
      <c r="K13" s="14" t="str">
        <f t="shared" si="0"/>
        <v>NO</v>
      </c>
      <c r="L13" s="12" t="s">
        <v>122</v>
      </c>
      <c r="M13" s="12" t="s">
        <v>163</v>
      </c>
      <c r="N13" s="12" t="s">
        <v>164</v>
      </c>
      <c r="O13" s="12" t="s">
        <v>165</v>
      </c>
    </row>
    <row r="14" spans="1:15" ht="29" customHeight="1" x14ac:dyDescent="0.35">
      <c r="A14" s="11">
        <v>9</v>
      </c>
      <c r="B14" s="12" t="s">
        <v>166</v>
      </c>
      <c r="C14" s="12" t="s">
        <v>167</v>
      </c>
      <c r="D14" s="11">
        <v>2025</v>
      </c>
      <c r="E14" s="12" t="s">
        <v>168</v>
      </c>
      <c r="F14" s="12" t="s">
        <v>120</v>
      </c>
      <c r="G14" s="11" t="s">
        <v>136</v>
      </c>
      <c r="H14" s="11" t="s">
        <v>136</v>
      </c>
      <c r="I14" s="11" t="s">
        <v>136</v>
      </c>
      <c r="J14" s="12"/>
      <c r="K14" s="14" t="str">
        <f t="shared" si="0"/>
        <v>YES</v>
      </c>
      <c r="L14" s="12" t="s">
        <v>122</v>
      </c>
      <c r="M14" s="12"/>
      <c r="N14" s="12" t="s">
        <v>169</v>
      </c>
      <c r="O14" s="12" t="s">
        <v>170</v>
      </c>
    </row>
    <row r="15" spans="1:15" ht="41.5" customHeight="1" x14ac:dyDescent="0.35">
      <c r="A15" s="11">
        <v>10</v>
      </c>
      <c r="B15" s="12" t="s">
        <v>171</v>
      </c>
      <c r="C15" s="12" t="s">
        <v>172</v>
      </c>
      <c r="D15" s="11">
        <v>2024</v>
      </c>
      <c r="E15" s="12" t="s">
        <v>173</v>
      </c>
      <c r="F15" s="12" t="s">
        <v>120</v>
      </c>
      <c r="G15" s="11" t="s">
        <v>121</v>
      </c>
      <c r="H15" s="11"/>
      <c r="I15" s="11"/>
      <c r="J15" s="12"/>
      <c r="K15" s="14" t="str">
        <f t="shared" si="0"/>
        <v>NO</v>
      </c>
      <c r="L15" s="12" t="s">
        <v>122</v>
      </c>
      <c r="M15" s="12" t="s">
        <v>174</v>
      </c>
      <c r="N15" s="12" t="s">
        <v>175</v>
      </c>
      <c r="O15" s="12" t="s">
        <v>176</v>
      </c>
    </row>
    <row r="16" spans="1:15" ht="41.5" customHeight="1" x14ac:dyDescent="0.35">
      <c r="A16" s="11">
        <v>11</v>
      </c>
      <c r="B16" s="12" t="s">
        <v>177</v>
      </c>
      <c r="C16" s="12" t="s">
        <v>178</v>
      </c>
      <c r="D16" s="11">
        <v>2025</v>
      </c>
      <c r="E16" s="12" t="s">
        <v>179</v>
      </c>
      <c r="F16" s="12" t="s">
        <v>120</v>
      </c>
      <c r="G16" s="11" t="s">
        <v>121</v>
      </c>
      <c r="H16" s="11"/>
      <c r="I16" s="11"/>
      <c r="J16" s="12"/>
      <c r="K16" s="14" t="str">
        <f t="shared" si="0"/>
        <v>NO</v>
      </c>
      <c r="L16" s="12" t="s">
        <v>122</v>
      </c>
      <c r="M16" s="12" t="s">
        <v>180</v>
      </c>
      <c r="N16" s="12" t="s">
        <v>181</v>
      </c>
      <c r="O16" s="12" t="s">
        <v>182</v>
      </c>
    </row>
    <row r="17" spans="1:15" ht="41.5" customHeight="1" x14ac:dyDescent="0.35">
      <c r="A17" s="11">
        <v>12</v>
      </c>
      <c r="B17" s="12" t="s">
        <v>183</v>
      </c>
      <c r="C17" s="12" t="s">
        <v>184</v>
      </c>
      <c r="D17" s="11">
        <v>2025</v>
      </c>
      <c r="E17" s="12" t="s">
        <v>185</v>
      </c>
      <c r="F17" s="12" t="s">
        <v>120</v>
      </c>
      <c r="G17" s="11" t="s">
        <v>121</v>
      </c>
      <c r="H17" s="11"/>
      <c r="I17" s="11"/>
      <c r="J17" s="12"/>
      <c r="K17" s="14" t="str">
        <f t="shared" si="0"/>
        <v>NO</v>
      </c>
      <c r="L17" s="12" t="s">
        <v>122</v>
      </c>
      <c r="M17" s="12" t="s">
        <v>186</v>
      </c>
      <c r="N17" s="12" t="s">
        <v>187</v>
      </c>
      <c r="O17" s="12" t="s">
        <v>188</v>
      </c>
    </row>
    <row r="18" spans="1:15" ht="41.5" customHeight="1" x14ac:dyDescent="0.35">
      <c r="A18" s="11">
        <v>13</v>
      </c>
      <c r="B18" s="12" t="s">
        <v>189</v>
      </c>
      <c r="C18" s="12" t="s">
        <v>190</v>
      </c>
      <c r="D18" s="11">
        <v>2025</v>
      </c>
      <c r="E18" s="12" t="s">
        <v>191</v>
      </c>
      <c r="F18" s="12" t="s">
        <v>120</v>
      </c>
      <c r="G18" s="11" t="s">
        <v>121</v>
      </c>
      <c r="H18" s="11"/>
      <c r="I18" s="11"/>
      <c r="J18" s="12"/>
      <c r="K18" s="14" t="str">
        <f t="shared" si="0"/>
        <v>NO</v>
      </c>
      <c r="L18" s="12" t="s">
        <v>122</v>
      </c>
      <c r="M18" s="12" t="s">
        <v>192</v>
      </c>
      <c r="N18" s="12" t="s">
        <v>193</v>
      </c>
      <c r="O18" s="12" t="s">
        <v>194</v>
      </c>
    </row>
    <row r="19" spans="1:15" ht="41.5" customHeight="1" x14ac:dyDescent="0.35">
      <c r="A19" s="11">
        <v>14</v>
      </c>
      <c r="B19" s="12" t="s">
        <v>195</v>
      </c>
      <c r="C19" s="12" t="s">
        <v>196</v>
      </c>
      <c r="D19" s="11">
        <v>2023</v>
      </c>
      <c r="E19" s="12" t="s">
        <v>147</v>
      </c>
      <c r="F19" s="12" t="s">
        <v>120</v>
      </c>
      <c r="G19" s="11" t="s">
        <v>136</v>
      </c>
      <c r="H19" s="11" t="s">
        <v>136</v>
      </c>
      <c r="I19" s="11" t="s">
        <v>121</v>
      </c>
      <c r="J19" s="12" t="s">
        <v>197</v>
      </c>
      <c r="K19" s="14" t="str">
        <f t="shared" si="0"/>
        <v>NO</v>
      </c>
      <c r="L19" s="12" t="s">
        <v>122</v>
      </c>
      <c r="M19" s="12" t="s">
        <v>198</v>
      </c>
      <c r="N19" s="12" t="s">
        <v>199</v>
      </c>
      <c r="O19" s="12" t="s">
        <v>200</v>
      </c>
    </row>
    <row r="20" spans="1:15" ht="41.5" customHeight="1" x14ac:dyDescent="0.35">
      <c r="A20" s="11">
        <v>15</v>
      </c>
      <c r="B20" s="12" t="s">
        <v>201</v>
      </c>
      <c r="C20" s="12" t="s">
        <v>202</v>
      </c>
      <c r="D20" s="11">
        <v>2023</v>
      </c>
      <c r="E20" s="12" t="s">
        <v>203</v>
      </c>
      <c r="F20" s="12" t="s">
        <v>120</v>
      </c>
      <c r="G20" s="11" t="s">
        <v>121</v>
      </c>
      <c r="H20" s="11"/>
      <c r="I20" s="11"/>
      <c r="J20" s="12"/>
      <c r="K20" s="14" t="str">
        <f t="shared" si="0"/>
        <v>NO</v>
      </c>
      <c r="L20" s="12" t="s">
        <v>122</v>
      </c>
      <c r="M20" s="12" t="s">
        <v>204</v>
      </c>
      <c r="N20" s="12" t="s">
        <v>205</v>
      </c>
      <c r="O20" s="12" t="s">
        <v>206</v>
      </c>
    </row>
    <row r="21" spans="1:15" ht="29" customHeight="1" x14ac:dyDescent="0.35">
      <c r="A21" s="11">
        <v>16</v>
      </c>
      <c r="B21" s="12" t="s">
        <v>207</v>
      </c>
      <c r="C21" s="12" t="s">
        <v>208</v>
      </c>
      <c r="D21" s="11">
        <v>2022</v>
      </c>
      <c r="E21" s="12" t="s">
        <v>209</v>
      </c>
      <c r="F21" s="12" t="s">
        <v>210</v>
      </c>
      <c r="G21" s="11" t="s">
        <v>136</v>
      </c>
      <c r="H21" s="11" t="s">
        <v>136</v>
      </c>
      <c r="I21" s="11" t="s">
        <v>136</v>
      </c>
      <c r="J21" s="12"/>
      <c r="K21" s="14" t="str">
        <f t="shared" si="0"/>
        <v>YES</v>
      </c>
      <c r="L21" s="12" t="s">
        <v>122</v>
      </c>
      <c r="M21" s="12"/>
      <c r="N21" s="12" t="s">
        <v>211</v>
      </c>
      <c r="O21" s="12" t="s">
        <v>212</v>
      </c>
    </row>
    <row r="22" spans="1:15" ht="41.5" customHeight="1" x14ac:dyDescent="0.35">
      <c r="A22" s="11">
        <v>17</v>
      </c>
      <c r="B22" s="12" t="s">
        <v>213</v>
      </c>
      <c r="C22" s="12" t="s">
        <v>214</v>
      </c>
      <c r="D22" s="11">
        <v>2025</v>
      </c>
      <c r="E22" s="12" t="s">
        <v>215</v>
      </c>
      <c r="F22" s="12" t="s">
        <v>120</v>
      </c>
      <c r="G22" s="11" t="s">
        <v>121</v>
      </c>
      <c r="H22" s="11"/>
      <c r="I22" s="11"/>
      <c r="J22" s="12"/>
      <c r="K22" s="14" t="str">
        <f t="shared" si="0"/>
        <v>NO</v>
      </c>
      <c r="L22" s="12" t="s">
        <v>122</v>
      </c>
      <c r="M22" s="12" t="s">
        <v>216</v>
      </c>
      <c r="N22" s="12" t="s">
        <v>217</v>
      </c>
      <c r="O22" s="12" t="s">
        <v>218</v>
      </c>
    </row>
    <row r="23" spans="1:15" ht="41.5" customHeight="1" x14ac:dyDescent="0.35">
      <c r="A23" s="11">
        <v>18</v>
      </c>
      <c r="B23" s="12" t="s">
        <v>219</v>
      </c>
      <c r="C23" s="12" t="s">
        <v>220</v>
      </c>
      <c r="D23" s="11">
        <v>2025</v>
      </c>
      <c r="E23" s="12" t="s">
        <v>221</v>
      </c>
      <c r="F23" s="12" t="s">
        <v>120</v>
      </c>
      <c r="G23" s="11" t="s">
        <v>121</v>
      </c>
      <c r="H23" s="11"/>
      <c r="I23" s="11"/>
      <c r="J23" s="12"/>
      <c r="K23" s="14" t="str">
        <f t="shared" si="0"/>
        <v>NO</v>
      </c>
      <c r="L23" s="12" t="s">
        <v>122</v>
      </c>
      <c r="M23" s="12" t="s">
        <v>222</v>
      </c>
      <c r="N23" s="12" t="s">
        <v>223</v>
      </c>
      <c r="O23" s="12" t="s">
        <v>224</v>
      </c>
    </row>
    <row r="24" spans="1:15" ht="41.5" customHeight="1" x14ac:dyDescent="0.35">
      <c r="A24" s="11">
        <v>19</v>
      </c>
      <c r="B24" s="12" t="s">
        <v>225</v>
      </c>
      <c r="C24" s="12" t="s">
        <v>226</v>
      </c>
      <c r="D24" s="11">
        <v>2026</v>
      </c>
      <c r="E24" s="12" t="s">
        <v>227</v>
      </c>
      <c r="F24" s="12" t="s">
        <v>120</v>
      </c>
      <c r="G24" s="11" t="s">
        <v>121</v>
      </c>
      <c r="H24" s="11"/>
      <c r="I24" s="11"/>
      <c r="J24" s="12"/>
      <c r="K24" s="14" t="str">
        <f t="shared" si="0"/>
        <v>NO</v>
      </c>
      <c r="L24" s="12" t="s">
        <v>122</v>
      </c>
      <c r="M24" s="12" t="s">
        <v>228</v>
      </c>
      <c r="N24" s="12" t="s">
        <v>229</v>
      </c>
      <c r="O24" s="12" t="s">
        <v>230</v>
      </c>
    </row>
    <row r="25" spans="1:15" ht="141.5" customHeight="1" x14ac:dyDescent="0.35">
      <c r="A25" s="11">
        <v>20</v>
      </c>
      <c r="B25" s="12" t="s">
        <v>231</v>
      </c>
      <c r="C25" s="12" t="s">
        <v>232</v>
      </c>
      <c r="D25" s="11">
        <v>2026</v>
      </c>
      <c r="E25" s="12" t="s">
        <v>227</v>
      </c>
      <c r="F25" s="12" t="s">
        <v>120</v>
      </c>
      <c r="G25" s="11" t="s">
        <v>121</v>
      </c>
      <c r="H25" s="11"/>
      <c r="I25" s="11"/>
      <c r="J25" s="12"/>
      <c r="K25" s="14" t="str">
        <f t="shared" si="0"/>
        <v>NO</v>
      </c>
      <c r="L25" s="12" t="s">
        <v>122</v>
      </c>
      <c r="M25" s="12" t="s">
        <v>233</v>
      </c>
      <c r="N25" s="12" t="s">
        <v>234</v>
      </c>
      <c r="O25" s="12" t="s">
        <v>235</v>
      </c>
    </row>
    <row r="26" spans="1:15" ht="29" customHeight="1" x14ac:dyDescent="0.35">
      <c r="A26" s="11">
        <v>21</v>
      </c>
      <c r="B26" s="12" t="s">
        <v>236</v>
      </c>
      <c r="C26" s="12" t="s">
        <v>237</v>
      </c>
      <c r="D26" s="11">
        <v>2025</v>
      </c>
      <c r="E26" s="12" t="s">
        <v>238</v>
      </c>
      <c r="F26" s="12" t="s">
        <v>120</v>
      </c>
      <c r="G26" s="11" t="s">
        <v>121</v>
      </c>
      <c r="H26" s="11"/>
      <c r="I26" s="11"/>
      <c r="J26" s="12"/>
      <c r="K26" s="14" t="str">
        <f t="shared" si="0"/>
        <v>NO</v>
      </c>
      <c r="L26" s="12" t="s">
        <v>122</v>
      </c>
      <c r="M26" s="12" t="s">
        <v>239</v>
      </c>
      <c r="N26" s="12" t="s">
        <v>240</v>
      </c>
      <c r="O26" s="12" t="s">
        <v>241</v>
      </c>
    </row>
    <row r="27" spans="1:15" ht="41.5" customHeight="1" x14ac:dyDescent="0.35">
      <c r="A27" s="11">
        <v>22</v>
      </c>
      <c r="B27" s="12" t="s">
        <v>242</v>
      </c>
      <c r="C27" s="12" t="s">
        <v>243</v>
      </c>
      <c r="D27" s="11">
        <v>2024</v>
      </c>
      <c r="E27" s="12" t="s">
        <v>244</v>
      </c>
      <c r="F27" s="12" t="s">
        <v>120</v>
      </c>
      <c r="G27" s="11" t="s">
        <v>121</v>
      </c>
      <c r="H27" s="11"/>
      <c r="I27" s="11"/>
      <c r="J27" s="12"/>
      <c r="K27" s="14" t="str">
        <f t="shared" si="0"/>
        <v>NO</v>
      </c>
      <c r="L27" s="12" t="s">
        <v>122</v>
      </c>
      <c r="M27" s="12" t="s">
        <v>245</v>
      </c>
      <c r="N27" s="12" t="s">
        <v>246</v>
      </c>
      <c r="O27" s="12" t="s">
        <v>247</v>
      </c>
    </row>
    <row r="28" spans="1:15" ht="29" customHeight="1" x14ac:dyDescent="0.35">
      <c r="A28" s="11">
        <v>23</v>
      </c>
      <c r="B28" s="12" t="s">
        <v>248</v>
      </c>
      <c r="C28" s="12" t="s">
        <v>249</v>
      </c>
      <c r="D28" s="11">
        <v>2024</v>
      </c>
      <c r="E28" s="12" t="s">
        <v>250</v>
      </c>
      <c r="F28" s="12" t="s">
        <v>120</v>
      </c>
      <c r="G28" s="11" t="s">
        <v>121</v>
      </c>
      <c r="H28" s="11"/>
      <c r="I28" s="11"/>
      <c r="J28" s="12"/>
      <c r="K28" s="14" t="str">
        <f t="shared" si="0"/>
        <v>NO</v>
      </c>
      <c r="L28" s="12" t="s">
        <v>122</v>
      </c>
      <c r="M28" s="12" t="s">
        <v>251</v>
      </c>
      <c r="N28" s="12" t="s">
        <v>252</v>
      </c>
      <c r="O28" s="12" t="s">
        <v>253</v>
      </c>
    </row>
    <row r="29" spans="1:15" ht="41.5" customHeight="1" x14ac:dyDescent="0.35">
      <c r="A29" s="11">
        <v>24</v>
      </c>
      <c r="B29" s="12" t="s">
        <v>254</v>
      </c>
      <c r="C29" s="12" t="s">
        <v>255</v>
      </c>
      <c r="D29" s="11">
        <v>2025</v>
      </c>
      <c r="E29" s="12" t="s">
        <v>256</v>
      </c>
      <c r="F29" s="12" t="s">
        <v>120</v>
      </c>
      <c r="G29" s="11" t="s">
        <v>136</v>
      </c>
      <c r="H29" s="11" t="s">
        <v>136</v>
      </c>
      <c r="I29" s="11" t="s">
        <v>136</v>
      </c>
      <c r="J29" s="12"/>
      <c r="K29" s="14" t="str">
        <f t="shared" si="0"/>
        <v>YES</v>
      </c>
      <c r="L29" s="12" t="s">
        <v>122</v>
      </c>
      <c r="M29" s="12"/>
      <c r="N29" s="12" t="s">
        <v>257</v>
      </c>
      <c r="O29" s="12" t="s">
        <v>258</v>
      </c>
    </row>
    <row r="30" spans="1:15" ht="41.5" customHeight="1" x14ac:dyDescent="0.35">
      <c r="A30" s="11">
        <v>25</v>
      </c>
      <c r="B30" s="12" t="s">
        <v>259</v>
      </c>
      <c r="C30" s="12" t="s">
        <v>260</v>
      </c>
      <c r="D30" s="11">
        <v>2023</v>
      </c>
      <c r="E30" s="12" t="s">
        <v>147</v>
      </c>
      <c r="F30" s="12" t="s">
        <v>120</v>
      </c>
      <c r="G30" s="11" t="s">
        <v>136</v>
      </c>
      <c r="H30" s="11" t="s">
        <v>136</v>
      </c>
      <c r="I30" s="11" t="s">
        <v>121</v>
      </c>
      <c r="J30" s="12" t="s">
        <v>197</v>
      </c>
      <c r="K30" s="14" t="str">
        <f t="shared" si="0"/>
        <v>NO</v>
      </c>
      <c r="L30" s="12" t="s">
        <v>122</v>
      </c>
      <c r="M30" s="12" t="s">
        <v>198</v>
      </c>
      <c r="N30" s="12" t="s">
        <v>261</v>
      </c>
      <c r="O30" s="12" t="s">
        <v>262</v>
      </c>
    </row>
    <row r="31" spans="1:15" ht="29" customHeight="1" x14ac:dyDescent="0.35">
      <c r="A31" s="11">
        <v>26</v>
      </c>
      <c r="B31" s="12" t="s">
        <v>263</v>
      </c>
      <c r="C31" s="12" t="s">
        <v>264</v>
      </c>
      <c r="D31" s="11">
        <v>2020</v>
      </c>
      <c r="E31" s="12" t="s">
        <v>265</v>
      </c>
      <c r="F31" s="12" t="s">
        <v>266</v>
      </c>
      <c r="G31" s="11" t="s">
        <v>136</v>
      </c>
      <c r="H31" s="11" t="s">
        <v>136</v>
      </c>
      <c r="I31" s="11" t="s">
        <v>136</v>
      </c>
      <c r="J31" s="12"/>
      <c r="K31" s="14" t="str">
        <f t="shared" si="0"/>
        <v>YES</v>
      </c>
      <c r="L31" s="12" t="s">
        <v>122</v>
      </c>
      <c r="M31" s="12"/>
      <c r="N31" s="12" t="s">
        <v>267</v>
      </c>
      <c r="O31" s="12" t="s">
        <v>268</v>
      </c>
    </row>
    <row r="32" spans="1:15" ht="29" customHeight="1" x14ac:dyDescent="0.35">
      <c r="A32" s="11">
        <v>27</v>
      </c>
      <c r="B32" s="12" t="s">
        <v>269</v>
      </c>
      <c r="C32" s="12" t="s">
        <v>270</v>
      </c>
      <c r="D32" s="11">
        <v>2021</v>
      </c>
      <c r="E32" s="12" t="s">
        <v>271</v>
      </c>
      <c r="F32" s="12" t="s">
        <v>266</v>
      </c>
      <c r="G32" s="11" t="s">
        <v>136</v>
      </c>
      <c r="H32" s="11" t="s">
        <v>136</v>
      </c>
      <c r="I32" s="11" t="s">
        <v>136</v>
      </c>
      <c r="J32" s="12"/>
      <c r="K32" s="14" t="str">
        <f t="shared" si="0"/>
        <v>YES</v>
      </c>
      <c r="L32" s="12" t="s">
        <v>122</v>
      </c>
      <c r="M32" s="12"/>
      <c r="N32" s="12" t="s">
        <v>272</v>
      </c>
      <c r="O32" s="12" t="s">
        <v>273</v>
      </c>
    </row>
    <row r="33" spans="1:15" ht="24" customHeight="1" x14ac:dyDescent="0.35">
      <c r="A33" s="11">
        <v>28</v>
      </c>
      <c r="B33" s="12" t="s">
        <v>274</v>
      </c>
      <c r="C33" s="12" t="s">
        <v>275</v>
      </c>
      <c r="D33" s="11">
        <v>2023</v>
      </c>
      <c r="E33" s="12" t="s">
        <v>276</v>
      </c>
      <c r="F33" s="12" t="s">
        <v>266</v>
      </c>
      <c r="G33" s="11" t="s">
        <v>136</v>
      </c>
      <c r="H33" s="11" t="s">
        <v>136</v>
      </c>
      <c r="I33" s="11" t="s">
        <v>136</v>
      </c>
      <c r="J33" s="12"/>
      <c r="K33" s="14" t="str">
        <f t="shared" si="0"/>
        <v>YES</v>
      </c>
      <c r="L33" s="12" t="s">
        <v>122</v>
      </c>
      <c r="M33" s="12"/>
      <c r="N33" s="12" t="s">
        <v>277</v>
      </c>
      <c r="O33" s="12" t="s">
        <v>278</v>
      </c>
    </row>
    <row r="34" spans="1:15" ht="29" customHeight="1" x14ac:dyDescent="0.35">
      <c r="A34" s="11">
        <v>29</v>
      </c>
      <c r="B34" s="12" t="s">
        <v>279</v>
      </c>
      <c r="C34" s="12" t="s">
        <v>275</v>
      </c>
      <c r="D34" s="11">
        <v>2024</v>
      </c>
      <c r="E34" s="12" t="s">
        <v>221</v>
      </c>
      <c r="F34" s="12" t="s">
        <v>266</v>
      </c>
      <c r="G34" s="11" t="s">
        <v>121</v>
      </c>
      <c r="H34" s="11"/>
      <c r="I34" s="11"/>
      <c r="J34" s="12"/>
      <c r="K34" s="14" t="str">
        <f t="shared" si="0"/>
        <v>NO</v>
      </c>
      <c r="L34" s="12" t="s">
        <v>122</v>
      </c>
      <c r="M34" s="12" t="s">
        <v>280</v>
      </c>
      <c r="N34" s="12" t="s">
        <v>281</v>
      </c>
      <c r="O34" s="12" t="s">
        <v>282</v>
      </c>
    </row>
    <row r="35" spans="1:15" ht="29" customHeight="1" x14ac:dyDescent="0.35">
      <c r="A35" s="11">
        <v>30</v>
      </c>
      <c r="B35" s="12" t="s">
        <v>263</v>
      </c>
      <c r="C35" s="12" t="s">
        <v>264</v>
      </c>
      <c r="D35" s="11">
        <v>2020</v>
      </c>
      <c r="E35" s="12" t="s">
        <v>147</v>
      </c>
      <c r="F35" s="12" t="s">
        <v>266</v>
      </c>
      <c r="G35" s="11" t="s">
        <v>136</v>
      </c>
      <c r="H35" s="11" t="s">
        <v>136</v>
      </c>
      <c r="I35" s="11" t="s">
        <v>121</v>
      </c>
      <c r="J35" s="12" t="s">
        <v>162</v>
      </c>
      <c r="K35" s="14" t="str">
        <f t="shared" si="0"/>
        <v>NO</v>
      </c>
      <c r="L35" s="12" t="s">
        <v>122</v>
      </c>
      <c r="M35" s="12" t="s">
        <v>283</v>
      </c>
      <c r="N35" s="12" t="s">
        <v>284</v>
      </c>
      <c r="O35" s="12" t="s">
        <v>285</v>
      </c>
    </row>
    <row r="36" spans="1:15" ht="29" customHeight="1" x14ac:dyDescent="0.35">
      <c r="A36" s="11">
        <v>31</v>
      </c>
      <c r="B36" s="12" t="s">
        <v>286</v>
      </c>
      <c r="C36" s="12" t="s">
        <v>287</v>
      </c>
      <c r="D36" s="11">
        <v>2023</v>
      </c>
      <c r="E36" s="12" t="s">
        <v>288</v>
      </c>
      <c r="F36" s="12" t="s">
        <v>266</v>
      </c>
      <c r="G36" s="11" t="s">
        <v>136</v>
      </c>
      <c r="H36" s="11" t="s">
        <v>136</v>
      </c>
      <c r="I36" s="11" t="s">
        <v>136</v>
      </c>
      <c r="J36" s="12"/>
      <c r="K36" s="14" t="str">
        <f t="shared" si="0"/>
        <v>YES</v>
      </c>
      <c r="L36" s="12" t="s">
        <v>122</v>
      </c>
      <c r="M36" s="12"/>
      <c r="N36" s="12" t="s">
        <v>289</v>
      </c>
      <c r="O36" s="12" t="s">
        <v>290</v>
      </c>
    </row>
    <row r="37" spans="1:15" ht="29" customHeight="1" x14ac:dyDescent="0.35">
      <c r="A37" s="11">
        <v>32</v>
      </c>
      <c r="B37" s="12" t="s">
        <v>291</v>
      </c>
      <c r="C37" s="12" t="s">
        <v>292</v>
      </c>
      <c r="D37" s="11">
        <v>2024</v>
      </c>
      <c r="E37" s="12" t="s">
        <v>293</v>
      </c>
      <c r="F37" s="12" t="s">
        <v>266</v>
      </c>
      <c r="G37" s="11" t="s">
        <v>136</v>
      </c>
      <c r="H37" s="11" t="s">
        <v>136</v>
      </c>
      <c r="I37" s="11" t="s">
        <v>136</v>
      </c>
      <c r="J37" s="12"/>
      <c r="K37" s="14" t="str">
        <f t="shared" si="0"/>
        <v>YES</v>
      </c>
      <c r="L37" s="12" t="s">
        <v>122</v>
      </c>
      <c r="M37" s="12"/>
      <c r="N37" s="12" t="s">
        <v>294</v>
      </c>
      <c r="O37" s="12" t="s">
        <v>295</v>
      </c>
    </row>
    <row r="38" spans="1:15" ht="41.5" customHeight="1" x14ac:dyDescent="0.35">
      <c r="A38" s="11">
        <v>33</v>
      </c>
      <c r="B38" s="12" t="s">
        <v>296</v>
      </c>
      <c r="C38" s="12" t="s">
        <v>297</v>
      </c>
      <c r="D38" s="11">
        <v>2023</v>
      </c>
      <c r="E38" s="12" t="s">
        <v>276</v>
      </c>
      <c r="F38" s="12" t="s">
        <v>266</v>
      </c>
      <c r="G38" s="11" t="s">
        <v>136</v>
      </c>
      <c r="H38" s="11" t="s">
        <v>136</v>
      </c>
      <c r="I38" s="11" t="s">
        <v>136</v>
      </c>
      <c r="J38" s="12"/>
      <c r="K38" s="14" t="str">
        <f t="shared" si="0"/>
        <v>YES</v>
      </c>
      <c r="L38" s="12" t="s">
        <v>122</v>
      </c>
      <c r="M38" s="12"/>
      <c r="N38" s="12" t="s">
        <v>298</v>
      </c>
      <c r="O38" s="12" t="s">
        <v>299</v>
      </c>
    </row>
    <row r="39" spans="1:15" ht="41.5" customHeight="1" x14ac:dyDescent="0.35">
      <c r="A39" s="11">
        <v>34</v>
      </c>
      <c r="B39" s="12" t="s">
        <v>300</v>
      </c>
      <c r="C39" s="12" t="s">
        <v>301</v>
      </c>
      <c r="D39" s="11">
        <v>2025</v>
      </c>
      <c r="E39" s="12" t="s">
        <v>302</v>
      </c>
      <c r="F39" s="12" t="s">
        <v>266</v>
      </c>
      <c r="G39" s="11" t="s">
        <v>136</v>
      </c>
      <c r="H39" s="11" t="s">
        <v>136</v>
      </c>
      <c r="I39" s="11" t="s">
        <v>136</v>
      </c>
      <c r="J39" s="12"/>
      <c r="K39" s="14" t="str">
        <f t="shared" si="0"/>
        <v>YES</v>
      </c>
      <c r="L39" s="12" t="s">
        <v>122</v>
      </c>
      <c r="M39" s="12"/>
      <c r="N39" s="12" t="s">
        <v>303</v>
      </c>
      <c r="O39" s="12" t="s">
        <v>304</v>
      </c>
    </row>
    <row r="40" spans="1:15" ht="29" customHeight="1" x14ac:dyDescent="0.35">
      <c r="A40" s="11">
        <v>35</v>
      </c>
      <c r="B40" s="12" t="s">
        <v>305</v>
      </c>
      <c r="C40" s="12" t="s">
        <v>306</v>
      </c>
      <c r="D40" s="11">
        <v>2024</v>
      </c>
      <c r="E40" s="12" t="s">
        <v>221</v>
      </c>
      <c r="F40" s="12" t="s">
        <v>266</v>
      </c>
      <c r="G40" s="11" t="s">
        <v>136</v>
      </c>
      <c r="H40" s="11" t="s">
        <v>136</v>
      </c>
      <c r="I40" s="11" t="s">
        <v>121</v>
      </c>
      <c r="J40" s="12" t="s">
        <v>307</v>
      </c>
      <c r="K40" s="14" t="str">
        <f t="shared" si="0"/>
        <v>NO</v>
      </c>
      <c r="L40" s="12" t="s">
        <v>122</v>
      </c>
      <c r="M40" s="12" t="s">
        <v>308</v>
      </c>
      <c r="N40" s="12" t="s">
        <v>309</v>
      </c>
      <c r="O40" s="12" t="s">
        <v>310</v>
      </c>
    </row>
    <row r="41" spans="1:15" ht="41.5" customHeight="1" x14ac:dyDescent="0.35">
      <c r="A41" s="11">
        <v>36</v>
      </c>
      <c r="B41" s="12" t="s">
        <v>311</v>
      </c>
      <c r="C41" s="12" t="s">
        <v>292</v>
      </c>
      <c r="D41" s="11">
        <v>2023</v>
      </c>
      <c r="E41" s="12" t="s">
        <v>312</v>
      </c>
      <c r="F41" s="12" t="s">
        <v>266</v>
      </c>
      <c r="G41" s="11" t="s">
        <v>136</v>
      </c>
      <c r="H41" s="11" t="s">
        <v>136</v>
      </c>
      <c r="I41" s="11" t="s">
        <v>136</v>
      </c>
      <c r="J41" s="12"/>
      <c r="K41" s="14" t="str">
        <f t="shared" si="0"/>
        <v>YES</v>
      </c>
      <c r="L41" s="12" t="s">
        <v>122</v>
      </c>
      <c r="M41" s="12"/>
      <c r="N41" s="12" t="s">
        <v>313</v>
      </c>
      <c r="O41" s="12" t="s">
        <v>314</v>
      </c>
    </row>
    <row r="42" spans="1:15" ht="54" customHeight="1" x14ac:dyDescent="0.35">
      <c r="A42" s="11">
        <v>37</v>
      </c>
      <c r="B42" s="12" t="s">
        <v>315</v>
      </c>
      <c r="C42" s="12" t="s">
        <v>316</v>
      </c>
      <c r="D42" s="11">
        <v>2026</v>
      </c>
      <c r="E42" s="12" t="s">
        <v>317</v>
      </c>
      <c r="F42" s="12" t="s">
        <v>266</v>
      </c>
      <c r="G42" s="11" t="s">
        <v>136</v>
      </c>
      <c r="H42" s="11" t="s">
        <v>136</v>
      </c>
      <c r="I42" s="11" t="s">
        <v>121</v>
      </c>
      <c r="J42" s="12" t="s">
        <v>307</v>
      </c>
      <c r="K42" s="14" t="str">
        <f t="shared" si="0"/>
        <v>NO</v>
      </c>
      <c r="L42" s="12" t="s">
        <v>122</v>
      </c>
      <c r="M42" s="12" t="s">
        <v>308</v>
      </c>
      <c r="N42" s="12" t="s">
        <v>318</v>
      </c>
      <c r="O42" s="12" t="s">
        <v>319</v>
      </c>
    </row>
    <row r="43" spans="1:15" ht="29" customHeight="1" x14ac:dyDescent="0.35">
      <c r="A43" s="11">
        <v>38</v>
      </c>
      <c r="B43" s="12" t="s">
        <v>320</v>
      </c>
      <c r="C43" s="12" t="s">
        <v>321</v>
      </c>
      <c r="D43" s="11">
        <v>2026</v>
      </c>
      <c r="E43" s="12" t="s">
        <v>147</v>
      </c>
      <c r="F43" s="12" t="s">
        <v>266</v>
      </c>
      <c r="G43" s="11" t="s">
        <v>136</v>
      </c>
      <c r="H43" s="11" t="s">
        <v>136</v>
      </c>
      <c r="I43" s="11" t="s">
        <v>121</v>
      </c>
      <c r="J43" s="12" t="s">
        <v>197</v>
      </c>
      <c r="K43" s="14" t="str">
        <f t="shared" si="0"/>
        <v>NO</v>
      </c>
      <c r="L43" s="12" t="s">
        <v>122</v>
      </c>
      <c r="M43" s="12" t="s">
        <v>322</v>
      </c>
      <c r="N43" s="12" t="s">
        <v>323</v>
      </c>
      <c r="O43" s="12" t="s">
        <v>324</v>
      </c>
    </row>
    <row r="44" spans="1:15" ht="41.5" customHeight="1" x14ac:dyDescent="0.35">
      <c r="A44" s="11">
        <v>39</v>
      </c>
      <c r="B44" s="12" t="s">
        <v>325</v>
      </c>
      <c r="C44" s="12" t="s">
        <v>326</v>
      </c>
      <c r="D44" s="11">
        <v>2026</v>
      </c>
      <c r="E44" s="12" t="s">
        <v>147</v>
      </c>
      <c r="F44" s="12" t="s">
        <v>266</v>
      </c>
      <c r="G44" s="11" t="s">
        <v>136</v>
      </c>
      <c r="H44" s="11" t="s">
        <v>136</v>
      </c>
      <c r="I44" s="11" t="s">
        <v>121</v>
      </c>
      <c r="J44" s="12" t="s">
        <v>197</v>
      </c>
      <c r="K44" s="14" t="str">
        <f t="shared" si="0"/>
        <v>NO</v>
      </c>
      <c r="L44" s="12" t="s">
        <v>122</v>
      </c>
      <c r="M44" s="12" t="s">
        <v>322</v>
      </c>
      <c r="N44" s="12" t="s">
        <v>327</v>
      </c>
      <c r="O44" s="12" t="s">
        <v>328</v>
      </c>
    </row>
    <row r="45" spans="1:15" ht="41.5" customHeight="1" x14ac:dyDescent="0.35">
      <c r="A45" s="11">
        <v>40</v>
      </c>
      <c r="B45" s="12" t="s">
        <v>329</v>
      </c>
      <c r="C45" s="12" t="s">
        <v>330</v>
      </c>
      <c r="D45" s="11">
        <v>2025</v>
      </c>
      <c r="E45" s="12" t="s">
        <v>331</v>
      </c>
      <c r="F45" s="12" t="s">
        <v>266</v>
      </c>
      <c r="G45" s="11" t="s">
        <v>136</v>
      </c>
      <c r="H45" s="11" t="s">
        <v>136</v>
      </c>
      <c r="I45" s="11" t="s">
        <v>121</v>
      </c>
      <c r="J45" s="12" t="s">
        <v>307</v>
      </c>
      <c r="K45" s="14" t="str">
        <f t="shared" si="0"/>
        <v>NO</v>
      </c>
      <c r="L45" s="12" t="s">
        <v>122</v>
      </c>
      <c r="M45" s="12" t="s">
        <v>308</v>
      </c>
      <c r="N45" s="12" t="s">
        <v>332</v>
      </c>
      <c r="O45" s="12" t="s">
        <v>333</v>
      </c>
    </row>
    <row r="46" spans="1:15" ht="41.5" customHeight="1" x14ac:dyDescent="0.35">
      <c r="A46" s="11">
        <v>41</v>
      </c>
      <c r="B46" s="12" t="s">
        <v>334</v>
      </c>
      <c r="C46" s="12" t="s">
        <v>335</v>
      </c>
      <c r="D46" s="11">
        <v>2024</v>
      </c>
      <c r="E46" s="12" t="s">
        <v>147</v>
      </c>
      <c r="F46" s="12" t="s">
        <v>266</v>
      </c>
      <c r="G46" s="11" t="s">
        <v>136</v>
      </c>
      <c r="H46" s="11" t="s">
        <v>136</v>
      </c>
      <c r="I46" s="11" t="s">
        <v>121</v>
      </c>
      <c r="J46" s="12" t="s">
        <v>162</v>
      </c>
      <c r="K46" s="14" t="str">
        <f t="shared" si="0"/>
        <v>NO</v>
      </c>
      <c r="L46" s="12" t="s">
        <v>122</v>
      </c>
      <c r="M46" s="12" t="s">
        <v>336</v>
      </c>
      <c r="N46" s="12" t="s">
        <v>337</v>
      </c>
      <c r="O46" s="12" t="s">
        <v>338</v>
      </c>
    </row>
    <row r="47" spans="1:15" ht="41.5" customHeight="1" x14ac:dyDescent="0.35">
      <c r="A47" s="11">
        <v>42</v>
      </c>
      <c r="B47" s="12" t="s">
        <v>296</v>
      </c>
      <c r="C47" s="12" t="s">
        <v>297</v>
      </c>
      <c r="D47" s="11">
        <v>2023</v>
      </c>
      <c r="E47" s="12" t="s">
        <v>147</v>
      </c>
      <c r="F47" s="12" t="s">
        <v>266</v>
      </c>
      <c r="G47" s="11" t="s">
        <v>136</v>
      </c>
      <c r="H47" s="11" t="s">
        <v>136</v>
      </c>
      <c r="I47" s="11" t="s">
        <v>121</v>
      </c>
      <c r="J47" s="12" t="s">
        <v>162</v>
      </c>
      <c r="K47" s="14" t="str">
        <f t="shared" si="0"/>
        <v>NO</v>
      </c>
      <c r="L47" s="12" t="s">
        <v>122</v>
      </c>
      <c r="M47" s="12" t="s">
        <v>339</v>
      </c>
      <c r="N47" s="12" t="s">
        <v>340</v>
      </c>
      <c r="O47" s="12" t="s">
        <v>341</v>
      </c>
    </row>
    <row r="48" spans="1:15" ht="29" customHeight="1" x14ac:dyDescent="0.35">
      <c r="A48" s="11">
        <v>43</v>
      </c>
      <c r="B48" s="12" t="s">
        <v>342</v>
      </c>
      <c r="C48" s="12" t="s">
        <v>343</v>
      </c>
      <c r="D48" s="11">
        <v>2023</v>
      </c>
      <c r="E48" s="12" t="s">
        <v>147</v>
      </c>
      <c r="F48" s="12" t="s">
        <v>266</v>
      </c>
      <c r="G48" s="11" t="s">
        <v>136</v>
      </c>
      <c r="H48" s="11" t="s">
        <v>121</v>
      </c>
      <c r="I48" s="11"/>
      <c r="J48" s="12"/>
      <c r="K48" s="14" t="str">
        <f t="shared" si="0"/>
        <v>NO</v>
      </c>
      <c r="L48" s="12" t="s">
        <v>122</v>
      </c>
      <c r="M48" s="12" t="s">
        <v>344</v>
      </c>
      <c r="N48" s="12" t="s">
        <v>345</v>
      </c>
      <c r="O48" s="12" t="s">
        <v>346</v>
      </c>
    </row>
    <row r="49" spans="1:15" ht="29" customHeight="1" x14ac:dyDescent="0.35">
      <c r="A49" s="11">
        <v>44</v>
      </c>
      <c r="B49" s="12" t="s">
        <v>347</v>
      </c>
      <c r="C49" s="12" t="s">
        <v>348</v>
      </c>
      <c r="D49" s="11">
        <v>2023</v>
      </c>
      <c r="E49" s="12" t="s">
        <v>349</v>
      </c>
      <c r="F49" s="12" t="s">
        <v>266</v>
      </c>
      <c r="G49" s="11" t="s">
        <v>136</v>
      </c>
      <c r="H49" s="11" t="s">
        <v>136</v>
      </c>
      <c r="I49" s="11" t="s">
        <v>121</v>
      </c>
      <c r="J49" s="12" t="s">
        <v>307</v>
      </c>
      <c r="K49" s="14" t="str">
        <f t="shared" si="0"/>
        <v>NO</v>
      </c>
      <c r="L49" s="12" t="s">
        <v>122</v>
      </c>
      <c r="M49" s="12" t="s">
        <v>350</v>
      </c>
      <c r="N49" s="12" t="s">
        <v>351</v>
      </c>
      <c r="O49" s="12" t="s">
        <v>352</v>
      </c>
    </row>
    <row r="50" spans="1:15" ht="29" customHeight="1" x14ac:dyDescent="0.35">
      <c r="A50" s="11">
        <v>45</v>
      </c>
      <c r="B50" s="12" t="s">
        <v>353</v>
      </c>
      <c r="C50" s="12" t="s">
        <v>343</v>
      </c>
      <c r="D50" s="11">
        <v>2023</v>
      </c>
      <c r="E50" s="12" t="s">
        <v>221</v>
      </c>
      <c r="F50" s="12" t="s">
        <v>266</v>
      </c>
      <c r="G50" s="11" t="s">
        <v>136</v>
      </c>
      <c r="H50" s="11" t="s">
        <v>121</v>
      </c>
      <c r="I50" s="11"/>
      <c r="J50" s="12"/>
      <c r="K50" s="14" t="str">
        <f t="shared" si="0"/>
        <v>NO</v>
      </c>
      <c r="L50" s="12" t="s">
        <v>122</v>
      </c>
      <c r="M50" s="12" t="s">
        <v>344</v>
      </c>
      <c r="N50" s="12" t="s">
        <v>354</v>
      </c>
      <c r="O50" s="12" t="s">
        <v>355</v>
      </c>
    </row>
    <row r="51" spans="1:15" ht="29" customHeight="1" x14ac:dyDescent="0.35">
      <c r="A51" s="11">
        <v>46</v>
      </c>
      <c r="B51" s="12" t="s">
        <v>356</v>
      </c>
      <c r="C51" s="12" t="s">
        <v>270</v>
      </c>
      <c r="D51" s="11">
        <v>2020</v>
      </c>
      <c r="E51" s="12" t="s">
        <v>357</v>
      </c>
      <c r="F51" s="12" t="s">
        <v>266</v>
      </c>
      <c r="G51" s="11" t="s">
        <v>136</v>
      </c>
      <c r="H51" s="11" t="s">
        <v>136</v>
      </c>
      <c r="I51" s="11" t="s">
        <v>121</v>
      </c>
      <c r="J51" s="12" t="s">
        <v>162</v>
      </c>
      <c r="K51" s="14" t="str">
        <f t="shared" si="0"/>
        <v>NO</v>
      </c>
      <c r="L51" s="12" t="s">
        <v>122</v>
      </c>
      <c r="M51" s="12" t="s">
        <v>358</v>
      </c>
      <c r="N51" s="12" t="s">
        <v>359</v>
      </c>
      <c r="O51" s="12"/>
    </row>
    <row r="52" spans="1:15" ht="41.5" customHeight="1" x14ac:dyDescent="0.35">
      <c r="A52" s="11">
        <v>47</v>
      </c>
      <c r="B52" s="12" t="s">
        <v>360</v>
      </c>
      <c r="C52" s="12" t="s">
        <v>361</v>
      </c>
      <c r="D52" s="11">
        <v>2023</v>
      </c>
      <c r="E52" s="12" t="s">
        <v>362</v>
      </c>
      <c r="F52" s="12" t="s">
        <v>363</v>
      </c>
      <c r="G52" s="11" t="s">
        <v>121</v>
      </c>
      <c r="H52" s="11"/>
      <c r="I52" s="11"/>
      <c r="J52" s="12"/>
      <c r="K52" s="14" t="str">
        <f t="shared" si="0"/>
        <v>NO</v>
      </c>
      <c r="L52" s="12" t="s">
        <v>122</v>
      </c>
      <c r="M52" s="12" t="s">
        <v>364</v>
      </c>
      <c r="N52" s="12" t="s">
        <v>365</v>
      </c>
      <c r="O52" s="12" t="s">
        <v>366</v>
      </c>
    </row>
    <row r="53" spans="1:15" ht="29" customHeight="1" x14ac:dyDescent="0.35">
      <c r="A53" s="11">
        <v>48</v>
      </c>
      <c r="B53" s="12" t="s">
        <v>367</v>
      </c>
      <c r="C53" s="12" t="s">
        <v>368</v>
      </c>
      <c r="D53" s="11">
        <v>2023</v>
      </c>
      <c r="E53" s="12" t="s">
        <v>369</v>
      </c>
      <c r="F53" s="12" t="s">
        <v>363</v>
      </c>
      <c r="G53" s="11" t="s">
        <v>121</v>
      </c>
      <c r="H53" s="11"/>
      <c r="I53" s="11"/>
      <c r="J53" s="12"/>
      <c r="K53" s="14" t="str">
        <f t="shared" si="0"/>
        <v>NO</v>
      </c>
      <c r="L53" s="12" t="s">
        <v>122</v>
      </c>
      <c r="M53" s="12" t="s">
        <v>222</v>
      </c>
      <c r="N53" s="12" t="s">
        <v>370</v>
      </c>
      <c r="O53" s="12" t="s">
        <v>371</v>
      </c>
    </row>
    <row r="54" spans="1:15" ht="41.5" customHeight="1" x14ac:dyDescent="0.35">
      <c r="A54" s="11">
        <v>49</v>
      </c>
      <c r="B54" s="12" t="s">
        <v>372</v>
      </c>
      <c r="C54" s="12" t="s">
        <v>373</v>
      </c>
      <c r="D54" s="11">
        <v>2024</v>
      </c>
      <c r="E54" s="12" t="s">
        <v>134</v>
      </c>
      <c r="F54" s="12" t="s">
        <v>363</v>
      </c>
      <c r="G54" s="11" t="s">
        <v>136</v>
      </c>
      <c r="H54" s="11" t="s">
        <v>136</v>
      </c>
      <c r="I54" s="11" t="s">
        <v>136</v>
      </c>
      <c r="J54" s="12"/>
      <c r="K54" s="14" t="str">
        <f t="shared" si="0"/>
        <v>YES</v>
      </c>
      <c r="L54" s="12" t="s">
        <v>122</v>
      </c>
      <c r="M54" s="12"/>
      <c r="N54" s="12" t="s">
        <v>374</v>
      </c>
      <c r="O54" s="12" t="s">
        <v>375</v>
      </c>
    </row>
    <row r="55" spans="1:15" ht="54" customHeight="1" x14ac:dyDescent="0.35">
      <c r="A55" s="11">
        <v>50</v>
      </c>
      <c r="B55" s="12" t="s">
        <v>376</v>
      </c>
      <c r="C55" s="12" t="s">
        <v>377</v>
      </c>
      <c r="D55" s="11">
        <v>2024</v>
      </c>
      <c r="E55" s="12" t="s">
        <v>378</v>
      </c>
      <c r="F55" s="12" t="s">
        <v>363</v>
      </c>
      <c r="G55" s="11" t="s">
        <v>121</v>
      </c>
      <c r="H55" s="11"/>
      <c r="I55" s="11"/>
      <c r="J55" s="12"/>
      <c r="K55" s="14" t="str">
        <f t="shared" si="0"/>
        <v>NO</v>
      </c>
      <c r="L55" s="12" t="s">
        <v>122</v>
      </c>
      <c r="M55" s="12" t="s">
        <v>379</v>
      </c>
      <c r="N55" s="12" t="s">
        <v>380</v>
      </c>
      <c r="O55" s="12" t="s">
        <v>381</v>
      </c>
    </row>
    <row r="56" spans="1:15" ht="29" customHeight="1" x14ac:dyDescent="0.35">
      <c r="A56" s="11">
        <v>51</v>
      </c>
      <c r="B56" s="12" t="s">
        <v>382</v>
      </c>
      <c r="C56" s="12" t="s">
        <v>383</v>
      </c>
      <c r="D56" s="11">
        <v>2023</v>
      </c>
      <c r="E56" s="12" t="s">
        <v>147</v>
      </c>
      <c r="F56" s="12" t="s">
        <v>363</v>
      </c>
      <c r="G56" s="11" t="s">
        <v>121</v>
      </c>
      <c r="H56" s="11"/>
      <c r="I56" s="11"/>
      <c r="J56" s="12"/>
      <c r="K56" s="14" t="str">
        <f t="shared" si="0"/>
        <v>NO</v>
      </c>
      <c r="L56" s="12" t="s">
        <v>122</v>
      </c>
      <c r="M56" s="12" t="s">
        <v>384</v>
      </c>
      <c r="N56" s="12" t="s">
        <v>385</v>
      </c>
      <c r="O56" s="12" t="s">
        <v>386</v>
      </c>
    </row>
    <row r="57" spans="1:15" ht="29" customHeight="1" x14ac:dyDescent="0.35">
      <c r="A57" s="11">
        <v>52</v>
      </c>
      <c r="B57" s="12" t="s">
        <v>387</v>
      </c>
      <c r="C57" s="12" t="s">
        <v>388</v>
      </c>
      <c r="D57" s="11">
        <v>2024</v>
      </c>
      <c r="E57" s="12" t="s">
        <v>389</v>
      </c>
      <c r="F57" s="12" t="s">
        <v>363</v>
      </c>
      <c r="G57" s="11" t="s">
        <v>136</v>
      </c>
      <c r="H57" s="11" t="s">
        <v>136</v>
      </c>
      <c r="I57" s="11" t="s">
        <v>136</v>
      </c>
      <c r="J57" s="12"/>
      <c r="K57" s="14" t="str">
        <f t="shared" si="0"/>
        <v>YES</v>
      </c>
      <c r="L57" s="12" t="s">
        <v>122</v>
      </c>
      <c r="M57" s="12"/>
      <c r="N57" s="12" t="s">
        <v>390</v>
      </c>
      <c r="O57" s="12" t="s">
        <v>391</v>
      </c>
    </row>
    <row r="58" spans="1:15" ht="104" customHeight="1" x14ac:dyDescent="0.35">
      <c r="A58" s="11">
        <v>53</v>
      </c>
      <c r="B58" s="12" t="s">
        <v>392</v>
      </c>
      <c r="C58" s="12" t="s">
        <v>393</v>
      </c>
      <c r="D58" s="11">
        <v>2024</v>
      </c>
      <c r="E58" s="12" t="s">
        <v>394</v>
      </c>
      <c r="F58" s="12" t="s">
        <v>363</v>
      </c>
      <c r="G58" s="11" t="s">
        <v>121</v>
      </c>
      <c r="H58" s="11"/>
      <c r="I58" s="11"/>
      <c r="J58" s="12"/>
      <c r="K58" s="14" t="str">
        <f t="shared" si="0"/>
        <v>NO</v>
      </c>
      <c r="L58" s="12" t="s">
        <v>122</v>
      </c>
      <c r="M58" s="12" t="s">
        <v>395</v>
      </c>
      <c r="N58" s="12" t="s">
        <v>396</v>
      </c>
      <c r="O58" s="12" t="s">
        <v>397</v>
      </c>
    </row>
    <row r="59" spans="1:15" ht="29" customHeight="1" x14ac:dyDescent="0.35">
      <c r="A59" s="11">
        <v>54</v>
      </c>
      <c r="B59" s="12" t="s">
        <v>398</v>
      </c>
      <c r="C59" s="12" t="s">
        <v>399</v>
      </c>
      <c r="D59" s="11">
        <v>2025</v>
      </c>
      <c r="E59" s="12" t="s">
        <v>400</v>
      </c>
      <c r="F59" s="12" t="s">
        <v>363</v>
      </c>
      <c r="G59" s="11" t="s">
        <v>121</v>
      </c>
      <c r="H59" s="11"/>
      <c r="I59" s="11"/>
      <c r="J59" s="12"/>
      <c r="K59" s="14" t="str">
        <f t="shared" si="0"/>
        <v>NO</v>
      </c>
      <c r="L59" s="12" t="s">
        <v>122</v>
      </c>
      <c r="M59" s="12" t="s">
        <v>401</v>
      </c>
      <c r="N59" s="12" t="s">
        <v>402</v>
      </c>
      <c r="O59" s="12" t="s">
        <v>403</v>
      </c>
    </row>
    <row r="60" spans="1:15" ht="29" customHeight="1" x14ac:dyDescent="0.35">
      <c r="A60" s="11">
        <v>55</v>
      </c>
      <c r="B60" s="12" t="s">
        <v>404</v>
      </c>
      <c r="C60" s="12" t="s">
        <v>405</v>
      </c>
      <c r="D60" s="11">
        <v>2024</v>
      </c>
      <c r="E60" s="12" t="s">
        <v>406</v>
      </c>
      <c r="F60" s="12" t="s">
        <v>363</v>
      </c>
      <c r="G60" s="11" t="s">
        <v>136</v>
      </c>
      <c r="H60" s="11" t="s">
        <v>136</v>
      </c>
      <c r="I60" s="11" t="s">
        <v>136</v>
      </c>
      <c r="J60" s="12"/>
      <c r="K60" s="14" t="str">
        <f t="shared" si="0"/>
        <v>YES</v>
      </c>
      <c r="L60" s="12" t="s">
        <v>122</v>
      </c>
      <c r="M60" s="12"/>
      <c r="N60" s="12" t="s">
        <v>407</v>
      </c>
      <c r="O60" s="12" t="s">
        <v>408</v>
      </c>
    </row>
    <row r="61" spans="1:15" ht="29" customHeight="1" x14ac:dyDescent="0.35">
      <c r="A61" s="11">
        <v>56</v>
      </c>
      <c r="B61" s="12" t="s">
        <v>409</v>
      </c>
      <c r="C61" s="12" t="s">
        <v>410</v>
      </c>
      <c r="D61" s="11">
        <v>2024</v>
      </c>
      <c r="E61" s="12" t="s">
        <v>411</v>
      </c>
      <c r="F61" s="12" t="s">
        <v>363</v>
      </c>
      <c r="G61" s="11" t="s">
        <v>136</v>
      </c>
      <c r="H61" s="11" t="s">
        <v>136</v>
      </c>
      <c r="I61" s="11" t="s">
        <v>136</v>
      </c>
      <c r="J61" s="12"/>
      <c r="K61" s="14" t="str">
        <f t="shared" si="0"/>
        <v>YES</v>
      </c>
      <c r="L61" s="12" t="s">
        <v>122</v>
      </c>
      <c r="M61" s="12"/>
      <c r="N61" s="12" t="s">
        <v>412</v>
      </c>
      <c r="O61" s="12" t="s">
        <v>413</v>
      </c>
    </row>
    <row r="62" spans="1:15" ht="41.5" customHeight="1" x14ac:dyDescent="0.35">
      <c r="A62" s="11">
        <v>57</v>
      </c>
      <c r="B62" s="12" t="s">
        <v>414</v>
      </c>
      <c r="C62" s="12" t="s">
        <v>415</v>
      </c>
      <c r="D62" s="11">
        <v>2025</v>
      </c>
      <c r="E62" s="12" t="s">
        <v>416</v>
      </c>
      <c r="F62" s="12" t="s">
        <v>363</v>
      </c>
      <c r="G62" s="11" t="s">
        <v>121</v>
      </c>
      <c r="H62" s="11"/>
      <c r="I62" s="11"/>
      <c r="J62" s="12"/>
      <c r="K62" s="14" t="str">
        <f t="shared" si="0"/>
        <v>NO</v>
      </c>
      <c r="L62" s="12" t="s">
        <v>122</v>
      </c>
      <c r="M62" s="12" t="s">
        <v>417</v>
      </c>
      <c r="N62" s="12" t="s">
        <v>418</v>
      </c>
      <c r="O62" s="12" t="s">
        <v>419</v>
      </c>
    </row>
    <row r="63" spans="1:15" ht="54" customHeight="1" x14ac:dyDescent="0.35">
      <c r="A63" s="11">
        <v>58</v>
      </c>
      <c r="B63" s="12" t="s">
        <v>420</v>
      </c>
      <c r="C63" s="12" t="s">
        <v>421</v>
      </c>
      <c r="D63" s="11">
        <v>2025</v>
      </c>
      <c r="E63" s="12" t="s">
        <v>422</v>
      </c>
      <c r="F63" s="12" t="s">
        <v>363</v>
      </c>
      <c r="G63" s="11" t="s">
        <v>121</v>
      </c>
      <c r="H63" s="11"/>
      <c r="I63" s="11"/>
      <c r="J63" s="12"/>
      <c r="K63" s="14" t="str">
        <f t="shared" si="0"/>
        <v>NO</v>
      </c>
      <c r="L63" s="12" t="s">
        <v>122</v>
      </c>
      <c r="M63" s="12" t="s">
        <v>423</v>
      </c>
      <c r="N63" s="12" t="s">
        <v>424</v>
      </c>
      <c r="O63" s="12" t="s">
        <v>425</v>
      </c>
    </row>
    <row r="64" spans="1:15" ht="41.5" customHeight="1" x14ac:dyDescent="0.35">
      <c r="A64" s="11">
        <v>59</v>
      </c>
      <c r="B64" s="12" t="s">
        <v>426</v>
      </c>
      <c r="C64" s="12" t="s">
        <v>427</v>
      </c>
      <c r="D64" s="11">
        <v>2025</v>
      </c>
      <c r="E64" s="12" t="s">
        <v>428</v>
      </c>
      <c r="F64" s="12" t="s">
        <v>363</v>
      </c>
      <c r="G64" s="11" t="s">
        <v>121</v>
      </c>
      <c r="H64" s="11"/>
      <c r="I64" s="11"/>
      <c r="J64" s="12"/>
      <c r="K64" s="14" t="str">
        <f t="shared" si="0"/>
        <v>NO</v>
      </c>
      <c r="L64" s="12" t="s">
        <v>122</v>
      </c>
      <c r="M64" s="12" t="s">
        <v>222</v>
      </c>
      <c r="N64" s="12" t="s">
        <v>429</v>
      </c>
      <c r="O64" s="12" t="s">
        <v>430</v>
      </c>
    </row>
    <row r="65" spans="1:15" ht="41.5" customHeight="1" x14ac:dyDescent="0.35">
      <c r="A65" s="11">
        <v>60</v>
      </c>
      <c r="B65" s="12" t="s">
        <v>431</v>
      </c>
      <c r="C65" s="12" t="s">
        <v>432</v>
      </c>
      <c r="D65" s="11">
        <v>2025</v>
      </c>
      <c r="E65" s="12" t="s">
        <v>221</v>
      </c>
      <c r="F65" s="12" t="s">
        <v>363</v>
      </c>
      <c r="G65" s="11" t="s">
        <v>121</v>
      </c>
      <c r="H65" s="11"/>
      <c r="I65" s="11"/>
      <c r="J65" s="12"/>
      <c r="K65" s="14" t="str">
        <f t="shared" si="0"/>
        <v>NO</v>
      </c>
      <c r="L65" s="12" t="s">
        <v>122</v>
      </c>
      <c r="M65" s="12" t="s">
        <v>433</v>
      </c>
      <c r="N65" s="12" t="s">
        <v>434</v>
      </c>
      <c r="O65" s="12" t="s">
        <v>435</v>
      </c>
    </row>
    <row r="66" spans="1:15" ht="41.5" customHeight="1" x14ac:dyDescent="0.35">
      <c r="A66" s="11">
        <v>61</v>
      </c>
      <c r="B66" s="12" t="s">
        <v>436</v>
      </c>
      <c r="C66" s="12" t="s">
        <v>437</v>
      </c>
      <c r="D66" s="11">
        <v>2024</v>
      </c>
      <c r="E66" s="12" t="s">
        <v>438</v>
      </c>
      <c r="F66" s="12" t="s">
        <v>363</v>
      </c>
      <c r="G66" s="11" t="s">
        <v>121</v>
      </c>
      <c r="H66" s="11"/>
      <c r="I66" s="11"/>
      <c r="J66" s="12"/>
      <c r="K66" s="14" t="str">
        <f t="shared" si="0"/>
        <v>NO</v>
      </c>
      <c r="L66" s="12" t="s">
        <v>122</v>
      </c>
      <c r="M66" s="12" t="s">
        <v>364</v>
      </c>
      <c r="N66" s="12" t="s">
        <v>439</v>
      </c>
      <c r="O66" s="12" t="s">
        <v>440</v>
      </c>
    </row>
    <row r="67" spans="1:15" ht="29" customHeight="1" x14ac:dyDescent="0.35">
      <c r="A67" s="11">
        <v>62</v>
      </c>
      <c r="B67" s="12" t="s">
        <v>441</v>
      </c>
      <c r="C67" s="12" t="s">
        <v>442</v>
      </c>
      <c r="D67" s="11">
        <v>2024</v>
      </c>
      <c r="E67" s="12" t="s">
        <v>369</v>
      </c>
      <c r="F67" s="12" t="s">
        <v>363</v>
      </c>
      <c r="G67" s="11" t="s">
        <v>121</v>
      </c>
      <c r="H67" s="11"/>
      <c r="I67" s="11"/>
      <c r="J67" s="12"/>
      <c r="K67" s="14" t="str">
        <f t="shared" si="0"/>
        <v>NO</v>
      </c>
      <c r="L67" s="12" t="s">
        <v>122</v>
      </c>
      <c r="M67" s="12" t="s">
        <v>395</v>
      </c>
      <c r="N67" s="12" t="s">
        <v>443</v>
      </c>
      <c r="O67" s="12" t="s">
        <v>444</v>
      </c>
    </row>
    <row r="68" spans="1:15" ht="29" customHeight="1" x14ac:dyDescent="0.35">
      <c r="A68" s="11">
        <v>63</v>
      </c>
      <c r="B68" s="12" t="s">
        <v>445</v>
      </c>
      <c r="C68" s="12" t="s">
        <v>446</v>
      </c>
      <c r="D68" s="11">
        <v>2025</v>
      </c>
      <c r="E68" s="12" t="s">
        <v>447</v>
      </c>
      <c r="F68" s="12" t="s">
        <v>363</v>
      </c>
      <c r="G68" s="11" t="s">
        <v>136</v>
      </c>
      <c r="H68" s="11" t="s">
        <v>136</v>
      </c>
      <c r="I68" s="11" t="s">
        <v>121</v>
      </c>
      <c r="J68" s="12" t="s">
        <v>307</v>
      </c>
      <c r="K68" s="14" t="str">
        <f t="shared" si="0"/>
        <v>NO</v>
      </c>
      <c r="L68" s="12" t="s">
        <v>122</v>
      </c>
      <c r="M68" s="12" t="s">
        <v>448</v>
      </c>
      <c r="N68" s="12" t="s">
        <v>449</v>
      </c>
      <c r="O68" s="12" t="s">
        <v>450</v>
      </c>
    </row>
    <row r="69" spans="1:15" ht="29" customHeight="1" x14ac:dyDescent="0.35">
      <c r="A69" s="11">
        <v>64</v>
      </c>
      <c r="B69" s="12" t="s">
        <v>451</v>
      </c>
      <c r="C69" s="12" t="s">
        <v>452</v>
      </c>
      <c r="D69" s="11">
        <v>2025</v>
      </c>
      <c r="E69" s="12" t="s">
        <v>453</v>
      </c>
      <c r="F69" s="12" t="s">
        <v>363</v>
      </c>
      <c r="G69" s="11" t="s">
        <v>121</v>
      </c>
      <c r="H69" s="11"/>
      <c r="I69" s="11"/>
      <c r="J69" s="12"/>
      <c r="K69" s="14" t="str">
        <f t="shared" si="0"/>
        <v>NO</v>
      </c>
      <c r="L69" s="12" t="s">
        <v>122</v>
      </c>
      <c r="M69" s="12" t="s">
        <v>454</v>
      </c>
      <c r="N69" s="12" t="s">
        <v>455</v>
      </c>
      <c r="O69" s="12" t="s">
        <v>456</v>
      </c>
    </row>
    <row r="70" spans="1:15" ht="41.5" customHeight="1" x14ac:dyDescent="0.35">
      <c r="A70" s="11">
        <v>65</v>
      </c>
      <c r="B70" s="12" t="s">
        <v>457</v>
      </c>
      <c r="C70" s="12" t="s">
        <v>458</v>
      </c>
      <c r="D70" s="11">
        <v>2025</v>
      </c>
      <c r="E70" s="12" t="s">
        <v>459</v>
      </c>
      <c r="F70" s="12" t="s">
        <v>363</v>
      </c>
      <c r="G70" s="11" t="s">
        <v>121</v>
      </c>
      <c r="H70" s="11"/>
      <c r="I70" s="11"/>
      <c r="J70" s="12"/>
      <c r="K70" s="14" t="str">
        <f t="shared" ref="K70:K133" si="1">IF(AND(G70="KEEP",H70="KEEP",I70="KEEP"),"YES",IF(OR(G70="DROP",H70="DROP",I70="DROP"),"NO",""))</f>
        <v>NO</v>
      </c>
      <c r="L70" s="12" t="s">
        <v>122</v>
      </c>
      <c r="M70" s="12" t="s">
        <v>460</v>
      </c>
      <c r="N70" s="12" t="s">
        <v>461</v>
      </c>
      <c r="O70" s="12" t="s">
        <v>462</v>
      </c>
    </row>
    <row r="71" spans="1:15" ht="79" customHeight="1" x14ac:dyDescent="0.35">
      <c r="A71" s="11">
        <v>66</v>
      </c>
      <c r="B71" s="12" t="s">
        <v>463</v>
      </c>
      <c r="C71" s="12" t="s">
        <v>464</v>
      </c>
      <c r="D71" s="11">
        <v>2025</v>
      </c>
      <c r="E71" s="12" t="s">
        <v>465</v>
      </c>
      <c r="F71" s="12" t="s">
        <v>363</v>
      </c>
      <c r="G71" s="11" t="s">
        <v>121</v>
      </c>
      <c r="H71" s="11"/>
      <c r="I71" s="11"/>
      <c r="J71" s="12"/>
      <c r="K71" s="14" t="str">
        <f t="shared" si="1"/>
        <v>NO</v>
      </c>
      <c r="L71" s="12" t="s">
        <v>122</v>
      </c>
      <c r="M71" s="12" t="s">
        <v>466</v>
      </c>
      <c r="N71" s="12" t="s">
        <v>467</v>
      </c>
      <c r="O71" s="12" t="s">
        <v>468</v>
      </c>
    </row>
    <row r="72" spans="1:15" ht="41.5" customHeight="1" x14ac:dyDescent="0.35">
      <c r="A72" s="11">
        <v>67</v>
      </c>
      <c r="B72" s="12" t="s">
        <v>469</v>
      </c>
      <c r="C72" s="12" t="s">
        <v>470</v>
      </c>
      <c r="D72" s="11">
        <v>2026</v>
      </c>
      <c r="E72" s="12" t="s">
        <v>471</v>
      </c>
      <c r="F72" s="12" t="s">
        <v>363</v>
      </c>
      <c r="G72" s="11" t="s">
        <v>121</v>
      </c>
      <c r="H72" s="11"/>
      <c r="I72" s="11"/>
      <c r="J72" s="12"/>
      <c r="K72" s="14" t="str">
        <f t="shared" si="1"/>
        <v>NO</v>
      </c>
      <c r="L72" s="12" t="s">
        <v>122</v>
      </c>
      <c r="M72" s="12" t="s">
        <v>472</v>
      </c>
      <c r="N72" s="12" t="s">
        <v>473</v>
      </c>
      <c r="O72" s="12" t="s">
        <v>474</v>
      </c>
    </row>
    <row r="73" spans="1:15" ht="41.5" customHeight="1" x14ac:dyDescent="0.35">
      <c r="A73" s="11">
        <v>68</v>
      </c>
      <c r="B73" s="12" t="s">
        <v>475</v>
      </c>
      <c r="C73" s="12" t="s">
        <v>476</v>
      </c>
      <c r="D73" s="11">
        <v>2025</v>
      </c>
      <c r="E73" s="12" t="s">
        <v>477</v>
      </c>
      <c r="F73" s="12" t="s">
        <v>363</v>
      </c>
      <c r="G73" s="11" t="s">
        <v>121</v>
      </c>
      <c r="H73" s="11"/>
      <c r="I73" s="11"/>
      <c r="J73" s="12"/>
      <c r="K73" s="14" t="str">
        <f t="shared" si="1"/>
        <v>NO</v>
      </c>
      <c r="L73" s="12" t="s">
        <v>122</v>
      </c>
      <c r="M73" s="12" t="s">
        <v>478</v>
      </c>
      <c r="N73" s="12" t="s">
        <v>479</v>
      </c>
      <c r="O73" s="12" t="s">
        <v>480</v>
      </c>
    </row>
    <row r="74" spans="1:15" ht="54" customHeight="1" x14ac:dyDescent="0.35">
      <c r="A74" s="11">
        <v>69</v>
      </c>
      <c r="B74" s="12" t="s">
        <v>481</v>
      </c>
      <c r="C74" s="12" t="s">
        <v>482</v>
      </c>
      <c r="D74" s="11">
        <v>2025</v>
      </c>
      <c r="E74" s="12" t="s">
        <v>483</v>
      </c>
      <c r="F74" s="12" t="s">
        <v>363</v>
      </c>
      <c r="G74" s="11" t="s">
        <v>121</v>
      </c>
      <c r="H74" s="11"/>
      <c r="I74" s="11"/>
      <c r="J74" s="12"/>
      <c r="K74" s="14" t="str">
        <f t="shared" si="1"/>
        <v>NO</v>
      </c>
      <c r="L74" s="12" t="s">
        <v>122</v>
      </c>
      <c r="M74" s="12" t="s">
        <v>129</v>
      </c>
      <c r="N74" s="12" t="s">
        <v>484</v>
      </c>
      <c r="O74" s="12" t="s">
        <v>485</v>
      </c>
    </row>
    <row r="75" spans="1:15" ht="29" customHeight="1" x14ac:dyDescent="0.35">
      <c r="A75" s="11">
        <v>70</v>
      </c>
      <c r="B75" s="12" t="s">
        <v>486</v>
      </c>
      <c r="C75" s="12" t="s">
        <v>487</v>
      </c>
      <c r="D75" s="11">
        <v>2023</v>
      </c>
      <c r="E75" s="12" t="s">
        <v>488</v>
      </c>
      <c r="F75" s="12" t="s">
        <v>489</v>
      </c>
      <c r="G75" s="11" t="s">
        <v>136</v>
      </c>
      <c r="H75" s="11" t="s">
        <v>136</v>
      </c>
      <c r="I75" s="11" t="s">
        <v>136</v>
      </c>
      <c r="J75" s="12"/>
      <c r="K75" s="14" t="str">
        <f t="shared" si="1"/>
        <v>YES</v>
      </c>
      <c r="L75" s="12" t="s">
        <v>122</v>
      </c>
      <c r="M75" s="12" t="s">
        <v>490</v>
      </c>
      <c r="N75" s="12" t="s">
        <v>491</v>
      </c>
      <c r="O75" s="12" t="s">
        <v>492</v>
      </c>
    </row>
    <row r="76" spans="1:15" ht="41.5" customHeight="1" x14ac:dyDescent="0.35">
      <c r="A76" s="11">
        <v>71</v>
      </c>
      <c r="B76" s="12" t="s">
        <v>493</v>
      </c>
      <c r="C76" s="12" t="s">
        <v>494</v>
      </c>
      <c r="D76" s="11">
        <v>2023</v>
      </c>
      <c r="E76" s="12" t="s">
        <v>495</v>
      </c>
      <c r="F76" s="12" t="s">
        <v>489</v>
      </c>
      <c r="G76" s="11" t="s">
        <v>136</v>
      </c>
      <c r="H76" s="11" t="s">
        <v>136</v>
      </c>
      <c r="I76" s="11" t="s">
        <v>136</v>
      </c>
      <c r="J76" s="12"/>
      <c r="K76" s="14" t="str">
        <f t="shared" si="1"/>
        <v>YES</v>
      </c>
      <c r="L76" s="12" t="s">
        <v>122</v>
      </c>
      <c r="M76" s="12"/>
      <c r="N76" s="12" t="s">
        <v>496</v>
      </c>
      <c r="O76" s="12" t="s">
        <v>497</v>
      </c>
    </row>
    <row r="77" spans="1:15" ht="29" customHeight="1" x14ac:dyDescent="0.35">
      <c r="A77" s="11">
        <v>72</v>
      </c>
      <c r="B77" s="12" t="s">
        <v>498</v>
      </c>
      <c r="C77" s="12" t="s">
        <v>499</v>
      </c>
      <c r="D77" s="11">
        <v>2021</v>
      </c>
      <c r="E77" s="12" t="s">
        <v>500</v>
      </c>
      <c r="F77" s="12" t="s">
        <v>489</v>
      </c>
      <c r="G77" s="11" t="s">
        <v>121</v>
      </c>
      <c r="H77" s="11"/>
      <c r="I77" s="11"/>
      <c r="J77" s="12"/>
      <c r="K77" s="14" t="str">
        <f t="shared" si="1"/>
        <v>NO</v>
      </c>
      <c r="L77" s="12" t="s">
        <v>122</v>
      </c>
      <c r="M77" s="12" t="s">
        <v>501</v>
      </c>
      <c r="N77" s="12" t="s">
        <v>502</v>
      </c>
      <c r="O77" s="12" t="s">
        <v>503</v>
      </c>
    </row>
    <row r="78" spans="1:15" ht="41.5" customHeight="1" x14ac:dyDescent="0.35">
      <c r="A78" s="11">
        <v>73</v>
      </c>
      <c r="B78" s="12" t="s">
        <v>504</v>
      </c>
      <c r="C78" s="12" t="s">
        <v>505</v>
      </c>
      <c r="D78" s="11">
        <v>2024</v>
      </c>
      <c r="E78" s="12" t="s">
        <v>506</v>
      </c>
      <c r="F78" s="12" t="s">
        <v>489</v>
      </c>
      <c r="G78" s="11" t="s">
        <v>121</v>
      </c>
      <c r="H78" s="11"/>
      <c r="I78" s="11"/>
      <c r="J78" s="12"/>
      <c r="K78" s="14" t="str">
        <f t="shared" si="1"/>
        <v>NO</v>
      </c>
      <c r="L78" s="12" t="s">
        <v>122</v>
      </c>
      <c r="M78" s="12" t="s">
        <v>507</v>
      </c>
      <c r="N78" s="12" t="s">
        <v>508</v>
      </c>
      <c r="O78" s="12" t="s">
        <v>509</v>
      </c>
    </row>
    <row r="79" spans="1:15" ht="41.5" customHeight="1" x14ac:dyDescent="0.35">
      <c r="A79" s="11">
        <v>74</v>
      </c>
      <c r="B79" s="12" t="s">
        <v>510</v>
      </c>
      <c r="C79" s="12" t="s">
        <v>511</v>
      </c>
      <c r="D79" s="11">
        <v>2024</v>
      </c>
      <c r="E79" s="12" t="s">
        <v>406</v>
      </c>
      <c r="F79" s="12" t="s">
        <v>489</v>
      </c>
      <c r="G79" s="11" t="s">
        <v>136</v>
      </c>
      <c r="H79" s="11" t="s">
        <v>136</v>
      </c>
      <c r="I79" s="11" t="s">
        <v>136</v>
      </c>
      <c r="J79" s="12"/>
      <c r="K79" s="14" t="str">
        <f t="shared" si="1"/>
        <v>YES</v>
      </c>
      <c r="L79" s="12" t="s">
        <v>122</v>
      </c>
      <c r="M79" s="12"/>
      <c r="N79" s="12" t="s">
        <v>512</v>
      </c>
      <c r="O79" s="12" t="s">
        <v>513</v>
      </c>
    </row>
    <row r="80" spans="1:15" ht="41.5" customHeight="1" x14ac:dyDescent="0.35">
      <c r="A80" s="11">
        <v>75</v>
      </c>
      <c r="B80" s="12" t="s">
        <v>514</v>
      </c>
      <c r="C80" s="12" t="s">
        <v>515</v>
      </c>
      <c r="D80" s="11">
        <v>2023</v>
      </c>
      <c r="E80" s="12" t="s">
        <v>312</v>
      </c>
      <c r="F80" s="12" t="s">
        <v>489</v>
      </c>
      <c r="G80" s="11" t="s">
        <v>136</v>
      </c>
      <c r="H80" s="11" t="s">
        <v>136</v>
      </c>
      <c r="I80" s="11" t="s">
        <v>136</v>
      </c>
      <c r="J80" s="12"/>
      <c r="K80" s="14" t="str">
        <f t="shared" si="1"/>
        <v>YES</v>
      </c>
      <c r="L80" s="12" t="s">
        <v>122</v>
      </c>
      <c r="M80" s="12"/>
      <c r="N80" s="12" t="s">
        <v>516</v>
      </c>
      <c r="O80" s="12" t="s">
        <v>517</v>
      </c>
    </row>
    <row r="81" spans="1:15" ht="41.5" customHeight="1" x14ac:dyDescent="0.35">
      <c r="A81" s="11">
        <v>76</v>
      </c>
      <c r="B81" s="12" t="s">
        <v>518</v>
      </c>
      <c r="C81" s="12" t="s">
        <v>519</v>
      </c>
      <c r="D81" s="11">
        <v>2023</v>
      </c>
      <c r="E81" s="12" t="s">
        <v>147</v>
      </c>
      <c r="F81" s="12" t="s">
        <v>489</v>
      </c>
      <c r="G81" s="11" t="s">
        <v>121</v>
      </c>
      <c r="H81" s="11"/>
      <c r="I81" s="11"/>
      <c r="J81" s="12"/>
      <c r="K81" s="14" t="str">
        <f t="shared" si="1"/>
        <v>NO</v>
      </c>
      <c r="L81" s="12" t="s">
        <v>122</v>
      </c>
      <c r="M81" s="12" t="s">
        <v>520</v>
      </c>
      <c r="N81" s="12" t="s">
        <v>521</v>
      </c>
      <c r="O81" s="12" t="s">
        <v>522</v>
      </c>
    </row>
    <row r="82" spans="1:15" ht="41.5" customHeight="1" x14ac:dyDescent="0.35">
      <c r="A82" s="11">
        <v>77</v>
      </c>
      <c r="B82" s="12" t="s">
        <v>523</v>
      </c>
      <c r="C82" s="12" t="s">
        <v>524</v>
      </c>
      <c r="D82" s="11">
        <v>2021</v>
      </c>
      <c r="E82" s="12" t="s">
        <v>525</v>
      </c>
      <c r="F82" s="12" t="s">
        <v>489</v>
      </c>
      <c r="G82" s="11" t="s">
        <v>121</v>
      </c>
      <c r="H82" s="11"/>
      <c r="I82" s="11"/>
      <c r="J82" s="12"/>
      <c r="K82" s="14" t="str">
        <f t="shared" si="1"/>
        <v>NO</v>
      </c>
      <c r="L82" s="12" t="s">
        <v>122</v>
      </c>
      <c r="M82" s="12" t="s">
        <v>526</v>
      </c>
      <c r="N82" s="12" t="s">
        <v>527</v>
      </c>
      <c r="O82" s="12" t="s">
        <v>528</v>
      </c>
    </row>
    <row r="83" spans="1:15" ht="29" customHeight="1" x14ac:dyDescent="0.35">
      <c r="A83" s="11">
        <v>78</v>
      </c>
      <c r="B83" s="12" t="s">
        <v>529</v>
      </c>
      <c r="C83" s="12" t="s">
        <v>530</v>
      </c>
      <c r="D83" s="11">
        <v>2024</v>
      </c>
      <c r="E83" s="12" t="s">
        <v>531</v>
      </c>
      <c r="F83" s="12" t="s">
        <v>489</v>
      </c>
      <c r="G83" s="11" t="s">
        <v>136</v>
      </c>
      <c r="H83" s="11" t="s">
        <v>136</v>
      </c>
      <c r="I83" s="11" t="s">
        <v>136</v>
      </c>
      <c r="J83" s="12"/>
      <c r="K83" s="14" t="str">
        <f t="shared" si="1"/>
        <v>YES</v>
      </c>
      <c r="L83" s="12" t="s">
        <v>122</v>
      </c>
      <c r="M83" s="12"/>
      <c r="N83" s="12" t="s">
        <v>532</v>
      </c>
      <c r="O83" s="12" t="s">
        <v>533</v>
      </c>
    </row>
    <row r="84" spans="1:15" ht="29" customHeight="1" x14ac:dyDescent="0.35">
      <c r="A84" s="11">
        <v>79</v>
      </c>
      <c r="B84" s="12" t="s">
        <v>534</v>
      </c>
      <c r="C84" s="12" t="s">
        <v>535</v>
      </c>
      <c r="D84" s="11">
        <v>2023</v>
      </c>
      <c r="E84" s="12" t="s">
        <v>147</v>
      </c>
      <c r="F84" s="12" t="s">
        <v>489</v>
      </c>
      <c r="G84" s="11" t="s">
        <v>136</v>
      </c>
      <c r="H84" s="11" t="s">
        <v>136</v>
      </c>
      <c r="I84" s="11" t="s">
        <v>121</v>
      </c>
      <c r="J84" s="12" t="s">
        <v>197</v>
      </c>
      <c r="K84" s="14" t="str">
        <f t="shared" si="1"/>
        <v>NO</v>
      </c>
      <c r="L84" s="12" t="s">
        <v>122</v>
      </c>
      <c r="M84" s="12" t="s">
        <v>536</v>
      </c>
      <c r="N84" s="12" t="s">
        <v>537</v>
      </c>
      <c r="O84" s="12" t="s">
        <v>538</v>
      </c>
    </row>
    <row r="85" spans="1:15" ht="29" customHeight="1" x14ac:dyDescent="0.35">
      <c r="A85" s="11">
        <v>80</v>
      </c>
      <c r="B85" s="12" t="s">
        <v>539</v>
      </c>
      <c r="C85" s="12" t="s">
        <v>214</v>
      </c>
      <c r="D85" s="11">
        <v>2023</v>
      </c>
      <c r="E85" s="12" t="s">
        <v>147</v>
      </c>
      <c r="F85" s="12" t="s">
        <v>489</v>
      </c>
      <c r="G85" s="11" t="s">
        <v>121</v>
      </c>
      <c r="H85" s="11"/>
      <c r="I85" s="11"/>
      <c r="J85" s="12"/>
      <c r="K85" s="14" t="str">
        <f t="shared" si="1"/>
        <v>NO</v>
      </c>
      <c r="L85" s="12" t="s">
        <v>122</v>
      </c>
      <c r="M85" s="12" t="s">
        <v>540</v>
      </c>
      <c r="N85" s="12" t="s">
        <v>541</v>
      </c>
      <c r="O85" s="12" t="s">
        <v>542</v>
      </c>
    </row>
    <row r="86" spans="1:15" ht="29" customHeight="1" x14ac:dyDescent="0.35">
      <c r="A86" s="11">
        <v>81</v>
      </c>
      <c r="B86" s="12" t="s">
        <v>543</v>
      </c>
      <c r="C86" s="12" t="s">
        <v>544</v>
      </c>
      <c r="D86" s="11">
        <v>2023</v>
      </c>
      <c r="E86" s="12" t="s">
        <v>545</v>
      </c>
      <c r="F86" s="12" t="s">
        <v>489</v>
      </c>
      <c r="G86" s="11" t="s">
        <v>136</v>
      </c>
      <c r="H86" s="11" t="s">
        <v>136</v>
      </c>
      <c r="I86" s="11" t="s">
        <v>136</v>
      </c>
      <c r="J86" s="12"/>
      <c r="K86" s="14" t="str">
        <f t="shared" si="1"/>
        <v>YES</v>
      </c>
      <c r="L86" s="12" t="s">
        <v>122</v>
      </c>
      <c r="M86" s="12"/>
      <c r="N86" s="12" t="s">
        <v>546</v>
      </c>
      <c r="O86" s="12" t="s">
        <v>547</v>
      </c>
    </row>
    <row r="87" spans="1:15" ht="29" customHeight="1" x14ac:dyDescent="0.35">
      <c r="A87" s="11">
        <v>82</v>
      </c>
      <c r="B87" s="12" t="s">
        <v>548</v>
      </c>
      <c r="C87" s="12" t="s">
        <v>549</v>
      </c>
      <c r="D87" s="11">
        <v>2023</v>
      </c>
      <c r="E87" s="12" t="s">
        <v>312</v>
      </c>
      <c r="F87" s="12" t="s">
        <v>489</v>
      </c>
      <c r="G87" s="11" t="s">
        <v>136</v>
      </c>
      <c r="H87" s="11" t="s">
        <v>136</v>
      </c>
      <c r="I87" s="11" t="s">
        <v>136</v>
      </c>
      <c r="J87" s="12"/>
      <c r="K87" s="14" t="str">
        <f t="shared" si="1"/>
        <v>YES</v>
      </c>
      <c r="L87" s="12" t="s">
        <v>122</v>
      </c>
      <c r="M87" s="12"/>
      <c r="N87" s="12" t="s">
        <v>550</v>
      </c>
      <c r="O87" s="12" t="s">
        <v>551</v>
      </c>
    </row>
    <row r="88" spans="1:15" ht="29" customHeight="1" x14ac:dyDescent="0.35">
      <c r="A88" s="11">
        <v>83</v>
      </c>
      <c r="B88" s="12" t="s">
        <v>552</v>
      </c>
      <c r="C88" s="12" t="s">
        <v>553</v>
      </c>
      <c r="D88" s="11">
        <v>2024</v>
      </c>
      <c r="E88" s="12" t="s">
        <v>554</v>
      </c>
      <c r="F88" s="12" t="s">
        <v>489</v>
      </c>
      <c r="G88" s="11" t="s">
        <v>136</v>
      </c>
      <c r="H88" s="11" t="s">
        <v>136</v>
      </c>
      <c r="I88" s="11" t="s">
        <v>136</v>
      </c>
      <c r="J88" s="12"/>
      <c r="K88" s="14" t="str">
        <f t="shared" si="1"/>
        <v>YES</v>
      </c>
      <c r="L88" s="12" t="s">
        <v>122</v>
      </c>
      <c r="M88" s="12"/>
      <c r="N88" s="12" t="s">
        <v>555</v>
      </c>
      <c r="O88" s="12" t="s">
        <v>556</v>
      </c>
    </row>
    <row r="89" spans="1:15" ht="29" customHeight="1" x14ac:dyDescent="0.35">
      <c r="A89" s="11">
        <v>84</v>
      </c>
      <c r="B89" s="12" t="s">
        <v>557</v>
      </c>
      <c r="C89" s="12" t="s">
        <v>558</v>
      </c>
      <c r="D89" s="11">
        <v>2023</v>
      </c>
      <c r="E89" s="12" t="s">
        <v>559</v>
      </c>
      <c r="F89" s="12" t="s">
        <v>489</v>
      </c>
      <c r="G89" s="11" t="s">
        <v>136</v>
      </c>
      <c r="H89" s="11" t="s">
        <v>136</v>
      </c>
      <c r="I89" s="11" t="s">
        <v>136</v>
      </c>
      <c r="J89" s="12"/>
      <c r="K89" s="14" t="str">
        <f t="shared" si="1"/>
        <v>YES</v>
      </c>
      <c r="L89" s="12" t="s">
        <v>122</v>
      </c>
      <c r="M89" s="12"/>
      <c r="N89" s="12" t="s">
        <v>560</v>
      </c>
      <c r="O89" s="12" t="s">
        <v>561</v>
      </c>
    </row>
    <row r="90" spans="1:15" ht="41.5" customHeight="1" x14ac:dyDescent="0.35">
      <c r="A90" s="11">
        <v>85</v>
      </c>
      <c r="B90" s="12" t="s">
        <v>562</v>
      </c>
      <c r="C90" s="12" t="s">
        <v>563</v>
      </c>
      <c r="D90" s="11">
        <v>2024</v>
      </c>
      <c r="E90" s="12" t="s">
        <v>191</v>
      </c>
      <c r="F90" s="12" t="s">
        <v>489</v>
      </c>
      <c r="G90" s="11" t="s">
        <v>121</v>
      </c>
      <c r="H90" s="11"/>
      <c r="I90" s="11"/>
      <c r="J90" s="12"/>
      <c r="K90" s="14" t="str">
        <f t="shared" si="1"/>
        <v>NO</v>
      </c>
      <c r="L90" s="12" t="s">
        <v>122</v>
      </c>
      <c r="M90" s="12" t="s">
        <v>564</v>
      </c>
      <c r="N90" s="12" t="s">
        <v>565</v>
      </c>
      <c r="O90" s="12" t="s">
        <v>566</v>
      </c>
    </row>
    <row r="91" spans="1:15" ht="29" customHeight="1" x14ac:dyDescent="0.35">
      <c r="A91" s="11">
        <v>86</v>
      </c>
      <c r="B91" s="12" t="s">
        <v>567</v>
      </c>
      <c r="C91" s="12" t="s">
        <v>568</v>
      </c>
      <c r="D91" s="11">
        <v>2024</v>
      </c>
      <c r="E91" s="12" t="s">
        <v>293</v>
      </c>
      <c r="F91" s="12" t="s">
        <v>489</v>
      </c>
      <c r="G91" s="11" t="s">
        <v>136</v>
      </c>
      <c r="H91" s="11" t="s">
        <v>136</v>
      </c>
      <c r="I91" s="11" t="s">
        <v>136</v>
      </c>
      <c r="J91" s="12"/>
      <c r="K91" s="14" t="str">
        <f t="shared" si="1"/>
        <v>YES</v>
      </c>
      <c r="L91" s="12" t="s">
        <v>122</v>
      </c>
      <c r="M91" s="12"/>
      <c r="N91" s="12" t="s">
        <v>569</v>
      </c>
      <c r="O91" s="12" t="s">
        <v>570</v>
      </c>
    </row>
    <row r="92" spans="1:15" ht="41.5" customHeight="1" x14ac:dyDescent="0.35">
      <c r="A92" s="11">
        <v>87</v>
      </c>
      <c r="B92" s="12" t="s">
        <v>571</v>
      </c>
      <c r="C92" s="12" t="s">
        <v>572</v>
      </c>
      <c r="D92" s="11">
        <v>2024</v>
      </c>
      <c r="E92" s="12" t="s">
        <v>573</v>
      </c>
      <c r="F92" s="12" t="s">
        <v>489</v>
      </c>
      <c r="G92" s="11" t="s">
        <v>136</v>
      </c>
      <c r="H92" s="11" t="s">
        <v>136</v>
      </c>
      <c r="I92" s="11" t="s">
        <v>136</v>
      </c>
      <c r="J92" s="12"/>
      <c r="K92" s="14" t="str">
        <f t="shared" si="1"/>
        <v>YES</v>
      </c>
      <c r="L92" s="12" t="s">
        <v>122</v>
      </c>
      <c r="M92" s="12"/>
      <c r="N92" s="12" t="s">
        <v>574</v>
      </c>
      <c r="O92" s="12" t="s">
        <v>575</v>
      </c>
    </row>
    <row r="93" spans="1:15" ht="41.5" customHeight="1" x14ac:dyDescent="0.35">
      <c r="A93" s="11">
        <v>88</v>
      </c>
      <c r="B93" s="12" t="s">
        <v>576</v>
      </c>
      <c r="C93" s="12" t="s">
        <v>577</v>
      </c>
      <c r="D93" s="11">
        <v>2024</v>
      </c>
      <c r="E93" s="12" t="s">
        <v>215</v>
      </c>
      <c r="F93" s="12" t="s">
        <v>489</v>
      </c>
      <c r="G93" s="11" t="s">
        <v>121</v>
      </c>
      <c r="H93" s="11"/>
      <c r="I93" s="11"/>
      <c r="J93" s="12"/>
      <c r="K93" s="14" t="str">
        <f t="shared" si="1"/>
        <v>NO</v>
      </c>
      <c r="L93" s="12" t="s">
        <v>122</v>
      </c>
      <c r="M93" s="12" t="s">
        <v>578</v>
      </c>
      <c r="N93" s="12" t="s">
        <v>579</v>
      </c>
      <c r="O93" s="12" t="s">
        <v>580</v>
      </c>
    </row>
    <row r="94" spans="1:15" ht="41.5" customHeight="1" x14ac:dyDescent="0.35">
      <c r="A94" s="11">
        <v>89</v>
      </c>
      <c r="B94" s="12" t="s">
        <v>581</v>
      </c>
      <c r="C94" s="12" t="s">
        <v>582</v>
      </c>
      <c r="D94" s="11">
        <v>2023</v>
      </c>
      <c r="E94" s="12" t="s">
        <v>147</v>
      </c>
      <c r="F94" s="12" t="s">
        <v>489</v>
      </c>
      <c r="G94" s="11" t="s">
        <v>121</v>
      </c>
      <c r="H94" s="11"/>
      <c r="I94" s="11"/>
      <c r="J94" s="12"/>
      <c r="K94" s="14" t="str">
        <f t="shared" si="1"/>
        <v>NO</v>
      </c>
      <c r="L94" s="12" t="s">
        <v>122</v>
      </c>
      <c r="M94" s="12" t="s">
        <v>583</v>
      </c>
      <c r="N94" s="12" t="s">
        <v>584</v>
      </c>
      <c r="O94" s="12" t="s">
        <v>585</v>
      </c>
    </row>
    <row r="95" spans="1:15" ht="41.5" customHeight="1" x14ac:dyDescent="0.35">
      <c r="A95" s="11">
        <v>90</v>
      </c>
      <c r="B95" s="12" t="s">
        <v>571</v>
      </c>
      <c r="C95" s="12" t="s">
        <v>572</v>
      </c>
      <c r="D95" s="11">
        <v>2023</v>
      </c>
      <c r="E95" s="12" t="s">
        <v>147</v>
      </c>
      <c r="F95" s="12" t="s">
        <v>489</v>
      </c>
      <c r="G95" s="11" t="s">
        <v>136</v>
      </c>
      <c r="H95" s="11" t="s">
        <v>136</v>
      </c>
      <c r="I95" s="11" t="s">
        <v>121</v>
      </c>
      <c r="J95" s="12" t="s">
        <v>162</v>
      </c>
      <c r="K95" s="14" t="str">
        <f t="shared" si="1"/>
        <v>NO</v>
      </c>
      <c r="L95" s="12" t="s">
        <v>122</v>
      </c>
      <c r="M95" s="12" t="s">
        <v>586</v>
      </c>
      <c r="N95" s="12" t="s">
        <v>587</v>
      </c>
      <c r="O95" s="12" t="s">
        <v>588</v>
      </c>
    </row>
    <row r="96" spans="1:15" ht="41.5" customHeight="1" x14ac:dyDescent="0.35">
      <c r="A96" s="11">
        <v>91</v>
      </c>
      <c r="B96" s="12" t="s">
        <v>589</v>
      </c>
      <c r="C96" s="12" t="s">
        <v>590</v>
      </c>
      <c r="D96" s="11">
        <v>2024</v>
      </c>
      <c r="E96" s="12" t="s">
        <v>591</v>
      </c>
      <c r="F96" s="12" t="s">
        <v>489</v>
      </c>
      <c r="G96" s="11" t="s">
        <v>121</v>
      </c>
      <c r="H96" s="11"/>
      <c r="I96" s="11"/>
      <c r="J96" s="12"/>
      <c r="K96" s="14" t="str">
        <f t="shared" si="1"/>
        <v>NO</v>
      </c>
      <c r="L96" s="12" t="s">
        <v>122</v>
      </c>
      <c r="M96" s="12" t="s">
        <v>148</v>
      </c>
      <c r="N96" s="12" t="s">
        <v>592</v>
      </c>
      <c r="O96" s="12" t="s">
        <v>593</v>
      </c>
    </row>
    <row r="97" spans="1:15" ht="41.5" customHeight="1" x14ac:dyDescent="0.35">
      <c r="A97" s="11">
        <v>92</v>
      </c>
      <c r="B97" s="12" t="s">
        <v>594</v>
      </c>
      <c r="C97" s="12" t="s">
        <v>595</v>
      </c>
      <c r="D97" s="11">
        <v>2026</v>
      </c>
      <c r="E97" s="12" t="s">
        <v>596</v>
      </c>
      <c r="F97" s="12" t="s">
        <v>489</v>
      </c>
      <c r="G97" s="11" t="s">
        <v>121</v>
      </c>
      <c r="H97" s="11"/>
      <c r="I97" s="11"/>
      <c r="J97" s="12"/>
      <c r="K97" s="14" t="str">
        <f t="shared" si="1"/>
        <v>NO</v>
      </c>
      <c r="L97" s="12" t="s">
        <v>122</v>
      </c>
      <c r="M97" s="12" t="s">
        <v>597</v>
      </c>
      <c r="N97" s="12" t="s">
        <v>598</v>
      </c>
      <c r="O97" s="12" t="s">
        <v>599</v>
      </c>
    </row>
    <row r="98" spans="1:15" ht="41.5" customHeight="1" x14ac:dyDescent="0.35">
      <c r="A98" s="11">
        <v>93</v>
      </c>
      <c r="B98" s="12" t="s">
        <v>600</v>
      </c>
      <c r="C98" s="12" t="s">
        <v>601</v>
      </c>
      <c r="D98" s="11">
        <v>2025</v>
      </c>
      <c r="E98" s="12" t="s">
        <v>602</v>
      </c>
      <c r="F98" s="12" t="s">
        <v>489</v>
      </c>
      <c r="G98" s="11" t="s">
        <v>121</v>
      </c>
      <c r="H98" s="11"/>
      <c r="I98" s="11"/>
      <c r="J98" s="12"/>
      <c r="K98" s="14" t="str">
        <f t="shared" si="1"/>
        <v>NO</v>
      </c>
      <c r="L98" s="12" t="s">
        <v>122</v>
      </c>
      <c r="M98" s="12" t="s">
        <v>520</v>
      </c>
      <c r="N98" s="12" t="s">
        <v>603</v>
      </c>
      <c r="O98" s="12" t="s">
        <v>604</v>
      </c>
    </row>
    <row r="99" spans="1:15" ht="29" customHeight="1" x14ac:dyDescent="0.35">
      <c r="A99" s="11">
        <v>94</v>
      </c>
      <c r="B99" s="12" t="s">
        <v>605</v>
      </c>
      <c r="C99" s="12" t="s">
        <v>606</v>
      </c>
      <c r="D99" s="11">
        <v>2025</v>
      </c>
      <c r="E99" s="12" t="s">
        <v>607</v>
      </c>
      <c r="F99" s="12" t="s">
        <v>489</v>
      </c>
      <c r="G99" s="11" t="s">
        <v>136</v>
      </c>
      <c r="H99" s="11" t="s">
        <v>136</v>
      </c>
      <c r="I99" s="11" t="s">
        <v>136</v>
      </c>
      <c r="J99" s="12"/>
      <c r="K99" s="14" t="str">
        <f t="shared" si="1"/>
        <v>YES</v>
      </c>
      <c r="L99" s="12" t="s">
        <v>122</v>
      </c>
      <c r="M99" s="12"/>
      <c r="N99" s="12" t="s">
        <v>608</v>
      </c>
      <c r="O99" s="12" t="s">
        <v>609</v>
      </c>
    </row>
    <row r="100" spans="1:15" ht="29" customHeight="1" x14ac:dyDescent="0.35">
      <c r="A100" s="11">
        <v>95</v>
      </c>
      <c r="B100" s="12" t="s">
        <v>610</v>
      </c>
      <c r="C100" s="12" t="s">
        <v>553</v>
      </c>
      <c r="D100" s="11">
        <v>2022</v>
      </c>
      <c r="E100" s="12" t="s">
        <v>611</v>
      </c>
      <c r="F100" s="12" t="s">
        <v>612</v>
      </c>
      <c r="G100" s="11" t="s">
        <v>136</v>
      </c>
      <c r="H100" s="11" t="s">
        <v>136</v>
      </c>
      <c r="I100" s="11" t="s">
        <v>136</v>
      </c>
      <c r="J100" s="12"/>
      <c r="K100" s="14" t="str">
        <f t="shared" si="1"/>
        <v>YES</v>
      </c>
      <c r="L100" s="12" t="s">
        <v>122</v>
      </c>
      <c r="M100" s="12"/>
      <c r="N100" s="12" t="s">
        <v>613</v>
      </c>
      <c r="O100" s="12" t="s">
        <v>614</v>
      </c>
    </row>
    <row r="101" spans="1:15" ht="41.5" customHeight="1" x14ac:dyDescent="0.35">
      <c r="A101" s="11">
        <v>96</v>
      </c>
      <c r="B101" s="12" t="s">
        <v>615</v>
      </c>
      <c r="C101" s="12" t="s">
        <v>616</v>
      </c>
      <c r="D101" s="11">
        <v>2022</v>
      </c>
      <c r="E101" s="12" t="s">
        <v>153</v>
      </c>
      <c r="F101" s="12" t="s">
        <v>612</v>
      </c>
      <c r="G101" s="11" t="s">
        <v>136</v>
      </c>
      <c r="H101" s="11" t="s">
        <v>136</v>
      </c>
      <c r="I101" s="11" t="s">
        <v>136</v>
      </c>
      <c r="J101" s="12"/>
      <c r="K101" s="14" t="str">
        <f t="shared" si="1"/>
        <v>YES</v>
      </c>
      <c r="L101" s="12" t="s">
        <v>122</v>
      </c>
      <c r="M101" s="12"/>
      <c r="N101" s="12" t="s">
        <v>617</v>
      </c>
      <c r="O101" s="12" t="s">
        <v>618</v>
      </c>
    </row>
    <row r="102" spans="1:15" ht="41.5" customHeight="1" x14ac:dyDescent="0.35">
      <c r="A102" s="11">
        <v>97</v>
      </c>
      <c r="B102" s="12" t="s">
        <v>619</v>
      </c>
      <c r="C102" s="12" t="s">
        <v>620</v>
      </c>
      <c r="D102" s="11">
        <v>2023</v>
      </c>
      <c r="E102" s="12" t="s">
        <v>312</v>
      </c>
      <c r="F102" s="12" t="s">
        <v>612</v>
      </c>
      <c r="G102" s="11" t="s">
        <v>136</v>
      </c>
      <c r="H102" s="11" t="s">
        <v>136</v>
      </c>
      <c r="I102" s="11" t="s">
        <v>136</v>
      </c>
      <c r="J102" s="12"/>
      <c r="K102" s="14" t="str">
        <f t="shared" si="1"/>
        <v>YES</v>
      </c>
      <c r="L102" s="12" t="s">
        <v>122</v>
      </c>
      <c r="M102" s="12"/>
      <c r="N102" s="12" t="s">
        <v>621</v>
      </c>
      <c r="O102" s="12" t="s">
        <v>622</v>
      </c>
    </row>
    <row r="103" spans="1:15" ht="29" customHeight="1" x14ac:dyDescent="0.35">
      <c r="A103" s="11">
        <v>98</v>
      </c>
      <c r="B103" s="12" t="s">
        <v>623</v>
      </c>
      <c r="C103" s="12" t="s">
        <v>624</v>
      </c>
      <c r="D103" s="11">
        <v>2025</v>
      </c>
      <c r="E103" s="12" t="s">
        <v>625</v>
      </c>
      <c r="F103" s="12" t="s">
        <v>612</v>
      </c>
      <c r="G103" s="11" t="s">
        <v>136</v>
      </c>
      <c r="H103" s="11" t="s">
        <v>136</v>
      </c>
      <c r="I103" s="11" t="s">
        <v>136</v>
      </c>
      <c r="J103" s="12"/>
      <c r="K103" s="14" t="str">
        <f t="shared" si="1"/>
        <v>YES</v>
      </c>
      <c r="L103" s="12" t="s">
        <v>122</v>
      </c>
      <c r="M103" s="12"/>
      <c r="N103" s="12" t="s">
        <v>626</v>
      </c>
      <c r="O103" s="12" t="s">
        <v>627</v>
      </c>
    </row>
    <row r="104" spans="1:15" ht="29" customHeight="1" x14ac:dyDescent="0.35">
      <c r="A104" s="11">
        <v>99</v>
      </c>
      <c r="B104" s="12" t="s">
        <v>628</v>
      </c>
      <c r="C104" s="12" t="s">
        <v>629</v>
      </c>
      <c r="D104" s="11">
        <v>2024</v>
      </c>
      <c r="E104" s="12" t="s">
        <v>630</v>
      </c>
      <c r="F104" s="12" t="s">
        <v>612</v>
      </c>
      <c r="G104" s="11" t="s">
        <v>136</v>
      </c>
      <c r="H104" s="11" t="s">
        <v>136</v>
      </c>
      <c r="I104" s="11" t="s">
        <v>136</v>
      </c>
      <c r="J104" s="12"/>
      <c r="K104" s="14" t="str">
        <f t="shared" si="1"/>
        <v>YES</v>
      </c>
      <c r="L104" s="12" t="s">
        <v>122</v>
      </c>
      <c r="M104" s="12"/>
      <c r="N104" s="12" t="s">
        <v>631</v>
      </c>
      <c r="O104" s="12" t="s">
        <v>632</v>
      </c>
    </row>
    <row r="105" spans="1:15" ht="41.5" customHeight="1" x14ac:dyDescent="0.35">
      <c r="A105" s="11">
        <v>100</v>
      </c>
      <c r="B105" s="12" t="s">
        <v>633</v>
      </c>
      <c r="C105" s="12" t="s">
        <v>634</v>
      </c>
      <c r="D105" s="11">
        <v>2023</v>
      </c>
      <c r="E105" s="12" t="s">
        <v>635</v>
      </c>
      <c r="F105" s="12" t="s">
        <v>612</v>
      </c>
      <c r="G105" s="11" t="s">
        <v>136</v>
      </c>
      <c r="H105" s="11" t="s">
        <v>136</v>
      </c>
      <c r="I105" s="11" t="s">
        <v>136</v>
      </c>
      <c r="J105" s="12"/>
      <c r="K105" s="14" t="str">
        <f t="shared" si="1"/>
        <v>YES</v>
      </c>
      <c r="L105" s="12" t="s">
        <v>122</v>
      </c>
      <c r="M105" s="12"/>
      <c r="N105" s="12" t="s">
        <v>636</v>
      </c>
      <c r="O105" s="12" t="s">
        <v>637</v>
      </c>
    </row>
    <row r="106" spans="1:15" ht="29" customHeight="1" x14ac:dyDescent="0.35">
      <c r="A106" s="11">
        <v>101</v>
      </c>
      <c r="B106" s="12" t="s">
        <v>638</v>
      </c>
      <c r="C106" s="12" t="s">
        <v>634</v>
      </c>
      <c r="D106" s="11">
        <v>2021</v>
      </c>
      <c r="E106" s="12" t="s">
        <v>271</v>
      </c>
      <c r="F106" s="12" t="s">
        <v>612</v>
      </c>
      <c r="G106" s="11" t="s">
        <v>136</v>
      </c>
      <c r="H106" s="11" t="s">
        <v>136</v>
      </c>
      <c r="I106" s="11" t="s">
        <v>136</v>
      </c>
      <c r="J106" s="12"/>
      <c r="K106" s="14" t="str">
        <f t="shared" si="1"/>
        <v>YES</v>
      </c>
      <c r="L106" s="12" t="s">
        <v>122</v>
      </c>
      <c r="M106" s="12" t="s">
        <v>490</v>
      </c>
      <c r="N106" s="12" t="s">
        <v>639</v>
      </c>
      <c r="O106" s="12" t="s">
        <v>640</v>
      </c>
    </row>
    <row r="107" spans="1:15" ht="41.5" customHeight="1" x14ac:dyDescent="0.35">
      <c r="A107" s="11">
        <v>102</v>
      </c>
      <c r="B107" s="12" t="s">
        <v>641</v>
      </c>
      <c r="C107" s="12" t="s">
        <v>642</v>
      </c>
      <c r="D107" s="11">
        <v>2022</v>
      </c>
      <c r="E107" s="12" t="s">
        <v>643</v>
      </c>
      <c r="F107" s="12" t="s">
        <v>612</v>
      </c>
      <c r="G107" s="11" t="s">
        <v>136</v>
      </c>
      <c r="H107" s="11" t="s">
        <v>136</v>
      </c>
      <c r="I107" s="11" t="s">
        <v>136</v>
      </c>
      <c r="J107" s="12"/>
      <c r="K107" s="14" t="str">
        <f t="shared" si="1"/>
        <v>YES</v>
      </c>
      <c r="L107" s="12" t="s">
        <v>122</v>
      </c>
      <c r="M107" s="12"/>
      <c r="N107" s="12" t="s">
        <v>644</v>
      </c>
      <c r="O107" s="12" t="s">
        <v>645</v>
      </c>
    </row>
    <row r="108" spans="1:15" ht="29" customHeight="1" x14ac:dyDescent="0.35">
      <c r="A108" s="11">
        <v>103</v>
      </c>
      <c r="B108" s="12" t="s">
        <v>646</v>
      </c>
      <c r="C108" s="12" t="s">
        <v>647</v>
      </c>
      <c r="D108" s="11">
        <v>2023</v>
      </c>
      <c r="E108" s="12" t="s">
        <v>147</v>
      </c>
      <c r="F108" s="12" t="s">
        <v>612</v>
      </c>
      <c r="G108" s="11" t="s">
        <v>136</v>
      </c>
      <c r="H108" s="11" t="s">
        <v>136</v>
      </c>
      <c r="I108" s="11" t="s">
        <v>121</v>
      </c>
      <c r="J108" s="12" t="s">
        <v>197</v>
      </c>
      <c r="K108" s="14" t="str">
        <f t="shared" si="1"/>
        <v>NO</v>
      </c>
      <c r="L108" s="12" t="s">
        <v>122</v>
      </c>
      <c r="M108" s="12" t="s">
        <v>198</v>
      </c>
      <c r="N108" s="12" t="s">
        <v>648</v>
      </c>
      <c r="O108" s="12" t="s">
        <v>649</v>
      </c>
    </row>
    <row r="109" spans="1:15" ht="29" customHeight="1" x14ac:dyDescent="0.35">
      <c r="A109" s="11">
        <v>104</v>
      </c>
      <c r="B109" s="12" t="s">
        <v>650</v>
      </c>
      <c r="C109" s="12" t="s">
        <v>651</v>
      </c>
      <c r="D109" s="11">
        <v>2023</v>
      </c>
      <c r="E109" s="12" t="s">
        <v>652</v>
      </c>
      <c r="F109" s="12" t="s">
        <v>612</v>
      </c>
      <c r="G109" s="11" t="s">
        <v>136</v>
      </c>
      <c r="H109" s="11" t="s">
        <v>136</v>
      </c>
      <c r="I109" s="11" t="s">
        <v>136</v>
      </c>
      <c r="J109" s="12"/>
      <c r="K109" s="14" t="str">
        <f t="shared" si="1"/>
        <v>YES</v>
      </c>
      <c r="L109" s="12" t="s">
        <v>122</v>
      </c>
      <c r="M109" s="12"/>
      <c r="N109" s="12" t="s">
        <v>653</v>
      </c>
      <c r="O109" s="12" t="s">
        <v>654</v>
      </c>
    </row>
    <row r="110" spans="1:15" ht="54" customHeight="1" x14ac:dyDescent="0.35">
      <c r="A110" s="11">
        <v>105</v>
      </c>
      <c r="B110" s="12" t="s">
        <v>655</v>
      </c>
      <c r="C110" s="12" t="s">
        <v>656</v>
      </c>
      <c r="D110" s="11">
        <v>2025</v>
      </c>
      <c r="E110" s="12" t="s">
        <v>657</v>
      </c>
      <c r="F110" s="12" t="s">
        <v>612</v>
      </c>
      <c r="G110" s="11" t="s">
        <v>136</v>
      </c>
      <c r="H110" s="11" t="s">
        <v>136</v>
      </c>
      <c r="I110" s="11" t="s">
        <v>121</v>
      </c>
      <c r="J110" s="12" t="s">
        <v>307</v>
      </c>
      <c r="K110" s="14" t="str">
        <f t="shared" si="1"/>
        <v>NO</v>
      </c>
      <c r="L110" s="12" t="s">
        <v>122</v>
      </c>
      <c r="M110" s="12" t="s">
        <v>308</v>
      </c>
      <c r="N110" s="12" t="s">
        <v>658</v>
      </c>
      <c r="O110" s="12" t="s">
        <v>659</v>
      </c>
    </row>
    <row r="111" spans="1:15" ht="29" customHeight="1" x14ac:dyDescent="0.35">
      <c r="A111" s="11">
        <v>106</v>
      </c>
      <c r="B111" s="12" t="s">
        <v>660</v>
      </c>
      <c r="C111" s="12" t="s">
        <v>661</v>
      </c>
      <c r="D111" s="11">
        <v>2025</v>
      </c>
      <c r="E111" s="12" t="s">
        <v>147</v>
      </c>
      <c r="F111" s="12" t="s">
        <v>612</v>
      </c>
      <c r="G111" s="11" t="s">
        <v>121</v>
      </c>
      <c r="H111" s="11"/>
      <c r="I111" s="11"/>
      <c r="J111" s="12"/>
      <c r="K111" s="14" t="str">
        <f t="shared" si="1"/>
        <v>NO</v>
      </c>
      <c r="L111" s="12" t="s">
        <v>122</v>
      </c>
      <c r="M111" s="12" t="s">
        <v>662</v>
      </c>
      <c r="N111" s="12" t="s">
        <v>663</v>
      </c>
      <c r="O111" s="12" t="s">
        <v>664</v>
      </c>
    </row>
    <row r="112" spans="1:15" ht="41.5" customHeight="1" x14ac:dyDescent="0.35">
      <c r="A112" s="11">
        <v>107</v>
      </c>
      <c r="B112" s="12" t="s">
        <v>665</v>
      </c>
      <c r="C112" s="12" t="s">
        <v>666</v>
      </c>
      <c r="D112" s="11">
        <v>2024</v>
      </c>
      <c r="E112" s="12" t="s">
        <v>667</v>
      </c>
      <c r="F112" s="12" t="s">
        <v>612</v>
      </c>
      <c r="G112" s="11" t="s">
        <v>136</v>
      </c>
      <c r="H112" s="11" t="s">
        <v>136</v>
      </c>
      <c r="I112" s="11" t="s">
        <v>121</v>
      </c>
      <c r="J112" s="12" t="s">
        <v>307</v>
      </c>
      <c r="K112" s="14" t="str">
        <f t="shared" si="1"/>
        <v>NO</v>
      </c>
      <c r="L112" s="12" t="s">
        <v>122</v>
      </c>
      <c r="M112" s="12" t="s">
        <v>308</v>
      </c>
      <c r="N112" s="12" t="s">
        <v>668</v>
      </c>
      <c r="O112" s="12" t="s">
        <v>669</v>
      </c>
    </row>
    <row r="113" spans="1:15" ht="29" customHeight="1" x14ac:dyDescent="0.35">
      <c r="A113" s="11">
        <v>108</v>
      </c>
      <c r="B113" s="12" t="s">
        <v>670</v>
      </c>
      <c r="C113" s="12" t="s">
        <v>671</v>
      </c>
      <c r="D113" s="11">
        <v>2024</v>
      </c>
      <c r="E113" s="12" t="s">
        <v>147</v>
      </c>
      <c r="F113" s="12" t="s">
        <v>612</v>
      </c>
      <c r="G113" s="11" t="s">
        <v>136</v>
      </c>
      <c r="H113" s="11" t="s">
        <v>136</v>
      </c>
      <c r="I113" s="11" t="s">
        <v>121</v>
      </c>
      <c r="J113" s="12" t="s">
        <v>197</v>
      </c>
      <c r="K113" s="14" t="str">
        <f t="shared" si="1"/>
        <v>NO</v>
      </c>
      <c r="L113" s="12" t="s">
        <v>122</v>
      </c>
      <c r="M113" s="12" t="s">
        <v>672</v>
      </c>
      <c r="N113" s="12" t="s">
        <v>673</v>
      </c>
      <c r="O113" s="12" t="s">
        <v>674</v>
      </c>
    </row>
    <row r="114" spans="1:15" ht="29" customHeight="1" x14ac:dyDescent="0.35">
      <c r="A114" s="11">
        <v>109</v>
      </c>
      <c r="B114" s="12" t="s">
        <v>675</v>
      </c>
      <c r="C114" s="12" t="s">
        <v>676</v>
      </c>
      <c r="D114" s="11">
        <v>2022</v>
      </c>
      <c r="E114" s="12" t="s">
        <v>147</v>
      </c>
      <c r="F114" s="12" t="s">
        <v>612</v>
      </c>
      <c r="G114" s="11" t="s">
        <v>136</v>
      </c>
      <c r="H114" s="11" t="s">
        <v>136</v>
      </c>
      <c r="I114" s="11" t="s">
        <v>121</v>
      </c>
      <c r="J114" s="12" t="s">
        <v>197</v>
      </c>
      <c r="K114" s="14" t="str">
        <f t="shared" si="1"/>
        <v>NO</v>
      </c>
      <c r="L114" s="12" t="s">
        <v>122</v>
      </c>
      <c r="M114" s="12" t="s">
        <v>677</v>
      </c>
      <c r="N114" s="12" t="s">
        <v>678</v>
      </c>
      <c r="O114" s="12" t="s">
        <v>679</v>
      </c>
    </row>
    <row r="115" spans="1:15" ht="29" customHeight="1" x14ac:dyDescent="0.35">
      <c r="A115" s="11">
        <v>110</v>
      </c>
      <c r="B115" s="12" t="s">
        <v>680</v>
      </c>
      <c r="C115" s="12" t="s">
        <v>681</v>
      </c>
      <c r="D115" s="11">
        <v>2022</v>
      </c>
      <c r="E115" s="12" t="s">
        <v>682</v>
      </c>
      <c r="F115" s="12" t="s">
        <v>612</v>
      </c>
      <c r="G115" s="11" t="s">
        <v>136</v>
      </c>
      <c r="H115" s="11" t="s">
        <v>136</v>
      </c>
      <c r="I115" s="11" t="s">
        <v>136</v>
      </c>
      <c r="J115" s="12"/>
      <c r="K115" s="14" t="str">
        <f t="shared" si="1"/>
        <v>YES</v>
      </c>
      <c r="L115" s="12" t="s">
        <v>122</v>
      </c>
      <c r="M115" s="12"/>
      <c r="N115" s="12" t="s">
        <v>683</v>
      </c>
      <c r="O115" s="12" t="s">
        <v>684</v>
      </c>
    </row>
    <row r="116" spans="1:15" ht="41.5" customHeight="1" x14ac:dyDescent="0.35">
      <c r="A116" s="11">
        <v>111</v>
      </c>
      <c r="B116" s="12" t="s">
        <v>685</v>
      </c>
      <c r="C116" s="12" t="s">
        <v>686</v>
      </c>
      <c r="D116" s="11">
        <v>2026</v>
      </c>
      <c r="E116" s="12" t="s">
        <v>147</v>
      </c>
      <c r="F116" s="12" t="s">
        <v>612</v>
      </c>
      <c r="G116" s="11" t="s">
        <v>136</v>
      </c>
      <c r="H116" s="11" t="s">
        <v>136</v>
      </c>
      <c r="I116" s="11" t="s">
        <v>121</v>
      </c>
      <c r="J116" s="12" t="s">
        <v>197</v>
      </c>
      <c r="K116" s="14" t="str">
        <f t="shared" si="1"/>
        <v>NO</v>
      </c>
      <c r="L116" s="12" t="s">
        <v>122</v>
      </c>
      <c r="M116" s="12" t="s">
        <v>322</v>
      </c>
      <c r="N116" s="12" t="s">
        <v>687</v>
      </c>
      <c r="O116" s="12" t="s">
        <v>688</v>
      </c>
    </row>
    <row r="117" spans="1:15" ht="29" customHeight="1" x14ac:dyDescent="0.35">
      <c r="A117" s="11">
        <v>112</v>
      </c>
      <c r="B117" s="12" t="s">
        <v>689</v>
      </c>
      <c r="C117" s="12" t="s">
        <v>690</v>
      </c>
      <c r="D117" s="11">
        <v>2026</v>
      </c>
      <c r="E117" s="12" t="s">
        <v>147</v>
      </c>
      <c r="F117" s="12" t="s">
        <v>612</v>
      </c>
      <c r="G117" s="11" t="s">
        <v>136</v>
      </c>
      <c r="H117" s="11" t="s">
        <v>136</v>
      </c>
      <c r="I117" s="11" t="s">
        <v>121</v>
      </c>
      <c r="J117" s="12" t="s">
        <v>197</v>
      </c>
      <c r="K117" s="14" t="str">
        <f t="shared" si="1"/>
        <v>NO</v>
      </c>
      <c r="L117" s="12" t="s">
        <v>122</v>
      </c>
      <c r="M117" s="12" t="s">
        <v>322</v>
      </c>
      <c r="N117" s="12" t="s">
        <v>691</v>
      </c>
      <c r="O117" s="12" t="s">
        <v>692</v>
      </c>
    </row>
    <row r="118" spans="1:15" ht="29" customHeight="1" x14ac:dyDescent="0.35">
      <c r="A118" s="11">
        <v>113</v>
      </c>
      <c r="B118" s="12" t="s">
        <v>693</v>
      </c>
      <c r="C118" s="12" t="s">
        <v>694</v>
      </c>
      <c r="D118" s="11">
        <v>2026</v>
      </c>
      <c r="E118" s="12" t="s">
        <v>147</v>
      </c>
      <c r="F118" s="12" t="s">
        <v>612</v>
      </c>
      <c r="G118" s="11" t="s">
        <v>136</v>
      </c>
      <c r="H118" s="11" t="s">
        <v>136</v>
      </c>
      <c r="I118" s="11" t="s">
        <v>121</v>
      </c>
      <c r="J118" s="12" t="s">
        <v>197</v>
      </c>
      <c r="K118" s="14" t="str">
        <f t="shared" si="1"/>
        <v>NO</v>
      </c>
      <c r="L118" s="12" t="s">
        <v>122</v>
      </c>
      <c r="M118" s="12" t="s">
        <v>322</v>
      </c>
      <c r="N118" s="12" t="s">
        <v>695</v>
      </c>
      <c r="O118" s="12" t="s">
        <v>696</v>
      </c>
    </row>
    <row r="119" spans="1:15" ht="29" customHeight="1" x14ac:dyDescent="0.35">
      <c r="A119" s="11">
        <v>114</v>
      </c>
      <c r="B119" s="12" t="s">
        <v>697</v>
      </c>
      <c r="C119" s="12" t="s">
        <v>698</v>
      </c>
      <c r="D119" s="11">
        <v>2026</v>
      </c>
      <c r="E119" s="12" t="s">
        <v>699</v>
      </c>
      <c r="F119" s="12" t="s">
        <v>612</v>
      </c>
      <c r="G119" s="11" t="s">
        <v>121</v>
      </c>
      <c r="H119" s="11"/>
      <c r="I119" s="11"/>
      <c r="J119" s="12"/>
      <c r="K119" s="14" t="str">
        <f t="shared" si="1"/>
        <v>NO</v>
      </c>
      <c r="L119" s="12" t="s">
        <v>122</v>
      </c>
      <c r="M119" s="12" t="s">
        <v>700</v>
      </c>
      <c r="N119" s="12" t="s">
        <v>701</v>
      </c>
      <c r="O119" s="12" t="s">
        <v>702</v>
      </c>
    </row>
    <row r="120" spans="1:15" ht="29" customHeight="1" x14ac:dyDescent="0.35">
      <c r="A120" s="11">
        <v>115</v>
      </c>
      <c r="B120" s="12" t="s">
        <v>703</v>
      </c>
      <c r="C120" s="12" t="s">
        <v>704</v>
      </c>
      <c r="D120" s="11">
        <v>2026</v>
      </c>
      <c r="E120" s="12" t="s">
        <v>227</v>
      </c>
      <c r="F120" s="12" t="s">
        <v>612</v>
      </c>
      <c r="G120" s="11" t="s">
        <v>136</v>
      </c>
      <c r="H120" s="11" t="s">
        <v>136</v>
      </c>
      <c r="I120" s="11" t="s">
        <v>121</v>
      </c>
      <c r="J120" s="12" t="s">
        <v>197</v>
      </c>
      <c r="K120" s="14" t="str">
        <f t="shared" si="1"/>
        <v>NO</v>
      </c>
      <c r="L120" s="12" t="s">
        <v>122</v>
      </c>
      <c r="M120" s="12" t="s">
        <v>705</v>
      </c>
      <c r="N120" s="12" t="s">
        <v>706</v>
      </c>
      <c r="O120" s="12" t="s">
        <v>707</v>
      </c>
    </row>
    <row r="121" spans="1:15" ht="29" customHeight="1" x14ac:dyDescent="0.35">
      <c r="A121" s="11">
        <v>116</v>
      </c>
      <c r="B121" s="12" t="s">
        <v>708</v>
      </c>
      <c r="C121" s="12" t="s">
        <v>709</v>
      </c>
      <c r="D121" s="11">
        <v>2026</v>
      </c>
      <c r="E121" s="12" t="s">
        <v>147</v>
      </c>
      <c r="F121" s="12" t="s">
        <v>612</v>
      </c>
      <c r="G121" s="11" t="s">
        <v>121</v>
      </c>
      <c r="H121" s="11"/>
      <c r="I121" s="11"/>
      <c r="J121" s="12"/>
      <c r="K121" s="14" t="str">
        <f t="shared" si="1"/>
        <v>NO</v>
      </c>
      <c r="L121" s="12" t="s">
        <v>122</v>
      </c>
      <c r="M121" s="12" t="s">
        <v>710</v>
      </c>
      <c r="N121" s="12" t="s">
        <v>711</v>
      </c>
      <c r="O121" s="12" t="s">
        <v>712</v>
      </c>
    </row>
    <row r="122" spans="1:15" ht="29" customHeight="1" x14ac:dyDescent="0.35">
      <c r="A122" s="11">
        <v>117</v>
      </c>
      <c r="B122" s="12" t="s">
        <v>713</v>
      </c>
      <c r="C122" s="12" t="s">
        <v>714</v>
      </c>
      <c r="D122" s="11">
        <v>2026</v>
      </c>
      <c r="E122" s="12" t="s">
        <v>715</v>
      </c>
      <c r="F122" s="12" t="s">
        <v>612</v>
      </c>
      <c r="G122" s="11" t="s">
        <v>121</v>
      </c>
      <c r="H122" s="11"/>
      <c r="I122" s="11"/>
      <c r="J122" s="12"/>
      <c r="K122" s="14" t="str">
        <f t="shared" si="1"/>
        <v>NO</v>
      </c>
      <c r="L122" s="12" t="s">
        <v>122</v>
      </c>
      <c r="M122" s="12" t="s">
        <v>716</v>
      </c>
      <c r="N122" s="12" t="s">
        <v>717</v>
      </c>
      <c r="O122" s="12" t="s">
        <v>718</v>
      </c>
    </row>
    <row r="123" spans="1:15" ht="29" customHeight="1" x14ac:dyDescent="0.35">
      <c r="A123" s="11">
        <v>118</v>
      </c>
      <c r="B123" s="12" t="s">
        <v>719</v>
      </c>
      <c r="C123" s="12" t="s">
        <v>720</v>
      </c>
      <c r="D123" s="11">
        <v>2026</v>
      </c>
      <c r="E123" s="12" t="s">
        <v>147</v>
      </c>
      <c r="F123" s="12" t="s">
        <v>612</v>
      </c>
      <c r="G123" s="11" t="s">
        <v>121</v>
      </c>
      <c r="H123" s="11"/>
      <c r="I123" s="11"/>
      <c r="J123" s="12"/>
      <c r="K123" s="14" t="str">
        <f t="shared" si="1"/>
        <v>NO</v>
      </c>
      <c r="L123" s="12" t="s">
        <v>122</v>
      </c>
      <c r="M123" s="12" t="s">
        <v>721</v>
      </c>
      <c r="N123" s="12" t="s">
        <v>722</v>
      </c>
      <c r="O123" s="12" t="s">
        <v>723</v>
      </c>
    </row>
    <row r="124" spans="1:15" ht="29" customHeight="1" x14ac:dyDescent="0.35">
      <c r="A124" s="11">
        <v>119</v>
      </c>
      <c r="B124" s="12" t="s">
        <v>697</v>
      </c>
      <c r="C124" s="12" t="s">
        <v>724</v>
      </c>
      <c r="D124" s="11">
        <v>2026</v>
      </c>
      <c r="E124" s="12" t="s">
        <v>147</v>
      </c>
      <c r="F124" s="12" t="s">
        <v>612</v>
      </c>
      <c r="G124" s="11" t="s">
        <v>121</v>
      </c>
      <c r="H124" s="11"/>
      <c r="I124" s="11"/>
      <c r="J124" s="12"/>
      <c r="K124" s="14" t="str">
        <f t="shared" si="1"/>
        <v>NO</v>
      </c>
      <c r="L124" s="12" t="s">
        <v>122</v>
      </c>
      <c r="M124" s="12" t="s">
        <v>700</v>
      </c>
      <c r="N124" s="12" t="s">
        <v>725</v>
      </c>
      <c r="O124" s="12" t="s">
        <v>726</v>
      </c>
    </row>
    <row r="125" spans="1:15" ht="24" customHeight="1" x14ac:dyDescent="0.35">
      <c r="A125" s="11">
        <v>120</v>
      </c>
      <c r="B125" s="12" t="s">
        <v>727</v>
      </c>
      <c r="C125" s="12" t="s">
        <v>728</v>
      </c>
      <c r="D125" s="11">
        <v>2022</v>
      </c>
      <c r="E125" s="12" t="s">
        <v>729</v>
      </c>
      <c r="F125" s="12" t="s">
        <v>730</v>
      </c>
      <c r="G125" s="11" t="s">
        <v>136</v>
      </c>
      <c r="H125" s="11" t="s">
        <v>136</v>
      </c>
      <c r="I125" s="11" t="s">
        <v>136</v>
      </c>
      <c r="J125" s="12"/>
      <c r="K125" s="14" t="str">
        <f t="shared" si="1"/>
        <v>YES</v>
      </c>
      <c r="L125" s="12" t="s">
        <v>122</v>
      </c>
      <c r="M125" s="12"/>
      <c r="N125" s="12" t="s">
        <v>731</v>
      </c>
      <c r="O125" s="12" t="s">
        <v>732</v>
      </c>
    </row>
    <row r="126" spans="1:15" ht="41.5" customHeight="1" x14ac:dyDescent="0.35">
      <c r="A126" s="11">
        <v>121</v>
      </c>
      <c r="B126" s="12" t="s">
        <v>733</v>
      </c>
      <c r="C126" s="12" t="s">
        <v>734</v>
      </c>
      <c r="D126" s="11">
        <v>2024</v>
      </c>
      <c r="E126" s="12" t="s">
        <v>428</v>
      </c>
      <c r="F126" s="12" t="s">
        <v>730</v>
      </c>
      <c r="G126" s="11" t="s">
        <v>121</v>
      </c>
      <c r="H126" s="11"/>
      <c r="I126" s="11"/>
      <c r="J126" s="12"/>
      <c r="K126" s="14" t="str">
        <f t="shared" si="1"/>
        <v>NO</v>
      </c>
      <c r="L126" s="12" t="s">
        <v>122</v>
      </c>
      <c r="M126" s="12" t="s">
        <v>735</v>
      </c>
      <c r="N126" s="12" t="s">
        <v>736</v>
      </c>
      <c r="O126" s="12" t="s">
        <v>737</v>
      </c>
    </row>
    <row r="127" spans="1:15" ht="29" customHeight="1" x14ac:dyDescent="0.35">
      <c r="A127" s="11">
        <v>122</v>
      </c>
      <c r="B127" s="12" t="s">
        <v>738</v>
      </c>
      <c r="C127" s="12" t="s">
        <v>739</v>
      </c>
      <c r="D127" s="11">
        <v>2024</v>
      </c>
      <c r="E127" s="12" t="s">
        <v>740</v>
      </c>
      <c r="F127" s="12" t="s">
        <v>730</v>
      </c>
      <c r="G127" s="11" t="s">
        <v>121</v>
      </c>
      <c r="H127" s="11"/>
      <c r="I127" s="11"/>
      <c r="J127" s="12"/>
      <c r="K127" s="14" t="str">
        <f t="shared" si="1"/>
        <v>NO</v>
      </c>
      <c r="L127" s="12" t="s">
        <v>122</v>
      </c>
      <c r="M127" s="12" t="s">
        <v>741</v>
      </c>
      <c r="N127" s="12" t="s">
        <v>742</v>
      </c>
      <c r="O127" s="12" t="s">
        <v>743</v>
      </c>
    </row>
    <row r="128" spans="1:15" ht="41.5" customHeight="1" x14ac:dyDescent="0.35">
      <c r="A128" s="11">
        <v>123</v>
      </c>
      <c r="B128" s="12" t="s">
        <v>744</v>
      </c>
      <c r="C128" s="12" t="s">
        <v>745</v>
      </c>
      <c r="D128" s="11">
        <v>2026</v>
      </c>
      <c r="E128" s="12" t="s">
        <v>227</v>
      </c>
      <c r="F128" s="12" t="s">
        <v>730</v>
      </c>
      <c r="G128" s="11" t="s">
        <v>121</v>
      </c>
      <c r="H128" s="11"/>
      <c r="I128" s="11"/>
      <c r="J128" s="12"/>
      <c r="K128" s="14" t="str">
        <f t="shared" si="1"/>
        <v>NO</v>
      </c>
      <c r="L128" s="12" t="s">
        <v>122</v>
      </c>
      <c r="M128" s="12" t="s">
        <v>746</v>
      </c>
      <c r="N128" s="12" t="s">
        <v>747</v>
      </c>
      <c r="O128" s="12" t="s">
        <v>748</v>
      </c>
    </row>
    <row r="129" spans="1:15" ht="29" customHeight="1" x14ac:dyDescent="0.35">
      <c r="A129" s="11">
        <v>124</v>
      </c>
      <c r="B129" s="12" t="s">
        <v>749</v>
      </c>
      <c r="C129" s="12" t="s">
        <v>750</v>
      </c>
      <c r="D129" s="11">
        <v>2024</v>
      </c>
      <c r="E129" s="12" t="s">
        <v>751</v>
      </c>
      <c r="F129" s="12" t="s">
        <v>730</v>
      </c>
      <c r="G129" s="11" t="s">
        <v>136</v>
      </c>
      <c r="H129" s="11" t="s">
        <v>136</v>
      </c>
      <c r="I129" s="11" t="s">
        <v>136</v>
      </c>
      <c r="J129" s="12"/>
      <c r="K129" s="14" t="str">
        <f t="shared" si="1"/>
        <v>YES</v>
      </c>
      <c r="L129" s="12" t="s">
        <v>122</v>
      </c>
      <c r="M129" s="12"/>
      <c r="N129" s="12" t="s">
        <v>752</v>
      </c>
      <c r="O129" s="12" t="s">
        <v>753</v>
      </c>
    </row>
    <row r="130" spans="1:15" ht="41.5" customHeight="1" x14ac:dyDescent="0.35">
      <c r="A130" s="11">
        <v>125</v>
      </c>
      <c r="B130" s="12" t="s">
        <v>754</v>
      </c>
      <c r="C130" s="12" t="s">
        <v>755</v>
      </c>
      <c r="D130" s="11">
        <v>2025</v>
      </c>
      <c r="E130" s="12" t="s">
        <v>756</v>
      </c>
      <c r="F130" s="12" t="s">
        <v>730</v>
      </c>
      <c r="G130" s="11" t="s">
        <v>121</v>
      </c>
      <c r="H130" s="11"/>
      <c r="I130" s="11"/>
      <c r="J130" s="12"/>
      <c r="K130" s="14" t="str">
        <f t="shared" si="1"/>
        <v>NO</v>
      </c>
      <c r="L130" s="12" t="s">
        <v>122</v>
      </c>
      <c r="M130" s="12" t="s">
        <v>757</v>
      </c>
      <c r="N130" s="12" t="s">
        <v>758</v>
      </c>
      <c r="O130" s="12" t="s">
        <v>759</v>
      </c>
    </row>
    <row r="131" spans="1:15" ht="29" customHeight="1" x14ac:dyDescent="0.35">
      <c r="A131" s="11">
        <v>126</v>
      </c>
      <c r="B131" s="12" t="s">
        <v>760</v>
      </c>
      <c r="C131" s="12" t="s">
        <v>728</v>
      </c>
      <c r="D131" s="11">
        <v>2024</v>
      </c>
      <c r="E131" s="12" t="s">
        <v>147</v>
      </c>
      <c r="F131" s="12" t="s">
        <v>730</v>
      </c>
      <c r="G131" s="11" t="s">
        <v>136</v>
      </c>
      <c r="H131" s="11" t="s">
        <v>136</v>
      </c>
      <c r="I131" s="11" t="s">
        <v>121</v>
      </c>
      <c r="J131" s="12" t="s">
        <v>197</v>
      </c>
      <c r="K131" s="14" t="str">
        <f t="shared" si="1"/>
        <v>NO</v>
      </c>
      <c r="L131" s="12" t="s">
        <v>122</v>
      </c>
      <c r="M131" s="12" t="s">
        <v>761</v>
      </c>
      <c r="N131" s="12" t="s">
        <v>762</v>
      </c>
      <c r="O131" s="12" t="s">
        <v>763</v>
      </c>
    </row>
    <row r="132" spans="1:15" ht="41.5" customHeight="1" x14ac:dyDescent="0.35">
      <c r="A132" s="11">
        <v>127</v>
      </c>
      <c r="B132" s="12" t="s">
        <v>764</v>
      </c>
      <c r="C132" s="12" t="s">
        <v>765</v>
      </c>
      <c r="D132" s="11">
        <v>2025</v>
      </c>
      <c r="E132" s="12" t="s">
        <v>369</v>
      </c>
      <c r="F132" s="12" t="s">
        <v>730</v>
      </c>
      <c r="G132" s="11" t="s">
        <v>121</v>
      </c>
      <c r="H132" s="11"/>
      <c r="I132" s="11"/>
      <c r="J132" s="12"/>
      <c r="K132" s="14" t="str">
        <f t="shared" si="1"/>
        <v>NO</v>
      </c>
      <c r="L132" s="12" t="s">
        <v>122</v>
      </c>
      <c r="M132" s="12" t="s">
        <v>148</v>
      </c>
      <c r="N132" s="12" t="s">
        <v>766</v>
      </c>
      <c r="O132" s="12" t="s">
        <v>767</v>
      </c>
    </row>
    <row r="133" spans="1:15" ht="41.5" customHeight="1" x14ac:dyDescent="0.35">
      <c r="A133" s="11">
        <v>128</v>
      </c>
      <c r="B133" s="12" t="s">
        <v>768</v>
      </c>
      <c r="C133" s="12" t="s">
        <v>769</v>
      </c>
      <c r="D133" s="11">
        <v>2024</v>
      </c>
      <c r="E133" s="12" t="s">
        <v>770</v>
      </c>
      <c r="F133" s="12" t="s">
        <v>730</v>
      </c>
      <c r="G133" s="11" t="s">
        <v>121</v>
      </c>
      <c r="H133" s="11"/>
      <c r="I133" s="11"/>
      <c r="J133" s="12"/>
      <c r="K133" s="14" t="str">
        <f t="shared" si="1"/>
        <v>NO</v>
      </c>
      <c r="L133" s="12" t="s">
        <v>122</v>
      </c>
      <c r="M133" s="12" t="s">
        <v>771</v>
      </c>
      <c r="N133" s="12" t="s">
        <v>772</v>
      </c>
      <c r="O133" s="12" t="s">
        <v>773</v>
      </c>
    </row>
    <row r="134" spans="1:15" ht="41.5" customHeight="1" x14ac:dyDescent="0.35">
      <c r="A134" s="11">
        <v>129</v>
      </c>
      <c r="B134" s="12" t="s">
        <v>774</v>
      </c>
      <c r="C134" s="12" t="s">
        <v>775</v>
      </c>
      <c r="D134" s="11">
        <v>2024</v>
      </c>
      <c r="E134" s="12" t="s">
        <v>591</v>
      </c>
      <c r="F134" s="12" t="s">
        <v>730</v>
      </c>
      <c r="G134" s="11" t="s">
        <v>121</v>
      </c>
      <c r="H134" s="11"/>
      <c r="I134" s="11"/>
      <c r="J134" s="12"/>
      <c r="K134" s="14" t="str">
        <f t="shared" ref="K134:K197" si="2">IF(AND(G134="KEEP",H134="KEEP",I134="KEEP"),"YES",IF(OR(G134="DROP",H134="DROP",I134="DROP"),"NO",""))</f>
        <v>NO</v>
      </c>
      <c r="L134" s="12" t="s">
        <v>122</v>
      </c>
      <c r="M134" s="12" t="s">
        <v>776</v>
      </c>
      <c r="N134" s="12" t="s">
        <v>777</v>
      </c>
      <c r="O134" s="12" t="s">
        <v>778</v>
      </c>
    </row>
    <row r="135" spans="1:15" ht="104" customHeight="1" x14ac:dyDescent="0.35">
      <c r="A135" s="11">
        <v>130</v>
      </c>
      <c r="B135" s="12" t="s">
        <v>779</v>
      </c>
      <c r="C135" s="12" t="s">
        <v>780</v>
      </c>
      <c r="D135" s="11">
        <v>2023</v>
      </c>
      <c r="E135" s="12" t="s">
        <v>394</v>
      </c>
      <c r="F135" s="12" t="s">
        <v>730</v>
      </c>
      <c r="G135" s="11" t="s">
        <v>121</v>
      </c>
      <c r="H135" s="11"/>
      <c r="I135" s="11"/>
      <c r="J135" s="12"/>
      <c r="K135" s="14" t="str">
        <f t="shared" si="2"/>
        <v>NO</v>
      </c>
      <c r="L135" s="12" t="s">
        <v>122</v>
      </c>
      <c r="M135" s="12" t="s">
        <v>781</v>
      </c>
      <c r="N135" s="12" t="s">
        <v>782</v>
      </c>
      <c r="O135" s="12" t="s">
        <v>783</v>
      </c>
    </row>
    <row r="136" spans="1:15" ht="29" customHeight="1" x14ac:dyDescent="0.35">
      <c r="A136" s="11">
        <v>131</v>
      </c>
      <c r="B136" s="12" t="s">
        <v>784</v>
      </c>
      <c r="C136" s="12" t="s">
        <v>785</v>
      </c>
      <c r="D136" s="11">
        <v>2023</v>
      </c>
      <c r="E136" s="12" t="s">
        <v>786</v>
      </c>
      <c r="F136" s="12" t="s">
        <v>730</v>
      </c>
      <c r="G136" s="11" t="s">
        <v>121</v>
      </c>
      <c r="H136" s="11"/>
      <c r="I136" s="11"/>
      <c r="J136" s="12"/>
      <c r="K136" s="14" t="str">
        <f t="shared" si="2"/>
        <v>NO</v>
      </c>
      <c r="L136" s="12" t="s">
        <v>122</v>
      </c>
      <c r="M136" s="12" t="s">
        <v>787</v>
      </c>
      <c r="N136" s="12" t="s">
        <v>788</v>
      </c>
      <c r="O136" s="12" t="s">
        <v>789</v>
      </c>
    </row>
    <row r="137" spans="1:15" ht="29" customHeight="1" x14ac:dyDescent="0.35">
      <c r="A137" s="11">
        <v>132</v>
      </c>
      <c r="B137" s="12" t="s">
        <v>790</v>
      </c>
      <c r="C137" s="12" t="s">
        <v>791</v>
      </c>
      <c r="D137" s="11">
        <v>2024</v>
      </c>
      <c r="E137" s="12" t="s">
        <v>792</v>
      </c>
      <c r="F137" s="12" t="s">
        <v>730</v>
      </c>
      <c r="G137" s="11" t="s">
        <v>136</v>
      </c>
      <c r="H137" s="11" t="s">
        <v>136</v>
      </c>
      <c r="I137" s="11" t="s">
        <v>136</v>
      </c>
      <c r="J137" s="12"/>
      <c r="K137" s="14" t="str">
        <f t="shared" si="2"/>
        <v>YES</v>
      </c>
      <c r="L137" s="12" t="s">
        <v>122</v>
      </c>
      <c r="M137" s="12"/>
      <c r="N137" s="12" t="s">
        <v>793</v>
      </c>
      <c r="O137" s="12" t="s">
        <v>794</v>
      </c>
    </row>
    <row r="138" spans="1:15" ht="29" customHeight="1" x14ac:dyDescent="0.35">
      <c r="A138" s="11">
        <v>133</v>
      </c>
      <c r="B138" s="12" t="s">
        <v>795</v>
      </c>
      <c r="C138" s="12" t="s">
        <v>796</v>
      </c>
      <c r="D138" s="11">
        <v>2023</v>
      </c>
      <c r="E138" s="12" t="s">
        <v>147</v>
      </c>
      <c r="F138" s="12" t="s">
        <v>730</v>
      </c>
      <c r="G138" s="11" t="s">
        <v>136</v>
      </c>
      <c r="H138" s="11" t="s">
        <v>136</v>
      </c>
      <c r="I138" s="11" t="s">
        <v>121</v>
      </c>
      <c r="J138" s="12" t="s">
        <v>197</v>
      </c>
      <c r="K138" s="14" t="str">
        <f t="shared" si="2"/>
        <v>NO</v>
      </c>
      <c r="L138" s="12" t="s">
        <v>122</v>
      </c>
      <c r="M138" s="12" t="s">
        <v>797</v>
      </c>
      <c r="N138" s="12" t="s">
        <v>798</v>
      </c>
      <c r="O138" s="12" t="s">
        <v>799</v>
      </c>
    </row>
    <row r="139" spans="1:15" ht="29" customHeight="1" x14ac:dyDescent="0.35">
      <c r="A139" s="11">
        <v>134</v>
      </c>
      <c r="B139" s="12" t="s">
        <v>800</v>
      </c>
      <c r="C139" s="12" t="s">
        <v>801</v>
      </c>
      <c r="D139" s="11">
        <v>2024</v>
      </c>
      <c r="E139" s="12" t="s">
        <v>802</v>
      </c>
      <c r="F139" s="12" t="s">
        <v>730</v>
      </c>
      <c r="G139" s="11" t="s">
        <v>121</v>
      </c>
      <c r="H139" s="11"/>
      <c r="I139" s="11"/>
      <c r="J139" s="12"/>
      <c r="K139" s="14" t="str">
        <f t="shared" si="2"/>
        <v>NO</v>
      </c>
      <c r="L139" s="12" t="s">
        <v>122</v>
      </c>
      <c r="M139" s="12" t="s">
        <v>803</v>
      </c>
      <c r="N139" s="12" t="s">
        <v>804</v>
      </c>
      <c r="O139" s="12" t="s">
        <v>805</v>
      </c>
    </row>
    <row r="140" spans="1:15" ht="41.5" customHeight="1" x14ac:dyDescent="0.35">
      <c r="A140" s="11">
        <v>135</v>
      </c>
      <c r="B140" s="12" t="s">
        <v>806</v>
      </c>
      <c r="C140" s="12" t="s">
        <v>807</v>
      </c>
      <c r="D140" s="11">
        <v>2025</v>
      </c>
      <c r="E140" s="12" t="s">
        <v>173</v>
      </c>
      <c r="F140" s="12" t="s">
        <v>730</v>
      </c>
      <c r="G140" s="11" t="s">
        <v>121</v>
      </c>
      <c r="H140" s="11"/>
      <c r="I140" s="11"/>
      <c r="J140" s="12"/>
      <c r="K140" s="14" t="str">
        <f t="shared" si="2"/>
        <v>NO</v>
      </c>
      <c r="L140" s="12" t="s">
        <v>122</v>
      </c>
      <c r="M140" s="12" t="s">
        <v>222</v>
      </c>
      <c r="N140" s="12" t="s">
        <v>808</v>
      </c>
      <c r="O140" s="12" t="s">
        <v>809</v>
      </c>
    </row>
    <row r="141" spans="1:15" ht="29" customHeight="1" x14ac:dyDescent="0.35">
      <c r="A141" s="11">
        <v>136</v>
      </c>
      <c r="B141" s="12" t="s">
        <v>810</v>
      </c>
      <c r="C141" s="12" t="s">
        <v>811</v>
      </c>
      <c r="D141" s="11">
        <v>2024</v>
      </c>
      <c r="E141" s="12" t="s">
        <v>221</v>
      </c>
      <c r="F141" s="12" t="s">
        <v>730</v>
      </c>
      <c r="G141" s="11" t="s">
        <v>121</v>
      </c>
      <c r="H141" s="11"/>
      <c r="I141" s="11"/>
      <c r="J141" s="12"/>
      <c r="K141" s="14" t="str">
        <f t="shared" si="2"/>
        <v>NO</v>
      </c>
      <c r="L141" s="12" t="s">
        <v>122</v>
      </c>
      <c r="M141" s="12" t="s">
        <v>812</v>
      </c>
      <c r="N141" s="12" t="s">
        <v>813</v>
      </c>
      <c r="O141" s="12" t="s">
        <v>814</v>
      </c>
    </row>
    <row r="142" spans="1:15" ht="104" customHeight="1" x14ac:dyDescent="0.35">
      <c r="A142" s="11">
        <v>137</v>
      </c>
      <c r="B142" s="12" t="s">
        <v>815</v>
      </c>
      <c r="C142" s="12" t="s">
        <v>780</v>
      </c>
      <c r="D142" s="11">
        <v>2024</v>
      </c>
      <c r="E142" s="12" t="s">
        <v>394</v>
      </c>
      <c r="F142" s="12" t="s">
        <v>730</v>
      </c>
      <c r="G142" s="11" t="s">
        <v>121</v>
      </c>
      <c r="H142" s="11"/>
      <c r="I142" s="11"/>
      <c r="J142" s="12"/>
      <c r="K142" s="14" t="str">
        <f t="shared" si="2"/>
        <v>NO</v>
      </c>
      <c r="L142" s="12" t="s">
        <v>122</v>
      </c>
      <c r="M142" s="12" t="s">
        <v>816</v>
      </c>
      <c r="N142" s="12" t="s">
        <v>817</v>
      </c>
      <c r="O142" s="12" t="s">
        <v>818</v>
      </c>
    </row>
    <row r="143" spans="1:15" ht="29" customHeight="1" x14ac:dyDescent="0.35">
      <c r="A143" s="11">
        <v>138</v>
      </c>
      <c r="B143" s="12" t="s">
        <v>819</v>
      </c>
      <c r="C143" s="12" t="s">
        <v>820</v>
      </c>
      <c r="D143" s="11">
        <v>2024</v>
      </c>
      <c r="E143" s="12" t="s">
        <v>554</v>
      </c>
      <c r="F143" s="12" t="s">
        <v>730</v>
      </c>
      <c r="G143" s="11" t="s">
        <v>136</v>
      </c>
      <c r="H143" s="11" t="s">
        <v>136</v>
      </c>
      <c r="I143" s="11" t="s">
        <v>136</v>
      </c>
      <c r="J143" s="12"/>
      <c r="K143" s="14" t="str">
        <f t="shared" si="2"/>
        <v>YES</v>
      </c>
      <c r="L143" s="12" t="s">
        <v>122</v>
      </c>
      <c r="M143" s="12"/>
      <c r="N143" s="12" t="s">
        <v>821</v>
      </c>
      <c r="O143" s="12" t="s">
        <v>822</v>
      </c>
    </row>
    <row r="144" spans="1:15" ht="29" customHeight="1" x14ac:dyDescent="0.35">
      <c r="A144" s="11">
        <v>139</v>
      </c>
      <c r="B144" s="12" t="s">
        <v>823</v>
      </c>
      <c r="C144" s="12" t="s">
        <v>824</v>
      </c>
      <c r="D144" s="11">
        <v>2024</v>
      </c>
      <c r="E144" s="12" t="s">
        <v>369</v>
      </c>
      <c r="F144" s="12" t="s">
        <v>730</v>
      </c>
      <c r="G144" s="11" t="s">
        <v>121</v>
      </c>
      <c r="H144" s="11"/>
      <c r="I144" s="11"/>
      <c r="J144" s="12"/>
      <c r="K144" s="14" t="str">
        <f t="shared" si="2"/>
        <v>NO</v>
      </c>
      <c r="L144" s="12" t="s">
        <v>122</v>
      </c>
      <c r="M144" s="12" t="s">
        <v>825</v>
      </c>
      <c r="N144" s="12" t="s">
        <v>826</v>
      </c>
      <c r="O144" s="12" t="s">
        <v>827</v>
      </c>
    </row>
    <row r="145" spans="1:15" ht="41.5" customHeight="1" x14ac:dyDescent="0.35">
      <c r="A145" s="11">
        <v>140</v>
      </c>
      <c r="B145" s="12" t="s">
        <v>828</v>
      </c>
      <c r="C145" s="12" t="s">
        <v>829</v>
      </c>
      <c r="D145" s="11">
        <v>2025</v>
      </c>
      <c r="E145" s="12" t="s">
        <v>428</v>
      </c>
      <c r="F145" s="12" t="s">
        <v>730</v>
      </c>
      <c r="G145" s="11" t="s">
        <v>121</v>
      </c>
      <c r="H145" s="11"/>
      <c r="I145" s="11"/>
      <c r="J145" s="12"/>
      <c r="K145" s="14" t="str">
        <f t="shared" si="2"/>
        <v>NO</v>
      </c>
      <c r="L145" s="12" t="s">
        <v>122</v>
      </c>
      <c r="M145" s="12" t="s">
        <v>830</v>
      </c>
      <c r="N145" s="12" t="s">
        <v>831</v>
      </c>
      <c r="O145" s="12" t="s">
        <v>832</v>
      </c>
    </row>
    <row r="146" spans="1:15" ht="29" customHeight="1" x14ac:dyDescent="0.35">
      <c r="A146" s="11">
        <v>141</v>
      </c>
      <c r="B146" s="12" t="s">
        <v>833</v>
      </c>
      <c r="C146" s="12" t="s">
        <v>834</v>
      </c>
      <c r="D146" s="11">
        <v>2025</v>
      </c>
      <c r="E146" s="12" t="s">
        <v>835</v>
      </c>
      <c r="F146" s="12" t="s">
        <v>730</v>
      </c>
      <c r="G146" s="11" t="s">
        <v>136</v>
      </c>
      <c r="H146" s="11" t="s">
        <v>136</v>
      </c>
      <c r="I146" s="11" t="s">
        <v>136</v>
      </c>
      <c r="J146" s="12"/>
      <c r="K146" s="14" t="str">
        <f t="shared" si="2"/>
        <v>YES</v>
      </c>
      <c r="L146" s="12" t="s">
        <v>122</v>
      </c>
      <c r="M146" s="12"/>
      <c r="N146" s="12" t="s">
        <v>836</v>
      </c>
      <c r="O146" s="12" t="s">
        <v>837</v>
      </c>
    </row>
    <row r="147" spans="1:15" ht="104" customHeight="1" x14ac:dyDescent="0.35">
      <c r="A147" s="11">
        <v>142</v>
      </c>
      <c r="B147" s="12" t="s">
        <v>838</v>
      </c>
      <c r="C147" s="12" t="s">
        <v>839</v>
      </c>
      <c r="D147" s="11">
        <v>2025</v>
      </c>
      <c r="E147" s="12" t="s">
        <v>394</v>
      </c>
      <c r="F147" s="12" t="s">
        <v>730</v>
      </c>
      <c r="G147" s="11" t="s">
        <v>121</v>
      </c>
      <c r="H147" s="11"/>
      <c r="I147" s="11"/>
      <c r="J147" s="12"/>
      <c r="K147" s="14" t="str">
        <f t="shared" si="2"/>
        <v>NO</v>
      </c>
      <c r="L147" s="12" t="s">
        <v>122</v>
      </c>
      <c r="M147" s="12" t="s">
        <v>840</v>
      </c>
      <c r="N147" s="12" t="s">
        <v>841</v>
      </c>
      <c r="O147" s="12" t="s">
        <v>842</v>
      </c>
    </row>
    <row r="148" spans="1:15" ht="41.5" customHeight="1" x14ac:dyDescent="0.35">
      <c r="A148" s="11">
        <v>143</v>
      </c>
      <c r="B148" s="12" t="s">
        <v>843</v>
      </c>
      <c r="C148" s="12" t="s">
        <v>844</v>
      </c>
      <c r="D148" s="11">
        <v>2025</v>
      </c>
      <c r="E148" s="12" t="s">
        <v>845</v>
      </c>
      <c r="F148" s="12" t="s">
        <v>730</v>
      </c>
      <c r="G148" s="11" t="s">
        <v>136</v>
      </c>
      <c r="H148" s="11" t="s">
        <v>136</v>
      </c>
      <c r="I148" s="11" t="s">
        <v>136</v>
      </c>
      <c r="J148" s="12"/>
      <c r="K148" s="14" t="str">
        <f t="shared" si="2"/>
        <v>YES</v>
      </c>
      <c r="L148" s="12" t="s">
        <v>122</v>
      </c>
      <c r="M148" s="12"/>
      <c r="N148" s="12" t="s">
        <v>846</v>
      </c>
      <c r="O148" s="12" t="s">
        <v>847</v>
      </c>
    </row>
    <row r="149" spans="1:15" ht="29" customHeight="1" x14ac:dyDescent="0.35">
      <c r="A149" s="11">
        <v>144</v>
      </c>
      <c r="B149" s="12" t="s">
        <v>848</v>
      </c>
      <c r="C149" s="12" t="s">
        <v>849</v>
      </c>
      <c r="D149" s="11">
        <v>2025</v>
      </c>
      <c r="E149" s="12" t="s">
        <v>835</v>
      </c>
      <c r="F149" s="12" t="s">
        <v>730</v>
      </c>
      <c r="G149" s="11" t="s">
        <v>136</v>
      </c>
      <c r="H149" s="11" t="s">
        <v>136</v>
      </c>
      <c r="I149" s="11" t="s">
        <v>136</v>
      </c>
      <c r="J149" s="12"/>
      <c r="K149" s="14" t="str">
        <f t="shared" si="2"/>
        <v>YES</v>
      </c>
      <c r="L149" s="12" t="s">
        <v>122</v>
      </c>
      <c r="M149" s="12"/>
      <c r="N149" s="12" t="s">
        <v>850</v>
      </c>
      <c r="O149" s="12" t="s">
        <v>851</v>
      </c>
    </row>
    <row r="150" spans="1:15" ht="41.5" customHeight="1" x14ac:dyDescent="0.35">
      <c r="A150" s="11">
        <v>145</v>
      </c>
      <c r="B150" s="12" t="s">
        <v>852</v>
      </c>
      <c r="C150" s="12" t="s">
        <v>853</v>
      </c>
      <c r="D150" s="11">
        <v>2022</v>
      </c>
      <c r="E150" s="12" t="s">
        <v>854</v>
      </c>
      <c r="F150" s="12" t="s">
        <v>855</v>
      </c>
      <c r="G150" s="11" t="s">
        <v>136</v>
      </c>
      <c r="H150" s="11" t="s">
        <v>136</v>
      </c>
      <c r="I150" s="11" t="s">
        <v>136</v>
      </c>
      <c r="J150" s="12"/>
      <c r="K150" s="14" t="str">
        <f t="shared" si="2"/>
        <v>YES</v>
      </c>
      <c r="L150" s="12" t="s">
        <v>122</v>
      </c>
      <c r="M150" s="12" t="s">
        <v>856</v>
      </c>
      <c r="N150" s="12" t="s">
        <v>857</v>
      </c>
      <c r="O150" s="12" t="s">
        <v>858</v>
      </c>
    </row>
    <row r="151" spans="1:15" ht="24" customHeight="1" x14ac:dyDescent="0.35">
      <c r="A151" s="11">
        <v>146</v>
      </c>
      <c r="B151" s="12" t="s">
        <v>859</v>
      </c>
      <c r="C151" s="12" t="s">
        <v>860</v>
      </c>
      <c r="D151" s="11">
        <v>2023</v>
      </c>
      <c r="E151" s="12" t="s">
        <v>545</v>
      </c>
      <c r="F151" s="12" t="s">
        <v>855</v>
      </c>
      <c r="G151" s="11" t="s">
        <v>136</v>
      </c>
      <c r="H151" s="11" t="s">
        <v>136</v>
      </c>
      <c r="I151" s="11" t="s">
        <v>136</v>
      </c>
      <c r="J151" s="12"/>
      <c r="K151" s="14" t="str">
        <f t="shared" si="2"/>
        <v>YES</v>
      </c>
      <c r="L151" s="12" t="s">
        <v>122</v>
      </c>
      <c r="M151" s="12"/>
      <c r="N151" s="12" t="s">
        <v>861</v>
      </c>
      <c r="O151" s="12" t="s">
        <v>862</v>
      </c>
    </row>
    <row r="152" spans="1:15" ht="24" customHeight="1" x14ac:dyDescent="0.35">
      <c r="A152" s="11">
        <v>147</v>
      </c>
      <c r="B152" s="12" t="s">
        <v>863</v>
      </c>
      <c r="C152" s="12" t="s">
        <v>864</v>
      </c>
      <c r="D152" s="11">
        <v>2019</v>
      </c>
      <c r="E152" s="12" t="s">
        <v>221</v>
      </c>
      <c r="F152" s="12" t="s">
        <v>855</v>
      </c>
      <c r="G152" s="11" t="s">
        <v>121</v>
      </c>
      <c r="H152" s="11"/>
      <c r="I152" s="11"/>
      <c r="J152" s="12"/>
      <c r="K152" s="14" t="str">
        <f t="shared" si="2"/>
        <v>NO</v>
      </c>
      <c r="L152" s="12" t="s">
        <v>122</v>
      </c>
      <c r="M152" s="12" t="s">
        <v>865</v>
      </c>
      <c r="N152" s="12" t="s">
        <v>866</v>
      </c>
      <c r="O152" s="12" t="s">
        <v>867</v>
      </c>
    </row>
    <row r="153" spans="1:15" ht="29" customHeight="1" x14ac:dyDescent="0.35">
      <c r="A153" s="11">
        <v>148</v>
      </c>
      <c r="B153" s="12" t="s">
        <v>868</v>
      </c>
      <c r="C153" s="12" t="s">
        <v>869</v>
      </c>
      <c r="D153" s="11">
        <v>2023</v>
      </c>
      <c r="E153" s="12" t="s">
        <v>870</v>
      </c>
      <c r="F153" s="12" t="s">
        <v>855</v>
      </c>
      <c r="G153" s="11" t="s">
        <v>121</v>
      </c>
      <c r="H153" s="11"/>
      <c r="I153" s="11"/>
      <c r="J153" s="12"/>
      <c r="K153" s="14" t="str">
        <f t="shared" si="2"/>
        <v>NO</v>
      </c>
      <c r="L153" s="12" t="s">
        <v>122</v>
      </c>
      <c r="M153" s="12" t="s">
        <v>871</v>
      </c>
      <c r="N153" s="12" t="s">
        <v>872</v>
      </c>
      <c r="O153" s="12" t="s">
        <v>873</v>
      </c>
    </row>
    <row r="154" spans="1:15" ht="29" customHeight="1" x14ac:dyDescent="0.35">
      <c r="A154" s="11">
        <v>149</v>
      </c>
      <c r="B154" s="12" t="s">
        <v>874</v>
      </c>
      <c r="C154" s="12" t="s">
        <v>875</v>
      </c>
      <c r="D154" s="11">
        <v>2023</v>
      </c>
      <c r="E154" s="12" t="s">
        <v>369</v>
      </c>
      <c r="F154" s="12" t="s">
        <v>855</v>
      </c>
      <c r="G154" s="11" t="s">
        <v>121</v>
      </c>
      <c r="H154" s="11"/>
      <c r="I154" s="11"/>
      <c r="J154" s="12"/>
      <c r="K154" s="14" t="str">
        <f t="shared" si="2"/>
        <v>NO</v>
      </c>
      <c r="L154" s="12" t="s">
        <v>122</v>
      </c>
      <c r="M154" s="12" t="s">
        <v>876</v>
      </c>
      <c r="N154" s="12" t="s">
        <v>877</v>
      </c>
      <c r="O154" s="12" t="s">
        <v>878</v>
      </c>
    </row>
    <row r="155" spans="1:15" ht="41.5" customHeight="1" x14ac:dyDescent="0.35">
      <c r="A155" s="11">
        <v>150</v>
      </c>
      <c r="B155" s="12" t="s">
        <v>879</v>
      </c>
      <c r="C155" s="12" t="s">
        <v>880</v>
      </c>
      <c r="D155" s="11">
        <v>2024</v>
      </c>
      <c r="E155" s="12" t="s">
        <v>881</v>
      </c>
      <c r="F155" s="12" t="s">
        <v>855</v>
      </c>
      <c r="G155" s="11" t="s">
        <v>121</v>
      </c>
      <c r="H155" s="11"/>
      <c r="I155" s="11"/>
      <c r="J155" s="12"/>
      <c r="K155" s="14" t="str">
        <f t="shared" si="2"/>
        <v>NO</v>
      </c>
      <c r="L155" s="12" t="s">
        <v>122</v>
      </c>
      <c r="M155" s="12" t="s">
        <v>871</v>
      </c>
      <c r="N155" s="12" t="s">
        <v>882</v>
      </c>
      <c r="O155" s="12" t="s">
        <v>883</v>
      </c>
    </row>
    <row r="156" spans="1:15" ht="29" customHeight="1" x14ac:dyDescent="0.35">
      <c r="A156" s="11">
        <v>151</v>
      </c>
      <c r="B156" s="12" t="s">
        <v>884</v>
      </c>
      <c r="C156" s="12" t="s">
        <v>885</v>
      </c>
      <c r="D156" s="11">
        <v>2025</v>
      </c>
      <c r="E156" s="12" t="s">
        <v>886</v>
      </c>
      <c r="F156" s="12" t="s">
        <v>855</v>
      </c>
      <c r="G156" s="11" t="s">
        <v>136</v>
      </c>
      <c r="H156" s="11" t="s">
        <v>136</v>
      </c>
      <c r="I156" s="11" t="s">
        <v>136</v>
      </c>
      <c r="J156" s="12"/>
      <c r="K156" s="14" t="str">
        <f t="shared" si="2"/>
        <v>YES</v>
      </c>
      <c r="L156" s="12" t="s">
        <v>122</v>
      </c>
      <c r="M156" s="12"/>
      <c r="N156" s="12" t="s">
        <v>887</v>
      </c>
      <c r="O156" s="12" t="s">
        <v>888</v>
      </c>
    </row>
    <row r="157" spans="1:15" ht="29" customHeight="1" x14ac:dyDescent="0.35">
      <c r="A157" s="11">
        <v>152</v>
      </c>
      <c r="B157" s="12" t="s">
        <v>889</v>
      </c>
      <c r="C157" s="12" t="s">
        <v>890</v>
      </c>
      <c r="D157" s="11">
        <v>2024</v>
      </c>
      <c r="E157" s="12" t="s">
        <v>147</v>
      </c>
      <c r="F157" s="12" t="s">
        <v>855</v>
      </c>
      <c r="G157" s="11" t="s">
        <v>136</v>
      </c>
      <c r="H157" s="11" t="s">
        <v>136</v>
      </c>
      <c r="I157" s="11" t="s">
        <v>121</v>
      </c>
      <c r="J157" s="12" t="s">
        <v>197</v>
      </c>
      <c r="K157" s="14" t="str">
        <f t="shared" si="2"/>
        <v>NO</v>
      </c>
      <c r="L157" s="12" t="s">
        <v>122</v>
      </c>
      <c r="M157" s="12" t="s">
        <v>891</v>
      </c>
      <c r="N157" s="12" t="s">
        <v>892</v>
      </c>
      <c r="O157" s="12" t="s">
        <v>893</v>
      </c>
    </row>
    <row r="158" spans="1:15" ht="54" customHeight="1" x14ac:dyDescent="0.35">
      <c r="A158" s="11">
        <v>153</v>
      </c>
      <c r="B158" s="12" t="s">
        <v>894</v>
      </c>
      <c r="C158" s="12" t="s">
        <v>895</v>
      </c>
      <c r="D158" s="11">
        <v>2024</v>
      </c>
      <c r="E158" s="12" t="s">
        <v>896</v>
      </c>
      <c r="F158" s="12" t="s">
        <v>855</v>
      </c>
      <c r="G158" s="11" t="s">
        <v>121</v>
      </c>
      <c r="H158" s="11"/>
      <c r="I158" s="11"/>
      <c r="J158" s="12"/>
      <c r="K158" s="14" t="str">
        <f t="shared" si="2"/>
        <v>NO</v>
      </c>
      <c r="L158" s="12" t="s">
        <v>122</v>
      </c>
      <c r="M158" s="12" t="s">
        <v>129</v>
      </c>
      <c r="N158" s="12" t="s">
        <v>897</v>
      </c>
      <c r="O158" s="12" t="s">
        <v>898</v>
      </c>
    </row>
    <row r="159" spans="1:15" ht="29" customHeight="1" x14ac:dyDescent="0.35">
      <c r="A159" s="11">
        <v>154</v>
      </c>
      <c r="B159" s="12" t="s">
        <v>899</v>
      </c>
      <c r="C159" s="12" t="s">
        <v>900</v>
      </c>
      <c r="D159" s="11">
        <v>2024</v>
      </c>
      <c r="E159" s="12" t="s">
        <v>901</v>
      </c>
      <c r="F159" s="12" t="s">
        <v>855</v>
      </c>
      <c r="G159" s="11" t="s">
        <v>121</v>
      </c>
      <c r="H159" s="11"/>
      <c r="I159" s="11"/>
      <c r="J159" s="12"/>
      <c r="K159" s="14" t="str">
        <f t="shared" si="2"/>
        <v>NO</v>
      </c>
      <c r="L159" s="12" t="s">
        <v>122</v>
      </c>
      <c r="M159" s="12" t="s">
        <v>902</v>
      </c>
      <c r="N159" s="12" t="s">
        <v>903</v>
      </c>
      <c r="O159" s="12" t="s">
        <v>904</v>
      </c>
    </row>
    <row r="160" spans="1:15" ht="54" customHeight="1" x14ac:dyDescent="0.35">
      <c r="A160" s="11">
        <v>155</v>
      </c>
      <c r="B160" s="12" t="s">
        <v>905</v>
      </c>
      <c r="C160" s="12" t="s">
        <v>906</v>
      </c>
      <c r="D160" s="11">
        <v>2024</v>
      </c>
      <c r="E160" s="12" t="s">
        <v>907</v>
      </c>
      <c r="F160" s="12" t="s">
        <v>855</v>
      </c>
      <c r="G160" s="11" t="s">
        <v>121</v>
      </c>
      <c r="H160" s="11"/>
      <c r="I160" s="11"/>
      <c r="J160" s="12"/>
      <c r="K160" s="14" t="str">
        <f t="shared" si="2"/>
        <v>NO</v>
      </c>
      <c r="L160" s="12" t="s">
        <v>122</v>
      </c>
      <c r="M160" s="12" t="s">
        <v>148</v>
      </c>
      <c r="N160" s="12" t="s">
        <v>908</v>
      </c>
      <c r="O160" s="12" t="s">
        <v>909</v>
      </c>
    </row>
    <row r="161" spans="1:15" ht="41.5" customHeight="1" x14ac:dyDescent="0.35">
      <c r="A161" s="11">
        <v>156</v>
      </c>
      <c r="B161" s="12" t="s">
        <v>910</v>
      </c>
      <c r="C161" s="12" t="s">
        <v>911</v>
      </c>
      <c r="D161" s="11">
        <v>2024</v>
      </c>
      <c r="E161" s="12" t="s">
        <v>293</v>
      </c>
      <c r="F161" s="12" t="s">
        <v>855</v>
      </c>
      <c r="G161" s="11" t="s">
        <v>136</v>
      </c>
      <c r="H161" s="11" t="s">
        <v>136</v>
      </c>
      <c r="I161" s="11" t="s">
        <v>136</v>
      </c>
      <c r="J161" s="12"/>
      <c r="K161" s="14" t="str">
        <f t="shared" si="2"/>
        <v>YES</v>
      </c>
      <c r="L161" s="12" t="s">
        <v>122</v>
      </c>
      <c r="M161" s="12"/>
      <c r="N161" s="12" t="s">
        <v>912</v>
      </c>
      <c r="O161" s="12" t="s">
        <v>913</v>
      </c>
    </row>
    <row r="162" spans="1:15" ht="41.5" customHeight="1" x14ac:dyDescent="0.35">
      <c r="A162" s="11">
        <v>157</v>
      </c>
      <c r="B162" s="12" t="s">
        <v>914</v>
      </c>
      <c r="C162" s="12" t="s">
        <v>915</v>
      </c>
      <c r="D162" s="11">
        <v>2024</v>
      </c>
      <c r="E162" s="12" t="s">
        <v>428</v>
      </c>
      <c r="F162" s="12" t="s">
        <v>855</v>
      </c>
      <c r="G162" s="11" t="s">
        <v>121</v>
      </c>
      <c r="H162" s="11"/>
      <c r="I162" s="11"/>
      <c r="J162" s="12"/>
      <c r="K162" s="14" t="str">
        <f t="shared" si="2"/>
        <v>NO</v>
      </c>
      <c r="L162" s="12" t="s">
        <v>122</v>
      </c>
      <c r="M162" s="12" t="s">
        <v>876</v>
      </c>
      <c r="N162" s="12" t="s">
        <v>916</v>
      </c>
      <c r="O162" s="12" t="s">
        <v>917</v>
      </c>
    </row>
    <row r="163" spans="1:15" ht="29" customHeight="1" x14ac:dyDescent="0.35">
      <c r="A163" s="11">
        <v>158</v>
      </c>
      <c r="B163" s="12" t="s">
        <v>918</v>
      </c>
      <c r="C163" s="12" t="s">
        <v>919</v>
      </c>
      <c r="D163" s="11">
        <v>2024</v>
      </c>
      <c r="E163" s="12" t="s">
        <v>870</v>
      </c>
      <c r="F163" s="12" t="s">
        <v>855</v>
      </c>
      <c r="G163" s="11" t="s">
        <v>121</v>
      </c>
      <c r="H163" s="11"/>
      <c r="I163" s="11"/>
      <c r="J163" s="12"/>
      <c r="K163" s="14" t="str">
        <f t="shared" si="2"/>
        <v>NO</v>
      </c>
      <c r="L163" s="12" t="s">
        <v>122</v>
      </c>
      <c r="M163" s="12" t="s">
        <v>871</v>
      </c>
      <c r="N163" s="12" t="s">
        <v>920</v>
      </c>
      <c r="O163" s="12" t="s">
        <v>921</v>
      </c>
    </row>
    <row r="164" spans="1:15" ht="41.5" customHeight="1" x14ac:dyDescent="0.35">
      <c r="A164" s="11">
        <v>159</v>
      </c>
      <c r="B164" s="12" t="s">
        <v>922</v>
      </c>
      <c r="C164" s="12" t="s">
        <v>923</v>
      </c>
      <c r="D164" s="11">
        <v>2024</v>
      </c>
      <c r="E164" s="12" t="s">
        <v>924</v>
      </c>
      <c r="F164" s="12" t="s">
        <v>855</v>
      </c>
      <c r="G164" s="11" t="s">
        <v>121</v>
      </c>
      <c r="H164" s="11"/>
      <c r="I164" s="11"/>
      <c r="J164" s="12"/>
      <c r="K164" s="14" t="str">
        <f t="shared" si="2"/>
        <v>NO</v>
      </c>
      <c r="L164" s="12" t="s">
        <v>122</v>
      </c>
      <c r="M164" s="12" t="s">
        <v>925</v>
      </c>
      <c r="N164" s="12" t="s">
        <v>926</v>
      </c>
      <c r="O164" s="12" t="s">
        <v>927</v>
      </c>
    </row>
    <row r="165" spans="1:15" ht="29" customHeight="1" x14ac:dyDescent="0.35">
      <c r="A165" s="11">
        <v>160</v>
      </c>
      <c r="B165" s="12" t="s">
        <v>928</v>
      </c>
      <c r="C165" s="12" t="s">
        <v>929</v>
      </c>
      <c r="D165" s="11">
        <v>2024</v>
      </c>
      <c r="E165" s="12" t="s">
        <v>930</v>
      </c>
      <c r="F165" s="12" t="s">
        <v>855</v>
      </c>
      <c r="G165" s="11" t="s">
        <v>121</v>
      </c>
      <c r="H165" s="11"/>
      <c r="I165" s="11"/>
      <c r="J165" s="12"/>
      <c r="K165" s="14" t="str">
        <f t="shared" si="2"/>
        <v>NO</v>
      </c>
      <c r="L165" s="12" t="s">
        <v>122</v>
      </c>
      <c r="M165" s="12" t="s">
        <v>931</v>
      </c>
      <c r="N165" s="12" t="s">
        <v>932</v>
      </c>
      <c r="O165" s="12" t="s">
        <v>933</v>
      </c>
    </row>
    <row r="166" spans="1:15" ht="41.5" customHeight="1" x14ac:dyDescent="0.35">
      <c r="A166" s="11">
        <v>161</v>
      </c>
      <c r="B166" s="12" t="s">
        <v>934</v>
      </c>
      <c r="C166" s="12" t="s">
        <v>935</v>
      </c>
      <c r="D166" s="11">
        <v>2025</v>
      </c>
      <c r="E166" s="12" t="s">
        <v>936</v>
      </c>
      <c r="F166" s="12" t="s">
        <v>855</v>
      </c>
      <c r="G166" s="11" t="s">
        <v>136</v>
      </c>
      <c r="H166" s="11" t="s">
        <v>136</v>
      </c>
      <c r="I166" s="11" t="s">
        <v>136</v>
      </c>
      <c r="J166" s="12"/>
      <c r="K166" s="14" t="str">
        <f t="shared" si="2"/>
        <v>YES</v>
      </c>
      <c r="L166" s="12" t="s">
        <v>122</v>
      </c>
      <c r="M166" s="12"/>
      <c r="N166" s="12" t="s">
        <v>937</v>
      </c>
      <c r="O166" s="12" t="s">
        <v>938</v>
      </c>
    </row>
    <row r="167" spans="1:15" ht="41.5" customHeight="1" x14ac:dyDescent="0.35">
      <c r="A167" s="11">
        <v>162</v>
      </c>
      <c r="B167" s="12" t="s">
        <v>939</v>
      </c>
      <c r="C167" s="12" t="s">
        <v>940</v>
      </c>
      <c r="D167" s="11">
        <v>2024</v>
      </c>
      <c r="E167" s="12" t="s">
        <v>941</v>
      </c>
      <c r="F167" s="12" t="s">
        <v>855</v>
      </c>
      <c r="G167" s="11" t="s">
        <v>121</v>
      </c>
      <c r="H167" s="11"/>
      <c r="I167" s="11"/>
      <c r="J167" s="12"/>
      <c r="K167" s="14" t="str">
        <f t="shared" si="2"/>
        <v>NO</v>
      </c>
      <c r="L167" s="12" t="s">
        <v>122</v>
      </c>
      <c r="M167" s="12" t="s">
        <v>803</v>
      </c>
      <c r="N167" s="12" t="s">
        <v>942</v>
      </c>
      <c r="O167" s="12" t="s">
        <v>943</v>
      </c>
    </row>
    <row r="168" spans="1:15" ht="29" customHeight="1" x14ac:dyDescent="0.35">
      <c r="A168" s="11">
        <v>163</v>
      </c>
      <c r="B168" s="12" t="s">
        <v>944</v>
      </c>
      <c r="C168" s="12" t="s">
        <v>945</v>
      </c>
      <c r="D168" s="11">
        <v>2024</v>
      </c>
      <c r="E168" s="12" t="s">
        <v>147</v>
      </c>
      <c r="F168" s="12" t="s">
        <v>855</v>
      </c>
      <c r="G168" s="11" t="s">
        <v>136</v>
      </c>
      <c r="H168" s="11" t="s">
        <v>136</v>
      </c>
      <c r="I168" s="11" t="s">
        <v>121</v>
      </c>
      <c r="J168" s="12" t="s">
        <v>197</v>
      </c>
      <c r="K168" s="14" t="str">
        <f t="shared" si="2"/>
        <v>NO</v>
      </c>
      <c r="L168" s="12" t="s">
        <v>122</v>
      </c>
      <c r="M168" s="12" t="s">
        <v>891</v>
      </c>
      <c r="N168" s="12" t="s">
        <v>946</v>
      </c>
      <c r="O168" s="12" t="s">
        <v>947</v>
      </c>
    </row>
    <row r="169" spans="1:15" ht="29" customHeight="1" x14ac:dyDescent="0.35">
      <c r="A169" s="11">
        <v>164</v>
      </c>
      <c r="B169" s="12" t="s">
        <v>948</v>
      </c>
      <c r="C169" s="12" t="s">
        <v>949</v>
      </c>
      <c r="D169" s="11">
        <v>2023</v>
      </c>
      <c r="E169" s="12" t="s">
        <v>559</v>
      </c>
      <c r="F169" s="12" t="s">
        <v>855</v>
      </c>
      <c r="G169" s="11" t="s">
        <v>136</v>
      </c>
      <c r="H169" s="11" t="s">
        <v>136</v>
      </c>
      <c r="I169" s="11" t="s">
        <v>136</v>
      </c>
      <c r="J169" s="12"/>
      <c r="K169" s="14" t="str">
        <f t="shared" si="2"/>
        <v>YES</v>
      </c>
      <c r="L169" s="12" t="s">
        <v>122</v>
      </c>
      <c r="M169" s="12"/>
      <c r="N169" s="12" t="s">
        <v>950</v>
      </c>
      <c r="O169" s="12" t="s">
        <v>951</v>
      </c>
    </row>
    <row r="170" spans="1:15" ht="29" customHeight="1" x14ac:dyDescent="0.35">
      <c r="A170" s="11">
        <v>165</v>
      </c>
      <c r="B170" s="12" t="s">
        <v>952</v>
      </c>
      <c r="C170" s="12" t="s">
        <v>953</v>
      </c>
      <c r="D170" s="11">
        <v>2025</v>
      </c>
      <c r="E170" s="12" t="s">
        <v>954</v>
      </c>
      <c r="F170" s="12" t="s">
        <v>855</v>
      </c>
      <c r="G170" s="11" t="s">
        <v>121</v>
      </c>
      <c r="H170" s="11"/>
      <c r="I170" s="11"/>
      <c r="J170" s="12"/>
      <c r="K170" s="14" t="str">
        <f t="shared" si="2"/>
        <v>NO</v>
      </c>
      <c r="L170" s="12" t="s">
        <v>122</v>
      </c>
      <c r="M170" s="12" t="s">
        <v>148</v>
      </c>
      <c r="N170" s="12" t="s">
        <v>955</v>
      </c>
      <c r="O170" s="12" t="s">
        <v>956</v>
      </c>
    </row>
    <row r="171" spans="1:15" ht="29" customHeight="1" x14ac:dyDescent="0.35">
      <c r="A171" s="11">
        <v>166</v>
      </c>
      <c r="B171" s="12" t="s">
        <v>957</v>
      </c>
      <c r="C171" s="12" t="s">
        <v>958</v>
      </c>
      <c r="D171" s="11">
        <v>2024</v>
      </c>
      <c r="E171" s="12" t="s">
        <v>147</v>
      </c>
      <c r="F171" s="12" t="s">
        <v>855</v>
      </c>
      <c r="G171" s="11" t="s">
        <v>121</v>
      </c>
      <c r="H171" s="11"/>
      <c r="I171" s="11"/>
      <c r="J171" s="12"/>
      <c r="K171" s="14" t="str">
        <f t="shared" si="2"/>
        <v>NO</v>
      </c>
      <c r="L171" s="12" t="s">
        <v>122</v>
      </c>
      <c r="M171" s="12" t="s">
        <v>959</v>
      </c>
      <c r="N171" s="12" t="s">
        <v>960</v>
      </c>
      <c r="O171" s="12" t="s">
        <v>961</v>
      </c>
    </row>
    <row r="172" spans="1:15" ht="41.5" customHeight="1" x14ac:dyDescent="0.35">
      <c r="A172" s="11">
        <v>167</v>
      </c>
      <c r="B172" s="12" t="s">
        <v>962</v>
      </c>
      <c r="C172" s="12" t="s">
        <v>963</v>
      </c>
      <c r="D172" s="11">
        <v>2024</v>
      </c>
      <c r="E172" s="12" t="s">
        <v>964</v>
      </c>
      <c r="F172" s="12" t="s">
        <v>855</v>
      </c>
      <c r="G172" s="11" t="s">
        <v>121</v>
      </c>
      <c r="H172" s="11"/>
      <c r="I172" s="11"/>
      <c r="J172" s="12"/>
      <c r="K172" s="14" t="str">
        <f t="shared" si="2"/>
        <v>NO</v>
      </c>
      <c r="L172" s="12" t="s">
        <v>122</v>
      </c>
      <c r="M172" s="12" t="s">
        <v>965</v>
      </c>
      <c r="N172" s="12" t="s">
        <v>966</v>
      </c>
      <c r="O172" s="12" t="s">
        <v>967</v>
      </c>
    </row>
    <row r="173" spans="1:15" ht="29" customHeight="1" x14ac:dyDescent="0.35">
      <c r="A173" s="11">
        <v>168</v>
      </c>
      <c r="B173" s="12" t="s">
        <v>968</v>
      </c>
      <c r="C173" s="12" t="s">
        <v>969</v>
      </c>
      <c r="D173" s="11">
        <v>2022</v>
      </c>
      <c r="E173" s="12" t="s">
        <v>369</v>
      </c>
      <c r="F173" s="12" t="s">
        <v>855</v>
      </c>
      <c r="G173" s="11" t="s">
        <v>121</v>
      </c>
      <c r="H173" s="11"/>
      <c r="I173" s="11"/>
      <c r="J173" s="12"/>
      <c r="K173" s="14" t="str">
        <f t="shared" si="2"/>
        <v>NO</v>
      </c>
      <c r="L173" s="12" t="s">
        <v>122</v>
      </c>
      <c r="M173" s="12" t="s">
        <v>970</v>
      </c>
      <c r="N173" s="12" t="s">
        <v>971</v>
      </c>
      <c r="O173" s="12" t="s">
        <v>972</v>
      </c>
    </row>
    <row r="174" spans="1:15" ht="54" customHeight="1" x14ac:dyDescent="0.35">
      <c r="A174" s="11">
        <v>169</v>
      </c>
      <c r="B174" s="12" t="s">
        <v>973</v>
      </c>
      <c r="C174" s="12" t="s">
        <v>974</v>
      </c>
      <c r="D174" s="11">
        <v>2024</v>
      </c>
      <c r="E174" s="12" t="s">
        <v>975</v>
      </c>
      <c r="F174" s="12" t="s">
        <v>855</v>
      </c>
      <c r="G174" s="11" t="s">
        <v>121</v>
      </c>
      <c r="H174" s="11"/>
      <c r="I174" s="11"/>
      <c r="J174" s="12"/>
      <c r="K174" s="14" t="str">
        <f t="shared" si="2"/>
        <v>NO</v>
      </c>
      <c r="L174" s="12" t="s">
        <v>122</v>
      </c>
      <c r="M174" s="12" t="s">
        <v>976</v>
      </c>
      <c r="N174" s="12" t="s">
        <v>977</v>
      </c>
      <c r="O174" s="12" t="s">
        <v>978</v>
      </c>
    </row>
    <row r="175" spans="1:15" ht="29" customHeight="1" x14ac:dyDescent="0.35">
      <c r="A175" s="11">
        <v>170</v>
      </c>
      <c r="B175" s="12" t="s">
        <v>979</v>
      </c>
      <c r="C175" s="12" t="s">
        <v>980</v>
      </c>
      <c r="D175" s="11">
        <v>2022</v>
      </c>
      <c r="E175" s="12" t="s">
        <v>147</v>
      </c>
      <c r="F175" s="12" t="s">
        <v>981</v>
      </c>
      <c r="G175" s="11" t="s">
        <v>121</v>
      </c>
      <c r="H175" s="11"/>
      <c r="I175" s="11"/>
      <c r="J175" s="12"/>
      <c r="K175" s="14" t="str">
        <f t="shared" si="2"/>
        <v>NO</v>
      </c>
      <c r="L175" s="12" t="s">
        <v>122</v>
      </c>
      <c r="M175" s="12" t="s">
        <v>959</v>
      </c>
      <c r="N175" s="12" t="s">
        <v>982</v>
      </c>
      <c r="O175" s="12" t="s">
        <v>983</v>
      </c>
    </row>
    <row r="176" spans="1:15" ht="41.5" customHeight="1" x14ac:dyDescent="0.35">
      <c r="A176" s="11">
        <v>171</v>
      </c>
      <c r="B176" s="12" t="s">
        <v>984</v>
      </c>
      <c r="C176" s="12" t="s">
        <v>985</v>
      </c>
      <c r="D176" s="11">
        <v>2022</v>
      </c>
      <c r="E176" s="12" t="s">
        <v>591</v>
      </c>
      <c r="F176" s="12" t="s">
        <v>981</v>
      </c>
      <c r="G176" s="11" t="s">
        <v>121</v>
      </c>
      <c r="H176" s="11"/>
      <c r="I176" s="11"/>
      <c r="J176" s="12"/>
      <c r="K176" s="14" t="str">
        <f t="shared" si="2"/>
        <v>NO</v>
      </c>
      <c r="L176" s="12" t="s">
        <v>122</v>
      </c>
      <c r="M176" s="12" t="s">
        <v>986</v>
      </c>
      <c r="N176" s="12" t="s">
        <v>987</v>
      </c>
      <c r="O176" s="12" t="s">
        <v>988</v>
      </c>
    </row>
    <row r="177" spans="1:15" ht="29" customHeight="1" x14ac:dyDescent="0.35">
      <c r="A177" s="11">
        <v>172</v>
      </c>
      <c r="B177" s="12" t="s">
        <v>989</v>
      </c>
      <c r="C177" s="12" t="s">
        <v>990</v>
      </c>
      <c r="D177" s="11">
        <v>2024</v>
      </c>
      <c r="E177" s="12" t="s">
        <v>369</v>
      </c>
      <c r="F177" s="12" t="s">
        <v>981</v>
      </c>
      <c r="G177" s="11" t="s">
        <v>121</v>
      </c>
      <c r="H177" s="11"/>
      <c r="I177" s="11"/>
      <c r="J177" s="12"/>
      <c r="K177" s="14" t="str">
        <f t="shared" si="2"/>
        <v>NO</v>
      </c>
      <c r="L177" s="12" t="s">
        <v>122</v>
      </c>
      <c r="M177" s="12" t="s">
        <v>991</v>
      </c>
      <c r="N177" s="12" t="s">
        <v>992</v>
      </c>
      <c r="O177" s="12" t="s">
        <v>993</v>
      </c>
    </row>
    <row r="178" spans="1:15" ht="29" customHeight="1" x14ac:dyDescent="0.35">
      <c r="A178" s="11">
        <v>173</v>
      </c>
      <c r="B178" s="12" t="s">
        <v>994</v>
      </c>
      <c r="C178" s="12" t="s">
        <v>995</v>
      </c>
      <c r="D178" s="11">
        <v>2025</v>
      </c>
      <c r="E178" s="12" t="s">
        <v>996</v>
      </c>
      <c r="F178" s="12" t="s">
        <v>981</v>
      </c>
      <c r="G178" s="11" t="s">
        <v>121</v>
      </c>
      <c r="H178" s="11"/>
      <c r="I178" s="11"/>
      <c r="J178" s="12"/>
      <c r="K178" s="14" t="str">
        <f t="shared" si="2"/>
        <v>NO</v>
      </c>
      <c r="L178" s="12" t="s">
        <v>122</v>
      </c>
      <c r="M178" s="12" t="s">
        <v>997</v>
      </c>
      <c r="N178" s="12" t="s">
        <v>998</v>
      </c>
      <c r="O178" s="12" t="s">
        <v>999</v>
      </c>
    </row>
    <row r="179" spans="1:15" ht="41.5" customHeight="1" x14ac:dyDescent="0.35">
      <c r="A179" s="11">
        <v>174</v>
      </c>
      <c r="B179" s="12" t="s">
        <v>1000</v>
      </c>
      <c r="C179" s="12" t="s">
        <v>1001</v>
      </c>
      <c r="D179" s="11">
        <v>2024</v>
      </c>
      <c r="E179" s="12" t="s">
        <v>1002</v>
      </c>
      <c r="F179" s="12" t="s">
        <v>981</v>
      </c>
      <c r="G179" s="11" t="s">
        <v>136</v>
      </c>
      <c r="H179" s="11" t="s">
        <v>136</v>
      </c>
      <c r="I179" s="11" t="s">
        <v>136</v>
      </c>
      <c r="J179" s="12"/>
      <c r="K179" s="14" t="str">
        <f t="shared" si="2"/>
        <v>YES</v>
      </c>
      <c r="L179" s="12" t="s">
        <v>122</v>
      </c>
      <c r="M179" s="12"/>
      <c r="N179" s="12" t="s">
        <v>1003</v>
      </c>
      <c r="O179" s="12" t="s">
        <v>1004</v>
      </c>
    </row>
    <row r="180" spans="1:15" ht="41.5" customHeight="1" x14ac:dyDescent="0.35">
      <c r="A180" s="11">
        <v>175</v>
      </c>
      <c r="B180" s="12" t="s">
        <v>1005</v>
      </c>
      <c r="C180" s="12" t="s">
        <v>1006</v>
      </c>
      <c r="D180" s="11">
        <v>2024</v>
      </c>
      <c r="E180" s="12" t="s">
        <v>447</v>
      </c>
      <c r="F180" s="12" t="s">
        <v>981</v>
      </c>
      <c r="G180" s="11" t="s">
        <v>136</v>
      </c>
      <c r="H180" s="11" t="s">
        <v>136</v>
      </c>
      <c r="I180" s="11" t="s">
        <v>121</v>
      </c>
      <c r="J180" s="12" t="s">
        <v>307</v>
      </c>
      <c r="K180" s="14" t="str">
        <f t="shared" si="2"/>
        <v>NO</v>
      </c>
      <c r="L180" s="12" t="s">
        <v>122</v>
      </c>
      <c r="M180" s="12" t="s">
        <v>448</v>
      </c>
      <c r="N180" s="12" t="s">
        <v>1007</v>
      </c>
      <c r="O180" s="12" t="s">
        <v>1008</v>
      </c>
    </row>
    <row r="181" spans="1:15" ht="29" customHeight="1" x14ac:dyDescent="0.35">
      <c r="A181" s="11">
        <v>176</v>
      </c>
      <c r="B181" s="12" t="s">
        <v>1009</v>
      </c>
      <c r="C181" s="12" t="s">
        <v>1010</v>
      </c>
      <c r="D181" s="11">
        <v>2023</v>
      </c>
      <c r="E181" s="12" t="s">
        <v>559</v>
      </c>
      <c r="F181" s="12" t="s">
        <v>981</v>
      </c>
      <c r="G181" s="11" t="s">
        <v>136</v>
      </c>
      <c r="H181" s="11" t="s">
        <v>136</v>
      </c>
      <c r="I181" s="11" t="s">
        <v>136</v>
      </c>
      <c r="J181" s="12"/>
      <c r="K181" s="14" t="str">
        <f t="shared" si="2"/>
        <v>YES</v>
      </c>
      <c r="L181" s="12" t="s">
        <v>122</v>
      </c>
      <c r="M181" s="12"/>
      <c r="N181" s="12" t="s">
        <v>1011</v>
      </c>
      <c r="O181" s="12" t="s">
        <v>1012</v>
      </c>
    </row>
    <row r="182" spans="1:15" ht="29" customHeight="1" x14ac:dyDescent="0.35">
      <c r="A182" s="11">
        <v>177</v>
      </c>
      <c r="B182" s="12" t="s">
        <v>1013</v>
      </c>
      <c r="C182" s="12" t="s">
        <v>1014</v>
      </c>
      <c r="D182" s="11">
        <v>2023</v>
      </c>
      <c r="E182" s="12" t="s">
        <v>1015</v>
      </c>
      <c r="F182" s="12" t="s">
        <v>981</v>
      </c>
      <c r="G182" s="11" t="s">
        <v>121</v>
      </c>
      <c r="H182" s="11"/>
      <c r="I182" s="11"/>
      <c r="J182" s="12"/>
      <c r="K182" s="14" t="str">
        <f t="shared" si="2"/>
        <v>NO</v>
      </c>
      <c r="L182" s="12" t="s">
        <v>122</v>
      </c>
      <c r="M182" s="12" t="s">
        <v>222</v>
      </c>
      <c r="N182" s="12" t="s">
        <v>1016</v>
      </c>
      <c r="O182" s="12" t="s">
        <v>1017</v>
      </c>
    </row>
    <row r="183" spans="1:15" ht="41.5" customHeight="1" x14ac:dyDescent="0.35">
      <c r="A183" s="11">
        <v>178</v>
      </c>
      <c r="B183" s="12" t="s">
        <v>1018</v>
      </c>
      <c r="C183" s="12" t="s">
        <v>1019</v>
      </c>
      <c r="D183" s="11">
        <v>2024</v>
      </c>
      <c r="E183" s="12" t="s">
        <v>1020</v>
      </c>
      <c r="F183" s="12" t="s">
        <v>981</v>
      </c>
      <c r="G183" s="11" t="s">
        <v>136</v>
      </c>
      <c r="H183" s="11" t="s">
        <v>136</v>
      </c>
      <c r="I183" s="11" t="s">
        <v>136</v>
      </c>
      <c r="J183" s="12"/>
      <c r="K183" s="14" t="str">
        <f t="shared" si="2"/>
        <v>YES</v>
      </c>
      <c r="L183" s="12" t="s">
        <v>122</v>
      </c>
      <c r="M183" s="12"/>
      <c r="N183" s="12" t="s">
        <v>1021</v>
      </c>
      <c r="O183" s="12" t="s">
        <v>1022</v>
      </c>
    </row>
    <row r="184" spans="1:15" ht="41.5" customHeight="1" x14ac:dyDescent="0.35">
      <c r="A184" s="11">
        <v>179</v>
      </c>
      <c r="B184" s="12" t="s">
        <v>1023</v>
      </c>
      <c r="C184" s="12" t="s">
        <v>1024</v>
      </c>
      <c r="D184" s="11">
        <v>2023</v>
      </c>
      <c r="E184" s="12" t="s">
        <v>591</v>
      </c>
      <c r="F184" s="12" t="s">
        <v>981</v>
      </c>
      <c r="G184" s="11" t="s">
        <v>121</v>
      </c>
      <c r="H184" s="11"/>
      <c r="I184" s="11"/>
      <c r="J184" s="12"/>
      <c r="K184" s="14" t="str">
        <f t="shared" si="2"/>
        <v>NO</v>
      </c>
      <c r="L184" s="12" t="s">
        <v>122</v>
      </c>
      <c r="M184" s="12" t="s">
        <v>1025</v>
      </c>
      <c r="N184" s="12" t="s">
        <v>1026</v>
      </c>
      <c r="O184" s="12" t="s">
        <v>1027</v>
      </c>
    </row>
    <row r="185" spans="1:15" ht="29" customHeight="1" x14ac:dyDescent="0.35">
      <c r="A185" s="11">
        <v>180</v>
      </c>
      <c r="B185" s="12" t="s">
        <v>1028</v>
      </c>
      <c r="C185" s="12" t="s">
        <v>1029</v>
      </c>
      <c r="D185" s="11">
        <v>2024</v>
      </c>
      <c r="E185" s="12" t="s">
        <v>1030</v>
      </c>
      <c r="F185" s="12" t="s">
        <v>981</v>
      </c>
      <c r="G185" s="11" t="s">
        <v>121</v>
      </c>
      <c r="H185" s="11"/>
      <c r="I185" s="11"/>
      <c r="J185" s="12"/>
      <c r="K185" s="14" t="str">
        <f t="shared" si="2"/>
        <v>NO</v>
      </c>
      <c r="L185" s="12" t="s">
        <v>122</v>
      </c>
      <c r="M185" s="12" t="s">
        <v>1031</v>
      </c>
      <c r="N185" s="12" t="s">
        <v>1032</v>
      </c>
      <c r="O185" s="12" t="s">
        <v>1033</v>
      </c>
    </row>
    <row r="186" spans="1:15" ht="29" customHeight="1" x14ac:dyDescent="0.35">
      <c r="A186" s="11">
        <v>181</v>
      </c>
      <c r="B186" s="12" t="s">
        <v>1034</v>
      </c>
      <c r="C186" s="12" t="s">
        <v>1035</v>
      </c>
      <c r="D186" s="11">
        <v>2022</v>
      </c>
      <c r="E186" s="12" t="s">
        <v>369</v>
      </c>
      <c r="F186" s="12" t="s">
        <v>981</v>
      </c>
      <c r="G186" s="11" t="s">
        <v>136</v>
      </c>
      <c r="H186" s="11" t="s">
        <v>121</v>
      </c>
      <c r="I186" s="11"/>
      <c r="J186" s="12"/>
      <c r="K186" s="14" t="str">
        <f t="shared" si="2"/>
        <v>NO</v>
      </c>
      <c r="L186" s="12" t="s">
        <v>122</v>
      </c>
      <c r="M186" s="12" t="s">
        <v>1036</v>
      </c>
      <c r="N186" s="12" t="s">
        <v>1037</v>
      </c>
      <c r="O186" s="12" t="s">
        <v>1038</v>
      </c>
    </row>
    <row r="187" spans="1:15" ht="41.5" customHeight="1" x14ac:dyDescent="0.35">
      <c r="A187" s="11">
        <v>182</v>
      </c>
      <c r="B187" s="12" t="s">
        <v>1039</v>
      </c>
      <c r="C187" s="12" t="s">
        <v>1040</v>
      </c>
      <c r="D187" s="11">
        <v>2022</v>
      </c>
      <c r="E187" s="12" t="s">
        <v>591</v>
      </c>
      <c r="F187" s="12" t="s">
        <v>981</v>
      </c>
      <c r="G187" s="11" t="s">
        <v>121</v>
      </c>
      <c r="H187" s="11"/>
      <c r="I187" s="11"/>
      <c r="J187" s="12"/>
      <c r="K187" s="14" t="str">
        <f t="shared" si="2"/>
        <v>NO</v>
      </c>
      <c r="L187" s="12" t="s">
        <v>122</v>
      </c>
      <c r="M187" s="12" t="s">
        <v>735</v>
      </c>
      <c r="N187" s="12" t="s">
        <v>1041</v>
      </c>
      <c r="O187" s="12" t="s">
        <v>1042</v>
      </c>
    </row>
    <row r="188" spans="1:15" ht="29" customHeight="1" x14ac:dyDescent="0.35">
      <c r="A188" s="11">
        <v>183</v>
      </c>
      <c r="B188" s="12" t="s">
        <v>1043</v>
      </c>
      <c r="C188" s="12" t="s">
        <v>1044</v>
      </c>
      <c r="D188" s="11">
        <v>2018</v>
      </c>
      <c r="E188" s="12" t="s">
        <v>147</v>
      </c>
      <c r="F188" s="12" t="s">
        <v>981</v>
      </c>
      <c r="G188" s="11" t="s">
        <v>121</v>
      </c>
      <c r="H188" s="11"/>
      <c r="I188" s="11"/>
      <c r="J188" s="12"/>
      <c r="K188" s="14" t="str">
        <f t="shared" si="2"/>
        <v>NO</v>
      </c>
      <c r="L188" s="12" t="s">
        <v>122</v>
      </c>
      <c r="M188" s="12" t="s">
        <v>1045</v>
      </c>
      <c r="N188" s="12" t="s">
        <v>1046</v>
      </c>
      <c r="O188" s="12" t="s">
        <v>1047</v>
      </c>
    </row>
    <row r="189" spans="1:15" ht="41.5" customHeight="1" x14ac:dyDescent="0.35">
      <c r="A189" s="11">
        <v>184</v>
      </c>
      <c r="B189" s="12" t="s">
        <v>1048</v>
      </c>
      <c r="C189" s="12" t="s">
        <v>1049</v>
      </c>
      <c r="D189" s="11">
        <v>2024</v>
      </c>
      <c r="E189" s="12" t="s">
        <v>1050</v>
      </c>
      <c r="F189" s="12" t="s">
        <v>981</v>
      </c>
      <c r="G189" s="11" t="s">
        <v>121</v>
      </c>
      <c r="H189" s="11"/>
      <c r="I189" s="11"/>
      <c r="J189" s="12"/>
      <c r="K189" s="14" t="str">
        <f t="shared" si="2"/>
        <v>NO</v>
      </c>
      <c r="L189" s="12" t="s">
        <v>122</v>
      </c>
      <c r="M189" s="12" t="s">
        <v>142</v>
      </c>
      <c r="N189" s="12" t="s">
        <v>1051</v>
      </c>
      <c r="O189" s="12" t="s">
        <v>1052</v>
      </c>
    </row>
    <row r="190" spans="1:15" ht="54" customHeight="1" x14ac:dyDescent="0.35">
      <c r="A190" s="11">
        <v>185</v>
      </c>
      <c r="B190" s="12" t="s">
        <v>1053</v>
      </c>
      <c r="C190" s="12" t="s">
        <v>1054</v>
      </c>
      <c r="D190" s="11">
        <v>2023</v>
      </c>
      <c r="E190" s="12" t="s">
        <v>1055</v>
      </c>
      <c r="F190" s="12" t="s">
        <v>981</v>
      </c>
      <c r="G190" s="11" t="s">
        <v>121</v>
      </c>
      <c r="H190" s="11"/>
      <c r="I190" s="11"/>
      <c r="J190" s="12"/>
      <c r="K190" s="14" t="str">
        <f t="shared" si="2"/>
        <v>NO</v>
      </c>
      <c r="L190" s="12" t="s">
        <v>122</v>
      </c>
      <c r="M190" s="12" t="s">
        <v>959</v>
      </c>
      <c r="N190" s="12" t="s">
        <v>1056</v>
      </c>
      <c r="O190" s="12" t="s">
        <v>1057</v>
      </c>
    </row>
    <row r="191" spans="1:15" ht="41.5" customHeight="1" x14ac:dyDescent="0.35">
      <c r="A191" s="11">
        <v>186</v>
      </c>
      <c r="B191" s="12" t="s">
        <v>1058</v>
      </c>
      <c r="C191" s="12" t="s">
        <v>1059</v>
      </c>
      <c r="D191" s="11">
        <v>2023</v>
      </c>
      <c r="E191" s="12" t="s">
        <v>1060</v>
      </c>
      <c r="F191" s="12" t="s">
        <v>981</v>
      </c>
      <c r="G191" s="11" t="s">
        <v>121</v>
      </c>
      <c r="H191" s="11"/>
      <c r="I191" s="11"/>
      <c r="J191" s="12"/>
      <c r="K191" s="14" t="str">
        <f t="shared" si="2"/>
        <v>NO</v>
      </c>
      <c r="L191" s="12" t="s">
        <v>122</v>
      </c>
      <c r="M191" s="12" t="s">
        <v>1061</v>
      </c>
      <c r="N191" s="12" t="s">
        <v>1062</v>
      </c>
      <c r="O191" s="12" t="s">
        <v>1063</v>
      </c>
    </row>
    <row r="192" spans="1:15" ht="41.5" customHeight="1" x14ac:dyDescent="0.35">
      <c r="A192" s="11">
        <v>187</v>
      </c>
      <c r="B192" s="12" t="s">
        <v>1064</v>
      </c>
      <c r="C192" s="12" t="s">
        <v>1065</v>
      </c>
      <c r="D192" s="11">
        <v>2024</v>
      </c>
      <c r="E192" s="12" t="s">
        <v>1066</v>
      </c>
      <c r="F192" s="12" t="s">
        <v>981</v>
      </c>
      <c r="G192" s="11" t="s">
        <v>121</v>
      </c>
      <c r="H192" s="11"/>
      <c r="I192" s="11"/>
      <c r="J192" s="12"/>
      <c r="K192" s="14" t="str">
        <f t="shared" si="2"/>
        <v>NO</v>
      </c>
      <c r="L192" s="12" t="s">
        <v>122</v>
      </c>
      <c r="M192" s="12" t="s">
        <v>1067</v>
      </c>
      <c r="N192" s="12" t="s">
        <v>1068</v>
      </c>
      <c r="O192" s="12" t="s">
        <v>1069</v>
      </c>
    </row>
    <row r="193" spans="1:15" ht="41.5" customHeight="1" x14ac:dyDescent="0.35">
      <c r="A193" s="11">
        <v>188</v>
      </c>
      <c r="B193" s="12" t="s">
        <v>1070</v>
      </c>
      <c r="C193" s="12" t="s">
        <v>1071</v>
      </c>
      <c r="D193" s="11">
        <v>2024</v>
      </c>
      <c r="E193" s="12" t="s">
        <v>1072</v>
      </c>
      <c r="F193" s="12" t="s">
        <v>981</v>
      </c>
      <c r="G193" s="11" t="s">
        <v>121</v>
      </c>
      <c r="H193" s="11"/>
      <c r="I193" s="11"/>
      <c r="J193" s="12"/>
      <c r="K193" s="14" t="str">
        <f t="shared" si="2"/>
        <v>NO</v>
      </c>
      <c r="L193" s="12" t="s">
        <v>122</v>
      </c>
      <c r="M193" s="12" t="s">
        <v>1073</v>
      </c>
      <c r="N193" s="12" t="s">
        <v>1074</v>
      </c>
      <c r="O193" s="12" t="s">
        <v>1075</v>
      </c>
    </row>
    <row r="194" spans="1:15" ht="41.5" customHeight="1" x14ac:dyDescent="0.35">
      <c r="A194" s="11">
        <v>189</v>
      </c>
      <c r="B194" s="12" t="s">
        <v>1076</v>
      </c>
      <c r="C194" s="12" t="s">
        <v>1059</v>
      </c>
      <c r="D194" s="11">
        <v>2025</v>
      </c>
      <c r="E194" s="12" t="s">
        <v>1077</v>
      </c>
      <c r="F194" s="12" t="s">
        <v>981</v>
      </c>
      <c r="G194" s="11" t="s">
        <v>121</v>
      </c>
      <c r="H194" s="11"/>
      <c r="I194" s="11"/>
      <c r="J194" s="12"/>
      <c r="K194" s="14" t="str">
        <f t="shared" si="2"/>
        <v>NO</v>
      </c>
      <c r="L194" s="12" t="s">
        <v>122</v>
      </c>
      <c r="M194" s="12" t="s">
        <v>1061</v>
      </c>
      <c r="N194" s="12" t="s">
        <v>1078</v>
      </c>
      <c r="O194" s="12" t="s">
        <v>1079</v>
      </c>
    </row>
    <row r="195" spans="1:15" ht="29" customHeight="1" x14ac:dyDescent="0.35">
      <c r="A195" s="11">
        <v>190</v>
      </c>
      <c r="B195" s="12" t="s">
        <v>1080</v>
      </c>
      <c r="C195" s="12" t="s">
        <v>1081</v>
      </c>
      <c r="D195" s="11">
        <v>2021</v>
      </c>
      <c r="E195" s="12" t="s">
        <v>357</v>
      </c>
      <c r="F195" s="12" t="s">
        <v>981</v>
      </c>
      <c r="G195" s="11" t="s">
        <v>121</v>
      </c>
      <c r="H195" s="11"/>
      <c r="I195" s="11"/>
      <c r="J195" s="12"/>
      <c r="K195" s="14" t="str">
        <f t="shared" si="2"/>
        <v>NO</v>
      </c>
      <c r="L195" s="12" t="s">
        <v>122</v>
      </c>
      <c r="M195" s="12" t="s">
        <v>1082</v>
      </c>
      <c r="N195" s="12" t="s">
        <v>1083</v>
      </c>
      <c r="O195" s="12"/>
    </row>
    <row r="196" spans="1:15" ht="41.5" customHeight="1" x14ac:dyDescent="0.35">
      <c r="A196" s="11">
        <v>191</v>
      </c>
      <c r="B196" s="12" t="s">
        <v>1084</v>
      </c>
      <c r="C196" s="12" t="s">
        <v>1085</v>
      </c>
      <c r="D196" s="11">
        <v>2023</v>
      </c>
      <c r="E196" s="12" t="s">
        <v>173</v>
      </c>
      <c r="F196" s="12" t="s">
        <v>981</v>
      </c>
      <c r="G196" s="11" t="s">
        <v>121</v>
      </c>
      <c r="H196" s="11"/>
      <c r="I196" s="11"/>
      <c r="J196" s="12"/>
      <c r="K196" s="14" t="str">
        <f t="shared" si="2"/>
        <v>NO</v>
      </c>
      <c r="L196" s="12" t="s">
        <v>122</v>
      </c>
      <c r="M196" s="12" t="s">
        <v>1086</v>
      </c>
      <c r="N196" s="12" t="s">
        <v>1087</v>
      </c>
      <c r="O196" s="12" t="s">
        <v>1088</v>
      </c>
    </row>
    <row r="197" spans="1:15" ht="41.5" customHeight="1" x14ac:dyDescent="0.35">
      <c r="A197" s="11">
        <v>192</v>
      </c>
      <c r="B197" s="12" t="s">
        <v>1089</v>
      </c>
      <c r="C197" s="12" t="s">
        <v>1090</v>
      </c>
      <c r="D197" s="11">
        <v>2023</v>
      </c>
      <c r="E197" s="12" t="s">
        <v>1091</v>
      </c>
      <c r="F197" s="12" t="s">
        <v>981</v>
      </c>
      <c r="G197" s="11" t="s">
        <v>121</v>
      </c>
      <c r="H197" s="11"/>
      <c r="I197" s="11"/>
      <c r="J197" s="12"/>
      <c r="K197" s="14" t="str">
        <f t="shared" si="2"/>
        <v>NO</v>
      </c>
      <c r="L197" s="12" t="s">
        <v>122</v>
      </c>
      <c r="M197" s="12" t="s">
        <v>222</v>
      </c>
      <c r="N197" s="12" t="s">
        <v>1092</v>
      </c>
      <c r="O197" s="12" t="s">
        <v>1093</v>
      </c>
    </row>
    <row r="198" spans="1:15" ht="29" customHeight="1" x14ac:dyDescent="0.35">
      <c r="A198" s="11">
        <v>193</v>
      </c>
      <c r="B198" s="12" t="s">
        <v>1094</v>
      </c>
      <c r="C198" s="12" t="s">
        <v>1095</v>
      </c>
      <c r="D198" s="11">
        <v>2023</v>
      </c>
      <c r="E198" s="12" t="s">
        <v>1096</v>
      </c>
      <c r="F198" s="12" t="s">
        <v>981</v>
      </c>
      <c r="G198" s="11" t="s">
        <v>121</v>
      </c>
      <c r="H198" s="11"/>
      <c r="I198" s="11"/>
      <c r="J198" s="12"/>
      <c r="K198" s="14" t="str">
        <f t="shared" ref="K198:K228" si="3">IF(AND(G198="KEEP",H198="KEEP",I198="KEEP"),"YES",IF(OR(G198="DROP",H198="DROP",I198="DROP"),"NO",""))</f>
        <v>NO</v>
      </c>
      <c r="L198" s="12" t="s">
        <v>122</v>
      </c>
      <c r="M198" s="12" t="s">
        <v>222</v>
      </c>
      <c r="N198" s="12" t="s">
        <v>1097</v>
      </c>
      <c r="O198" s="12" t="s">
        <v>1098</v>
      </c>
    </row>
    <row r="199" spans="1:15" ht="54" customHeight="1" x14ac:dyDescent="0.35">
      <c r="A199" s="11">
        <v>194</v>
      </c>
      <c r="B199" s="12" t="s">
        <v>1099</v>
      </c>
      <c r="C199" s="12" t="s">
        <v>1100</v>
      </c>
      <c r="D199" s="11">
        <v>2025</v>
      </c>
      <c r="E199" s="12" t="s">
        <v>1055</v>
      </c>
      <c r="F199" s="12" t="s">
        <v>981</v>
      </c>
      <c r="G199" s="11" t="s">
        <v>121</v>
      </c>
      <c r="H199" s="11"/>
      <c r="I199" s="11"/>
      <c r="J199" s="12"/>
      <c r="K199" s="14" t="str">
        <f t="shared" si="3"/>
        <v>NO</v>
      </c>
      <c r="L199" s="12" t="s">
        <v>122</v>
      </c>
      <c r="M199" s="12" t="s">
        <v>959</v>
      </c>
      <c r="N199" s="12" t="s">
        <v>1101</v>
      </c>
      <c r="O199" s="12" t="s">
        <v>1102</v>
      </c>
    </row>
    <row r="200" spans="1:15" ht="54" customHeight="1" x14ac:dyDescent="0.35">
      <c r="A200" s="11">
        <v>195</v>
      </c>
      <c r="B200" s="12" t="s">
        <v>1103</v>
      </c>
      <c r="C200" s="12" t="s">
        <v>1104</v>
      </c>
      <c r="D200" s="11">
        <v>2021</v>
      </c>
      <c r="E200" s="12" t="s">
        <v>1105</v>
      </c>
      <c r="F200" s="12" t="s">
        <v>1106</v>
      </c>
      <c r="G200" s="11" t="s">
        <v>136</v>
      </c>
      <c r="H200" s="11" t="s">
        <v>136</v>
      </c>
      <c r="I200" s="11" t="s">
        <v>136</v>
      </c>
      <c r="J200" s="12"/>
      <c r="K200" s="14" t="str">
        <f t="shared" si="3"/>
        <v>YES</v>
      </c>
      <c r="L200" s="12" t="s">
        <v>1107</v>
      </c>
      <c r="M200" s="12" t="s">
        <v>1108</v>
      </c>
      <c r="N200" s="12"/>
      <c r="O200" s="12" t="s">
        <v>1109</v>
      </c>
    </row>
    <row r="201" spans="1:15" ht="54" customHeight="1" x14ac:dyDescent="0.35">
      <c r="A201" s="11">
        <v>196</v>
      </c>
      <c r="B201" s="12" t="s">
        <v>1110</v>
      </c>
      <c r="C201" s="12" t="s">
        <v>1104</v>
      </c>
      <c r="D201" s="11">
        <v>2022</v>
      </c>
      <c r="E201" s="12" t="s">
        <v>153</v>
      </c>
      <c r="F201" s="12" t="s">
        <v>1111</v>
      </c>
      <c r="G201" s="11" t="s">
        <v>136</v>
      </c>
      <c r="H201" s="11" t="s">
        <v>136</v>
      </c>
      <c r="I201" s="11" t="s">
        <v>136</v>
      </c>
      <c r="J201" s="12"/>
      <c r="K201" s="14" t="str">
        <f t="shared" si="3"/>
        <v>YES</v>
      </c>
      <c r="L201" s="12" t="s">
        <v>1107</v>
      </c>
      <c r="M201" s="12" t="s">
        <v>1112</v>
      </c>
      <c r="N201" s="12"/>
      <c r="O201" s="12" t="s">
        <v>1113</v>
      </c>
    </row>
    <row r="202" spans="1:15" ht="54" customHeight="1" x14ac:dyDescent="0.35">
      <c r="A202" s="11">
        <v>197</v>
      </c>
      <c r="B202" s="12" t="s">
        <v>1114</v>
      </c>
      <c r="C202" s="12" t="s">
        <v>1115</v>
      </c>
      <c r="D202" s="11">
        <v>2023</v>
      </c>
      <c r="E202" s="12" t="s">
        <v>276</v>
      </c>
      <c r="F202" s="12" t="s">
        <v>1116</v>
      </c>
      <c r="G202" s="11" t="s">
        <v>136</v>
      </c>
      <c r="H202" s="11" t="s">
        <v>136</v>
      </c>
      <c r="I202" s="11" t="s">
        <v>136</v>
      </c>
      <c r="J202" s="12"/>
      <c r="K202" s="14" t="str">
        <f t="shared" si="3"/>
        <v>YES</v>
      </c>
      <c r="L202" s="12" t="s">
        <v>1107</v>
      </c>
      <c r="M202" s="12" t="s">
        <v>1117</v>
      </c>
      <c r="N202" s="12"/>
      <c r="O202" s="12" t="s">
        <v>1118</v>
      </c>
    </row>
    <row r="203" spans="1:15" ht="54" customHeight="1" x14ac:dyDescent="0.35">
      <c r="A203" s="11">
        <v>198</v>
      </c>
      <c r="B203" s="12" t="s">
        <v>1119</v>
      </c>
      <c r="C203" s="12" t="s">
        <v>1120</v>
      </c>
      <c r="D203" s="11">
        <v>2024</v>
      </c>
      <c r="E203" s="12" t="s">
        <v>389</v>
      </c>
      <c r="F203" s="12" t="s">
        <v>1116</v>
      </c>
      <c r="G203" s="11" t="s">
        <v>136</v>
      </c>
      <c r="H203" s="11" t="s">
        <v>136</v>
      </c>
      <c r="I203" s="11" t="s">
        <v>136</v>
      </c>
      <c r="J203" s="12"/>
      <c r="K203" s="14" t="str">
        <f t="shared" si="3"/>
        <v>YES</v>
      </c>
      <c r="L203" s="12" t="s">
        <v>1107</v>
      </c>
      <c r="M203" s="12" t="s">
        <v>1121</v>
      </c>
      <c r="N203" s="12"/>
      <c r="O203" s="12" t="s">
        <v>1122</v>
      </c>
    </row>
    <row r="204" spans="1:15" ht="54" customHeight="1" x14ac:dyDescent="0.35">
      <c r="A204" s="11">
        <v>199</v>
      </c>
      <c r="B204" s="12" t="s">
        <v>1123</v>
      </c>
      <c r="C204" s="12" t="s">
        <v>1124</v>
      </c>
      <c r="D204" s="11">
        <v>2023</v>
      </c>
      <c r="E204" s="12" t="s">
        <v>545</v>
      </c>
      <c r="F204" s="12" t="s">
        <v>1116</v>
      </c>
      <c r="G204" s="11" t="s">
        <v>136</v>
      </c>
      <c r="H204" s="11" t="s">
        <v>136</v>
      </c>
      <c r="I204" s="11" t="s">
        <v>136</v>
      </c>
      <c r="J204" s="12"/>
      <c r="K204" s="14" t="str">
        <f t="shared" si="3"/>
        <v>YES</v>
      </c>
      <c r="L204" s="12" t="s">
        <v>1107</v>
      </c>
      <c r="M204" s="12" t="s">
        <v>1125</v>
      </c>
      <c r="N204" s="12"/>
      <c r="O204" s="12" t="s">
        <v>1126</v>
      </c>
    </row>
    <row r="205" spans="1:15" ht="54" customHeight="1" x14ac:dyDescent="0.35">
      <c r="A205" s="11">
        <v>200</v>
      </c>
      <c r="B205" s="12" t="s">
        <v>1127</v>
      </c>
      <c r="C205" s="12" t="s">
        <v>1128</v>
      </c>
      <c r="D205" s="11">
        <v>2024</v>
      </c>
      <c r="E205" s="12" t="s">
        <v>1129</v>
      </c>
      <c r="F205" s="12" t="s">
        <v>1111</v>
      </c>
      <c r="G205" s="11" t="s">
        <v>136</v>
      </c>
      <c r="H205" s="11" t="s">
        <v>136</v>
      </c>
      <c r="I205" s="11" t="s">
        <v>136</v>
      </c>
      <c r="J205" s="12"/>
      <c r="K205" s="14" t="str">
        <f t="shared" si="3"/>
        <v>YES</v>
      </c>
      <c r="L205" s="12" t="s">
        <v>1107</v>
      </c>
      <c r="M205" s="12" t="s">
        <v>1130</v>
      </c>
      <c r="N205" s="12"/>
      <c r="O205" s="12" t="s">
        <v>1131</v>
      </c>
    </row>
    <row r="206" spans="1:15" ht="54" customHeight="1" x14ac:dyDescent="0.35">
      <c r="A206" s="11">
        <v>201</v>
      </c>
      <c r="B206" s="12" t="s">
        <v>1132</v>
      </c>
      <c r="C206" s="12" t="s">
        <v>1133</v>
      </c>
      <c r="D206" s="11">
        <v>2023</v>
      </c>
      <c r="E206" s="12" t="s">
        <v>545</v>
      </c>
      <c r="F206" s="12" t="s">
        <v>1116</v>
      </c>
      <c r="G206" s="11" t="s">
        <v>136</v>
      </c>
      <c r="H206" s="11" t="s">
        <v>136</v>
      </c>
      <c r="I206" s="11" t="s">
        <v>136</v>
      </c>
      <c r="J206" s="12"/>
      <c r="K206" s="14" t="str">
        <f t="shared" si="3"/>
        <v>YES</v>
      </c>
      <c r="L206" s="12" t="s">
        <v>1107</v>
      </c>
      <c r="M206" s="12" t="s">
        <v>1134</v>
      </c>
      <c r="N206" s="12"/>
      <c r="O206" s="12" t="s">
        <v>1135</v>
      </c>
    </row>
    <row r="207" spans="1:15" ht="54" customHeight="1" x14ac:dyDescent="0.35">
      <c r="A207" s="11">
        <v>202</v>
      </c>
      <c r="B207" s="12" t="s">
        <v>1136</v>
      </c>
      <c r="C207" s="12" t="s">
        <v>1137</v>
      </c>
      <c r="D207" s="11">
        <v>2023</v>
      </c>
      <c r="E207" s="12" t="s">
        <v>276</v>
      </c>
      <c r="F207" s="12" t="s">
        <v>1116</v>
      </c>
      <c r="G207" s="11" t="s">
        <v>136</v>
      </c>
      <c r="H207" s="11" t="s">
        <v>136</v>
      </c>
      <c r="I207" s="11" t="s">
        <v>136</v>
      </c>
      <c r="J207" s="12"/>
      <c r="K207" s="14" t="str">
        <f t="shared" si="3"/>
        <v>YES</v>
      </c>
      <c r="L207" s="12" t="s">
        <v>1107</v>
      </c>
      <c r="M207" s="12" t="s">
        <v>1130</v>
      </c>
      <c r="N207" s="12"/>
      <c r="O207" s="12" t="s">
        <v>1138</v>
      </c>
    </row>
    <row r="208" spans="1:15" ht="54" customHeight="1" x14ac:dyDescent="0.35">
      <c r="A208" s="11">
        <v>203</v>
      </c>
      <c r="B208" s="12" t="s">
        <v>1139</v>
      </c>
      <c r="C208" s="12" t="s">
        <v>1140</v>
      </c>
      <c r="D208" s="11">
        <v>2024</v>
      </c>
      <c r="E208" s="12" t="s">
        <v>630</v>
      </c>
      <c r="F208" s="12" t="s">
        <v>1111</v>
      </c>
      <c r="G208" s="11" t="s">
        <v>136</v>
      </c>
      <c r="H208" s="11" t="s">
        <v>136</v>
      </c>
      <c r="I208" s="11" t="s">
        <v>136</v>
      </c>
      <c r="J208" s="12"/>
      <c r="K208" s="14" t="str">
        <f t="shared" si="3"/>
        <v>YES</v>
      </c>
      <c r="L208" s="12" t="s">
        <v>1107</v>
      </c>
      <c r="M208" s="12" t="s">
        <v>1141</v>
      </c>
      <c r="N208" s="12"/>
      <c r="O208" s="12" t="s">
        <v>1142</v>
      </c>
    </row>
    <row r="209" spans="1:15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5" t="str">
        <f t="shared" si="3"/>
        <v/>
      </c>
      <c r="L209" s="12"/>
      <c r="M209" s="12"/>
      <c r="N209" s="12"/>
      <c r="O209" s="12"/>
    </row>
    <row r="210" spans="1:15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5" t="str">
        <f t="shared" si="3"/>
        <v/>
      </c>
      <c r="L210" s="12"/>
      <c r="M210" s="12"/>
      <c r="N210" s="12"/>
      <c r="O210" s="12"/>
    </row>
    <row r="211" spans="1:15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5" t="str">
        <f t="shared" si="3"/>
        <v/>
      </c>
      <c r="L211" s="12"/>
      <c r="M211" s="12"/>
      <c r="N211" s="12"/>
      <c r="O211" s="12"/>
    </row>
    <row r="212" spans="1:15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5" t="str">
        <f t="shared" si="3"/>
        <v/>
      </c>
      <c r="L212" s="12"/>
      <c r="M212" s="12"/>
      <c r="N212" s="12"/>
      <c r="O212" s="12"/>
    </row>
    <row r="213" spans="1:15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5" t="str">
        <f t="shared" si="3"/>
        <v/>
      </c>
      <c r="L213" s="12"/>
      <c r="M213" s="12"/>
      <c r="N213" s="12"/>
      <c r="O213" s="12"/>
    </row>
    <row r="214" spans="1:15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5" t="str">
        <f t="shared" si="3"/>
        <v/>
      </c>
      <c r="L214" s="12"/>
      <c r="M214" s="12"/>
      <c r="N214" s="12"/>
      <c r="O214" s="12"/>
    </row>
    <row r="215" spans="1:15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5" t="str">
        <f t="shared" si="3"/>
        <v/>
      </c>
      <c r="L215" s="12"/>
      <c r="M215" s="12"/>
      <c r="N215" s="12"/>
      <c r="O215" s="12"/>
    </row>
    <row r="216" spans="1:15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5" t="str">
        <f t="shared" si="3"/>
        <v/>
      </c>
      <c r="L216" s="12"/>
      <c r="M216" s="12"/>
      <c r="N216" s="12"/>
      <c r="O216" s="12"/>
    </row>
    <row r="217" spans="1:15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5" t="str">
        <f t="shared" si="3"/>
        <v/>
      </c>
      <c r="L217" s="12"/>
      <c r="M217" s="12"/>
      <c r="N217" s="12"/>
      <c r="O217" s="12"/>
    </row>
    <row r="218" spans="1:15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5" t="str">
        <f t="shared" si="3"/>
        <v/>
      </c>
      <c r="L218" s="12"/>
      <c r="M218" s="12"/>
      <c r="N218" s="12"/>
      <c r="O218" s="12"/>
    </row>
    <row r="219" spans="1:15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5" t="str">
        <f t="shared" si="3"/>
        <v/>
      </c>
      <c r="L219" s="12"/>
      <c r="M219" s="12"/>
      <c r="N219" s="12"/>
      <c r="O219" s="12"/>
    </row>
    <row r="220" spans="1:15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5" t="str">
        <f t="shared" si="3"/>
        <v/>
      </c>
      <c r="L220" s="12"/>
      <c r="M220" s="12"/>
      <c r="N220" s="12"/>
      <c r="O220" s="12"/>
    </row>
    <row r="221" spans="1:15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5" t="str">
        <f t="shared" si="3"/>
        <v/>
      </c>
      <c r="L221" s="12"/>
      <c r="M221" s="12"/>
      <c r="N221" s="12"/>
      <c r="O221" s="12"/>
    </row>
    <row r="222" spans="1:15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5" t="str">
        <f t="shared" si="3"/>
        <v/>
      </c>
      <c r="L222" s="12"/>
      <c r="M222" s="12"/>
      <c r="N222" s="12"/>
      <c r="O222" s="12"/>
    </row>
    <row r="223" spans="1:15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5" t="str">
        <f t="shared" si="3"/>
        <v/>
      </c>
      <c r="L223" s="12"/>
      <c r="M223" s="12"/>
      <c r="N223" s="12"/>
      <c r="O223" s="12"/>
    </row>
    <row r="224" spans="1:15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5" t="str">
        <f t="shared" si="3"/>
        <v/>
      </c>
      <c r="L224" s="12"/>
      <c r="M224" s="12"/>
      <c r="N224" s="12"/>
      <c r="O224" s="12"/>
    </row>
    <row r="225" spans="1:15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5" t="str">
        <f t="shared" si="3"/>
        <v/>
      </c>
      <c r="L225" s="12"/>
      <c r="M225" s="12"/>
      <c r="N225" s="12"/>
      <c r="O225" s="12"/>
    </row>
    <row r="226" spans="1:15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5" t="str">
        <f t="shared" si="3"/>
        <v/>
      </c>
      <c r="L226" s="12"/>
      <c r="M226" s="12"/>
      <c r="N226" s="12"/>
      <c r="O226" s="12"/>
    </row>
    <row r="227" spans="1:15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5" t="str">
        <f t="shared" si="3"/>
        <v/>
      </c>
      <c r="L227" s="12"/>
      <c r="M227" s="12"/>
      <c r="N227" s="12"/>
      <c r="O227" s="12"/>
    </row>
    <row r="228" spans="1:15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5" t="str">
        <f t="shared" si="3"/>
        <v/>
      </c>
      <c r="L228" s="12"/>
      <c r="M228" s="12"/>
      <c r="N228" s="12"/>
      <c r="O228" s="12"/>
    </row>
  </sheetData>
  <autoFilter ref="A4:O228" xr:uid="{00000000-0009-0000-0000-000002000000}"/>
  <mergeCells count="1">
    <mergeCell ref="A2:L2"/>
  </mergeCells>
  <conditionalFormatting sqref="K6:K228">
    <cfRule type="cellIs" dxfId="0" priority="1" operator="equal">
      <formula>"YES"</formula>
    </cfRule>
  </conditionalFormatting>
  <dataValidations count="3">
    <dataValidation type="list" allowBlank="1" sqref="G6:I228" xr:uid="{00000000-0002-0000-0200-000000000000}">
      <formula1>"KEEP,DROP"</formula1>
    </dataValidation>
    <dataValidation type="list" allowBlank="1" sqref="J6:J228" xr:uid="{00000000-0002-0000-0200-000001000000}">
      <formula1>"Not peer-reviewed,Outside date range,Outside scope,Free full text unavailable,Duplicate/secondary version"</formula1>
    </dataValidation>
    <dataValidation type="list" allowBlank="1" sqref="L6:L228" xr:uid="{00000000-0002-0000-0200-000002000000}">
      <formula1>"Database search,Citation chasing"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24" customWidth="1"/>
    <col min="3" max="3" width="7" customWidth="1"/>
    <col min="4" max="4" width="20" customWidth="1"/>
    <col min="5" max="5" width="15" customWidth="1"/>
    <col min="6" max="6" width="24" customWidth="1"/>
    <col min="7" max="7" width="28" customWidth="1"/>
    <col min="8" max="8" width="32" customWidth="1"/>
    <col min="9" max="9" width="36" customWidth="1"/>
    <col min="10" max="10" width="34" customWidth="1"/>
    <col min="11" max="11" width="22" customWidth="1"/>
    <col min="12" max="12" width="34" customWidth="1"/>
    <col min="13" max="13" width="22" customWidth="1"/>
    <col min="14" max="14" width="26" customWidth="1"/>
    <col min="15" max="15" width="9" customWidth="1"/>
  </cols>
  <sheetData>
    <row r="1" spans="1:15" ht="18" x14ac:dyDescent="0.4">
      <c r="A1" s="10" t="s">
        <v>1143</v>
      </c>
    </row>
    <row r="2" spans="1:15" ht="28" customHeight="1" x14ac:dyDescent="0.35">
      <c r="A2" s="27" t="s">
        <v>1144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15" ht="42" customHeight="1" x14ac:dyDescent="0.35">
      <c r="A4" s="3" t="s">
        <v>63</v>
      </c>
      <c r="B4" s="3" t="s">
        <v>1145</v>
      </c>
      <c r="C4" s="3" t="s">
        <v>105</v>
      </c>
      <c r="D4" s="3" t="s">
        <v>106</v>
      </c>
      <c r="E4" s="3" t="s">
        <v>1146</v>
      </c>
      <c r="F4" s="3" t="s">
        <v>1147</v>
      </c>
      <c r="G4" s="3" t="s">
        <v>1148</v>
      </c>
      <c r="H4" s="3" t="s">
        <v>1149</v>
      </c>
      <c r="I4" s="3" t="s">
        <v>1150</v>
      </c>
      <c r="J4" s="3" t="s">
        <v>1151</v>
      </c>
      <c r="K4" s="3" t="s">
        <v>1152</v>
      </c>
      <c r="L4" s="16" t="s">
        <v>1153</v>
      </c>
      <c r="M4" s="16" t="s">
        <v>107</v>
      </c>
      <c r="N4" s="16" t="s">
        <v>1154</v>
      </c>
      <c r="O4" s="3" t="s">
        <v>1155</v>
      </c>
    </row>
    <row r="5" spans="1:15" ht="60" customHeight="1" x14ac:dyDescent="0.35">
      <c r="A5" s="11">
        <v>1</v>
      </c>
      <c r="B5" s="12" t="s">
        <v>1156</v>
      </c>
      <c r="C5" s="11">
        <v>2020</v>
      </c>
      <c r="D5" s="12" t="s">
        <v>265</v>
      </c>
      <c r="E5" s="12" t="s">
        <v>1157</v>
      </c>
      <c r="F5" s="12" t="s">
        <v>1158</v>
      </c>
      <c r="G5" s="12" t="s">
        <v>1159</v>
      </c>
      <c r="H5" s="12" t="s">
        <v>1160</v>
      </c>
      <c r="I5" s="12" t="s">
        <v>1161</v>
      </c>
      <c r="J5" s="12" t="s">
        <v>1162</v>
      </c>
      <c r="K5" s="12" t="s">
        <v>48</v>
      </c>
      <c r="L5" s="12" t="s">
        <v>1163</v>
      </c>
      <c r="M5" s="12" t="s">
        <v>266</v>
      </c>
      <c r="N5" s="12" t="s">
        <v>1164</v>
      </c>
      <c r="O5" s="11">
        <v>26</v>
      </c>
    </row>
    <row r="6" spans="1:15" ht="60" customHeight="1" x14ac:dyDescent="0.35">
      <c r="A6" s="11">
        <v>2</v>
      </c>
      <c r="B6" s="12" t="s">
        <v>1165</v>
      </c>
      <c r="C6" s="11">
        <v>2021</v>
      </c>
      <c r="D6" s="12" t="s">
        <v>271</v>
      </c>
      <c r="E6" s="12" t="s">
        <v>1166</v>
      </c>
      <c r="F6" s="12" t="s">
        <v>1167</v>
      </c>
      <c r="G6" s="12" t="s">
        <v>1168</v>
      </c>
      <c r="H6" s="12" t="s">
        <v>1169</v>
      </c>
      <c r="I6" s="12" t="s">
        <v>1170</v>
      </c>
      <c r="J6" s="12" t="s">
        <v>1171</v>
      </c>
      <c r="K6" s="12" t="s">
        <v>48</v>
      </c>
      <c r="L6" s="12" t="s">
        <v>1172</v>
      </c>
      <c r="M6" s="12" t="s">
        <v>266</v>
      </c>
      <c r="N6" s="12" t="s">
        <v>1164</v>
      </c>
      <c r="O6" s="11">
        <v>27</v>
      </c>
    </row>
    <row r="7" spans="1:15" ht="60" customHeight="1" x14ac:dyDescent="0.35">
      <c r="A7" s="11">
        <v>3</v>
      </c>
      <c r="B7" s="12" t="s">
        <v>1173</v>
      </c>
      <c r="C7" s="11">
        <v>2022</v>
      </c>
      <c r="D7" s="12" t="s">
        <v>153</v>
      </c>
      <c r="E7" s="12" t="s">
        <v>1157</v>
      </c>
      <c r="F7" s="12" t="s">
        <v>1174</v>
      </c>
      <c r="G7" s="12" t="s">
        <v>1175</v>
      </c>
      <c r="H7" s="12" t="s">
        <v>1176</v>
      </c>
      <c r="I7" s="12" t="s">
        <v>1177</v>
      </c>
      <c r="J7" s="12" t="s">
        <v>1178</v>
      </c>
      <c r="K7" s="12" t="s">
        <v>48</v>
      </c>
      <c r="L7" s="12" t="s">
        <v>1179</v>
      </c>
      <c r="M7" s="12" t="s">
        <v>120</v>
      </c>
      <c r="N7" s="12" t="s">
        <v>1164</v>
      </c>
      <c r="O7" s="11">
        <v>6</v>
      </c>
    </row>
    <row r="8" spans="1:15" ht="60" customHeight="1" x14ac:dyDescent="0.35">
      <c r="A8" s="11">
        <v>4</v>
      </c>
      <c r="B8" s="12" t="s">
        <v>1180</v>
      </c>
      <c r="C8" s="11">
        <v>2022</v>
      </c>
      <c r="D8" s="12" t="s">
        <v>209</v>
      </c>
      <c r="E8" s="12" t="s">
        <v>1157</v>
      </c>
      <c r="F8" s="12" t="s">
        <v>1181</v>
      </c>
      <c r="G8" s="12" t="s">
        <v>1182</v>
      </c>
      <c r="H8" s="12" t="s">
        <v>1183</v>
      </c>
      <c r="I8" s="12" t="s">
        <v>1184</v>
      </c>
      <c r="J8" s="12" t="s">
        <v>1185</v>
      </c>
      <c r="K8" s="12" t="s">
        <v>48</v>
      </c>
      <c r="L8" s="12" t="s">
        <v>1186</v>
      </c>
      <c r="M8" s="12" t="s">
        <v>210</v>
      </c>
      <c r="N8" s="12" t="s">
        <v>1164</v>
      </c>
      <c r="O8" s="11">
        <v>16</v>
      </c>
    </row>
    <row r="9" spans="1:15" ht="60" customHeight="1" x14ac:dyDescent="0.35">
      <c r="A9" s="11">
        <v>5</v>
      </c>
      <c r="B9" s="12" t="s">
        <v>1187</v>
      </c>
      <c r="C9" s="11">
        <v>2023</v>
      </c>
      <c r="D9" s="12" t="s">
        <v>288</v>
      </c>
      <c r="E9" s="12" t="s">
        <v>1188</v>
      </c>
      <c r="F9" s="12" t="s">
        <v>1189</v>
      </c>
      <c r="G9" s="12" t="s">
        <v>1190</v>
      </c>
      <c r="H9" s="12" t="s">
        <v>1191</v>
      </c>
      <c r="I9" s="12" t="s">
        <v>1192</v>
      </c>
      <c r="J9" s="12" t="s">
        <v>1193</v>
      </c>
      <c r="K9" s="12" t="s">
        <v>48</v>
      </c>
      <c r="L9" s="12" t="s">
        <v>1194</v>
      </c>
      <c r="M9" s="12" t="s">
        <v>266</v>
      </c>
      <c r="N9" s="12" t="s">
        <v>1195</v>
      </c>
      <c r="O9" s="11">
        <v>31</v>
      </c>
    </row>
    <row r="10" spans="1:15" ht="60" customHeight="1" x14ac:dyDescent="0.35">
      <c r="A10" s="11">
        <v>6</v>
      </c>
      <c r="B10" s="12" t="s">
        <v>1196</v>
      </c>
      <c r="C10" s="11">
        <v>2023</v>
      </c>
      <c r="D10" s="12" t="s">
        <v>276</v>
      </c>
      <c r="E10" s="12" t="s">
        <v>1197</v>
      </c>
      <c r="F10" s="12" t="s">
        <v>1198</v>
      </c>
      <c r="G10" s="12" t="s">
        <v>1199</v>
      </c>
      <c r="H10" s="12" t="s">
        <v>1200</v>
      </c>
      <c r="I10" s="12" t="s">
        <v>1201</v>
      </c>
      <c r="J10" s="12" t="s">
        <v>1202</v>
      </c>
      <c r="K10" s="12" t="s">
        <v>48</v>
      </c>
      <c r="L10" s="12" t="s">
        <v>1203</v>
      </c>
      <c r="M10" s="12" t="s">
        <v>1116</v>
      </c>
      <c r="N10" s="12" t="s">
        <v>1164</v>
      </c>
      <c r="O10" s="11">
        <v>197</v>
      </c>
    </row>
    <row r="11" spans="1:15" ht="60" customHeight="1" x14ac:dyDescent="0.35">
      <c r="A11" s="11">
        <v>7</v>
      </c>
      <c r="B11" s="12" t="s">
        <v>1204</v>
      </c>
      <c r="C11" s="11">
        <v>2023</v>
      </c>
      <c r="D11" s="12" t="s">
        <v>276</v>
      </c>
      <c r="E11" s="12" t="s">
        <v>1205</v>
      </c>
      <c r="F11" s="12" t="s">
        <v>1206</v>
      </c>
      <c r="G11" s="12" t="s">
        <v>1207</v>
      </c>
      <c r="H11" s="12" t="s">
        <v>1208</v>
      </c>
      <c r="I11" s="12" t="s">
        <v>1209</v>
      </c>
      <c r="J11" s="12" t="s">
        <v>1210</v>
      </c>
      <c r="K11" s="12" t="s">
        <v>48</v>
      </c>
      <c r="L11" s="12" t="s">
        <v>1211</v>
      </c>
      <c r="M11" s="12" t="s">
        <v>266</v>
      </c>
      <c r="N11" s="12" t="s">
        <v>1164</v>
      </c>
      <c r="O11" s="11">
        <v>33</v>
      </c>
    </row>
    <row r="12" spans="1:15" ht="60" customHeight="1" x14ac:dyDescent="0.35">
      <c r="A12" s="11">
        <v>8</v>
      </c>
      <c r="B12" s="12" t="s">
        <v>1212</v>
      </c>
      <c r="C12" s="11">
        <v>2023</v>
      </c>
      <c r="D12" s="12" t="s">
        <v>312</v>
      </c>
      <c r="E12" s="12" t="s">
        <v>1213</v>
      </c>
      <c r="F12" s="12" t="s">
        <v>1214</v>
      </c>
      <c r="G12" s="12" t="s">
        <v>1215</v>
      </c>
      <c r="H12" s="12" t="s">
        <v>1216</v>
      </c>
      <c r="I12" s="12" t="s">
        <v>1217</v>
      </c>
      <c r="J12" s="12" t="s">
        <v>1218</v>
      </c>
      <c r="K12" s="12" t="s">
        <v>48</v>
      </c>
      <c r="L12" s="12" t="s">
        <v>1219</v>
      </c>
      <c r="M12" s="12" t="s">
        <v>266</v>
      </c>
      <c r="N12" s="12" t="s">
        <v>1164</v>
      </c>
      <c r="O12" s="11">
        <v>36</v>
      </c>
    </row>
    <row r="13" spans="1:15" ht="60" customHeight="1" x14ac:dyDescent="0.35">
      <c r="A13" s="11">
        <v>9</v>
      </c>
      <c r="B13" s="12" t="s">
        <v>1220</v>
      </c>
      <c r="C13" s="11">
        <v>2023</v>
      </c>
      <c r="D13" s="12" t="s">
        <v>276</v>
      </c>
      <c r="E13" s="12" t="s">
        <v>1221</v>
      </c>
      <c r="F13" s="12" t="s">
        <v>1222</v>
      </c>
      <c r="G13" s="12" t="s">
        <v>1223</v>
      </c>
      <c r="H13" s="12" t="s">
        <v>1224</v>
      </c>
      <c r="I13" s="12" t="s">
        <v>1225</v>
      </c>
      <c r="J13" s="12" t="s">
        <v>1226</v>
      </c>
      <c r="K13" s="12" t="s">
        <v>48</v>
      </c>
      <c r="L13" s="12" t="s">
        <v>1227</v>
      </c>
      <c r="M13" s="12" t="s">
        <v>266</v>
      </c>
      <c r="N13" s="12" t="s">
        <v>1164</v>
      </c>
      <c r="O13" s="11">
        <v>28</v>
      </c>
    </row>
    <row r="14" spans="1:15" ht="60" customHeight="1" x14ac:dyDescent="0.35">
      <c r="A14" s="11">
        <v>10</v>
      </c>
      <c r="B14" s="12" t="s">
        <v>1228</v>
      </c>
      <c r="C14" s="11">
        <v>2023</v>
      </c>
      <c r="D14" s="12" t="s">
        <v>276</v>
      </c>
      <c r="E14" s="12" t="s">
        <v>1229</v>
      </c>
      <c r="F14" s="12" t="s">
        <v>1230</v>
      </c>
      <c r="G14" s="12" t="s">
        <v>1231</v>
      </c>
      <c r="H14" s="12" t="s">
        <v>1232</v>
      </c>
      <c r="I14" s="12" t="s">
        <v>1233</v>
      </c>
      <c r="J14" s="12" t="s">
        <v>1234</v>
      </c>
      <c r="K14" s="12" t="s">
        <v>48</v>
      </c>
      <c r="L14" s="12" t="s">
        <v>1235</v>
      </c>
      <c r="M14" s="12" t="s">
        <v>1116</v>
      </c>
      <c r="N14" s="12" t="s">
        <v>1164</v>
      </c>
      <c r="O14" s="11">
        <v>202</v>
      </c>
    </row>
    <row r="15" spans="1:15" ht="60" customHeight="1" x14ac:dyDescent="0.35">
      <c r="A15" s="11">
        <v>11</v>
      </c>
      <c r="B15" s="12" t="s">
        <v>1236</v>
      </c>
      <c r="C15" s="11">
        <v>2024</v>
      </c>
      <c r="D15" s="12" t="s">
        <v>293</v>
      </c>
      <c r="E15" s="12" t="s">
        <v>1213</v>
      </c>
      <c r="F15" s="12" t="s">
        <v>1237</v>
      </c>
      <c r="G15" s="12" t="s">
        <v>1238</v>
      </c>
      <c r="H15" s="12" t="s">
        <v>1239</v>
      </c>
      <c r="I15" s="12" t="s">
        <v>1240</v>
      </c>
      <c r="J15" s="12" t="s">
        <v>1241</v>
      </c>
      <c r="K15" s="12" t="s">
        <v>48</v>
      </c>
      <c r="L15" s="12" t="s">
        <v>1242</v>
      </c>
      <c r="M15" s="12" t="s">
        <v>266</v>
      </c>
      <c r="N15" s="12" t="s">
        <v>1195</v>
      </c>
      <c r="O15" s="11">
        <v>32</v>
      </c>
    </row>
    <row r="16" spans="1:15" ht="60" customHeight="1" x14ac:dyDescent="0.35">
      <c r="A16" s="11">
        <v>12</v>
      </c>
      <c r="B16" s="12" t="s">
        <v>1243</v>
      </c>
      <c r="C16" s="11">
        <v>2024</v>
      </c>
      <c r="D16" s="12" t="s">
        <v>1129</v>
      </c>
      <c r="E16" s="12" t="s">
        <v>1244</v>
      </c>
      <c r="F16" s="12" t="s">
        <v>1245</v>
      </c>
      <c r="G16" s="12" t="s">
        <v>1246</v>
      </c>
      <c r="H16" s="12" t="s">
        <v>1247</v>
      </c>
      <c r="I16" s="12" t="s">
        <v>1248</v>
      </c>
      <c r="J16" s="12" t="s">
        <v>1249</v>
      </c>
      <c r="K16" s="12" t="s">
        <v>48</v>
      </c>
      <c r="L16" s="12" t="s">
        <v>1131</v>
      </c>
      <c r="M16" s="12" t="s">
        <v>1111</v>
      </c>
      <c r="N16" s="12" t="s">
        <v>1250</v>
      </c>
      <c r="O16" s="11">
        <v>200</v>
      </c>
    </row>
    <row r="17" spans="1:15" ht="60" customHeight="1" x14ac:dyDescent="0.35">
      <c r="A17" s="11">
        <v>13</v>
      </c>
      <c r="B17" s="12" t="s">
        <v>1251</v>
      </c>
      <c r="C17" s="11">
        <v>2024</v>
      </c>
      <c r="D17" s="12" t="s">
        <v>411</v>
      </c>
      <c r="E17" s="12" t="s">
        <v>1252</v>
      </c>
      <c r="F17" s="12" t="s">
        <v>1253</v>
      </c>
      <c r="G17" s="12" t="s">
        <v>1254</v>
      </c>
      <c r="H17" s="12" t="s">
        <v>1255</v>
      </c>
      <c r="I17" s="12" t="s">
        <v>1256</v>
      </c>
      <c r="J17" s="12" t="s">
        <v>1257</v>
      </c>
      <c r="K17" s="12" t="s">
        <v>48</v>
      </c>
      <c r="L17" s="12" t="s">
        <v>1258</v>
      </c>
      <c r="M17" s="12" t="s">
        <v>363</v>
      </c>
      <c r="N17" s="12" t="s">
        <v>1259</v>
      </c>
      <c r="O17" s="11">
        <v>56</v>
      </c>
    </row>
    <row r="18" spans="1:15" ht="60" customHeight="1" x14ac:dyDescent="0.35">
      <c r="A18" s="11">
        <v>14</v>
      </c>
      <c r="B18" s="12" t="s">
        <v>1260</v>
      </c>
      <c r="C18" s="11">
        <v>2025</v>
      </c>
      <c r="D18" s="12" t="s">
        <v>168</v>
      </c>
      <c r="E18" s="12" t="s">
        <v>1261</v>
      </c>
      <c r="F18" s="12" t="s">
        <v>1262</v>
      </c>
      <c r="G18" s="12" t="s">
        <v>1263</v>
      </c>
      <c r="H18" s="12" t="s">
        <v>1264</v>
      </c>
      <c r="I18" s="12" t="s">
        <v>1265</v>
      </c>
      <c r="J18" s="12" t="s">
        <v>1266</v>
      </c>
      <c r="K18" s="12" t="s">
        <v>48</v>
      </c>
      <c r="L18" s="12" t="s">
        <v>1267</v>
      </c>
      <c r="M18" s="12" t="s">
        <v>120</v>
      </c>
      <c r="N18" s="12" t="s">
        <v>1268</v>
      </c>
      <c r="O18" s="11">
        <v>9</v>
      </c>
    </row>
    <row r="19" spans="1:15" ht="60" customHeight="1" x14ac:dyDescent="0.35">
      <c r="A19" s="11">
        <v>15</v>
      </c>
      <c r="B19" s="12" t="s">
        <v>1269</v>
      </c>
      <c r="C19" s="11">
        <v>2025</v>
      </c>
      <c r="D19" s="12" t="s">
        <v>302</v>
      </c>
      <c r="E19" s="12" t="s">
        <v>1157</v>
      </c>
      <c r="F19" s="12" t="s">
        <v>1270</v>
      </c>
      <c r="G19" s="12" t="s">
        <v>1271</v>
      </c>
      <c r="H19" s="12" t="s">
        <v>1272</v>
      </c>
      <c r="I19" s="12" t="s">
        <v>1273</v>
      </c>
      <c r="J19" s="12" t="s">
        <v>1274</v>
      </c>
      <c r="K19" s="12" t="s">
        <v>48</v>
      </c>
      <c r="L19" s="12" t="s">
        <v>1275</v>
      </c>
      <c r="M19" s="12" t="s">
        <v>266</v>
      </c>
      <c r="N19" s="12" t="s">
        <v>1276</v>
      </c>
      <c r="O19" s="11">
        <v>34</v>
      </c>
    </row>
    <row r="20" spans="1:15" ht="60" customHeight="1" x14ac:dyDescent="0.35">
      <c r="A20" s="11">
        <v>16</v>
      </c>
      <c r="B20" s="12" t="s">
        <v>1277</v>
      </c>
      <c r="C20" s="11">
        <v>2023</v>
      </c>
      <c r="D20" s="12" t="s">
        <v>545</v>
      </c>
      <c r="E20" s="12" t="s">
        <v>1278</v>
      </c>
      <c r="F20" s="12" t="s">
        <v>1279</v>
      </c>
      <c r="G20" s="12" t="s">
        <v>1280</v>
      </c>
      <c r="H20" s="12" t="s">
        <v>1281</v>
      </c>
      <c r="I20" s="12" t="s">
        <v>1282</v>
      </c>
      <c r="J20" s="12" t="s">
        <v>1283</v>
      </c>
      <c r="K20" s="12" t="s">
        <v>49</v>
      </c>
      <c r="L20" s="12" t="s">
        <v>1126</v>
      </c>
      <c r="M20" s="12" t="s">
        <v>1116</v>
      </c>
      <c r="N20" s="12" t="s">
        <v>1284</v>
      </c>
      <c r="O20" s="11">
        <v>199</v>
      </c>
    </row>
    <row r="21" spans="1:15" ht="60" customHeight="1" x14ac:dyDescent="0.35">
      <c r="A21" s="11">
        <v>17</v>
      </c>
      <c r="B21" s="12" t="s">
        <v>1285</v>
      </c>
      <c r="C21" s="11">
        <v>2024</v>
      </c>
      <c r="D21" s="12" t="s">
        <v>389</v>
      </c>
      <c r="E21" s="12" t="s">
        <v>1286</v>
      </c>
      <c r="F21" s="12" t="s">
        <v>1287</v>
      </c>
      <c r="G21" s="12" t="s">
        <v>1288</v>
      </c>
      <c r="H21" s="12" t="s">
        <v>1289</v>
      </c>
      <c r="I21" s="12" t="s">
        <v>1290</v>
      </c>
      <c r="J21" s="12" t="s">
        <v>1291</v>
      </c>
      <c r="K21" s="12" t="s">
        <v>49</v>
      </c>
      <c r="L21" s="12" t="s">
        <v>1122</v>
      </c>
      <c r="M21" s="12" t="s">
        <v>1116</v>
      </c>
      <c r="N21" s="12" t="s">
        <v>1292</v>
      </c>
      <c r="O21" s="11">
        <v>198</v>
      </c>
    </row>
    <row r="22" spans="1:15" ht="60" customHeight="1" x14ac:dyDescent="0.35">
      <c r="A22" s="11">
        <v>18</v>
      </c>
      <c r="B22" s="12" t="s">
        <v>1293</v>
      </c>
      <c r="C22" s="11">
        <v>2024</v>
      </c>
      <c r="D22" s="12" t="s">
        <v>389</v>
      </c>
      <c r="E22" s="12" t="s">
        <v>1294</v>
      </c>
      <c r="F22" s="12" t="s">
        <v>1295</v>
      </c>
      <c r="G22" s="12" t="s">
        <v>1296</v>
      </c>
      <c r="H22" s="12" t="s">
        <v>1297</v>
      </c>
      <c r="I22" s="12" t="s">
        <v>1298</v>
      </c>
      <c r="J22" s="12" t="s">
        <v>1299</v>
      </c>
      <c r="K22" s="12" t="s">
        <v>49</v>
      </c>
      <c r="L22" s="12" t="s">
        <v>1300</v>
      </c>
      <c r="M22" s="12" t="s">
        <v>363</v>
      </c>
      <c r="N22" s="12" t="s">
        <v>1292</v>
      </c>
      <c r="O22" s="11">
        <v>52</v>
      </c>
    </row>
    <row r="23" spans="1:15" ht="60" customHeight="1" x14ac:dyDescent="0.35">
      <c r="A23" s="11">
        <v>19</v>
      </c>
      <c r="B23" s="12" t="s">
        <v>1301</v>
      </c>
      <c r="C23" s="11">
        <v>2024</v>
      </c>
      <c r="D23" s="12" t="s">
        <v>134</v>
      </c>
      <c r="E23" s="12" t="s">
        <v>1302</v>
      </c>
      <c r="F23" s="12" t="s">
        <v>1303</v>
      </c>
      <c r="G23" s="12" t="s">
        <v>1304</v>
      </c>
      <c r="H23" s="12" t="s">
        <v>1305</v>
      </c>
      <c r="I23" s="12" t="s">
        <v>1306</v>
      </c>
      <c r="J23" s="12" t="s">
        <v>1307</v>
      </c>
      <c r="K23" s="12" t="s">
        <v>49</v>
      </c>
      <c r="L23" s="12" t="s">
        <v>1308</v>
      </c>
      <c r="M23" s="12" t="s">
        <v>363</v>
      </c>
      <c r="N23" s="12" t="s">
        <v>1164</v>
      </c>
      <c r="O23" s="11">
        <v>49</v>
      </c>
    </row>
    <row r="24" spans="1:15" ht="60" customHeight="1" x14ac:dyDescent="0.35">
      <c r="A24" s="11">
        <v>20</v>
      </c>
      <c r="B24" s="12" t="s">
        <v>1309</v>
      </c>
      <c r="C24" s="11">
        <v>2024</v>
      </c>
      <c r="D24" s="12" t="s">
        <v>134</v>
      </c>
      <c r="E24" s="12" t="s">
        <v>1310</v>
      </c>
      <c r="F24" s="12" t="s">
        <v>1311</v>
      </c>
      <c r="G24" s="12" t="s">
        <v>1312</v>
      </c>
      <c r="H24" s="12" t="s">
        <v>1313</v>
      </c>
      <c r="I24" s="12" t="s">
        <v>1314</v>
      </c>
      <c r="J24" s="12" t="s">
        <v>1315</v>
      </c>
      <c r="K24" s="12" t="s">
        <v>49</v>
      </c>
      <c r="L24" s="12" t="s">
        <v>1316</v>
      </c>
      <c r="M24" s="12" t="s">
        <v>135</v>
      </c>
      <c r="N24" s="12" t="s">
        <v>1164</v>
      </c>
      <c r="O24" s="11">
        <v>3</v>
      </c>
    </row>
    <row r="25" spans="1:15" ht="60" customHeight="1" x14ac:dyDescent="0.35">
      <c r="A25" s="11">
        <v>21</v>
      </c>
      <c r="B25" s="12" t="s">
        <v>1317</v>
      </c>
      <c r="C25" s="11">
        <v>2024</v>
      </c>
      <c r="D25" s="12" t="s">
        <v>406</v>
      </c>
      <c r="E25" s="12" t="s">
        <v>1318</v>
      </c>
      <c r="F25" s="12" t="s">
        <v>1319</v>
      </c>
      <c r="G25" s="12" t="s">
        <v>1320</v>
      </c>
      <c r="H25" s="12" t="s">
        <v>1321</v>
      </c>
      <c r="I25" s="12" t="s">
        <v>1322</v>
      </c>
      <c r="J25" s="12" t="s">
        <v>1323</v>
      </c>
      <c r="K25" s="12" t="s">
        <v>49</v>
      </c>
      <c r="L25" s="12" t="s">
        <v>1324</v>
      </c>
      <c r="M25" s="12" t="s">
        <v>363</v>
      </c>
      <c r="N25" s="12" t="s">
        <v>1164</v>
      </c>
      <c r="O25" s="11">
        <v>55</v>
      </c>
    </row>
    <row r="26" spans="1:15" ht="60" customHeight="1" x14ac:dyDescent="0.35">
      <c r="A26" s="11">
        <v>22</v>
      </c>
      <c r="B26" s="12" t="s">
        <v>1325</v>
      </c>
      <c r="C26" s="11">
        <v>2025</v>
      </c>
      <c r="D26" s="12" t="s">
        <v>835</v>
      </c>
      <c r="E26" s="12" t="s">
        <v>1326</v>
      </c>
      <c r="F26" s="12" t="s">
        <v>1327</v>
      </c>
      <c r="G26" s="12" t="s">
        <v>1328</v>
      </c>
      <c r="H26" s="12" t="s">
        <v>1329</v>
      </c>
      <c r="I26" s="12" t="s">
        <v>1330</v>
      </c>
      <c r="J26" s="12" t="s">
        <v>1331</v>
      </c>
      <c r="K26" s="12" t="s">
        <v>49</v>
      </c>
      <c r="L26" s="12" t="s">
        <v>1332</v>
      </c>
      <c r="M26" s="12" t="s">
        <v>730</v>
      </c>
      <c r="N26" s="12" t="s">
        <v>1164</v>
      </c>
      <c r="O26" s="11">
        <v>141</v>
      </c>
    </row>
    <row r="27" spans="1:15" ht="60" customHeight="1" x14ac:dyDescent="0.35">
      <c r="A27" s="11">
        <v>23</v>
      </c>
      <c r="B27" s="12" t="s">
        <v>1333</v>
      </c>
      <c r="C27" s="11">
        <v>2025</v>
      </c>
      <c r="D27" s="12" t="s">
        <v>256</v>
      </c>
      <c r="E27" s="12" t="s">
        <v>1334</v>
      </c>
      <c r="F27" s="12" t="s">
        <v>1335</v>
      </c>
      <c r="G27" s="12" t="s">
        <v>1336</v>
      </c>
      <c r="H27" s="12" t="s">
        <v>1337</v>
      </c>
      <c r="I27" s="12" t="s">
        <v>1338</v>
      </c>
      <c r="J27" s="12" t="s">
        <v>1339</v>
      </c>
      <c r="K27" s="12" t="s">
        <v>49</v>
      </c>
      <c r="L27" s="12" t="s">
        <v>1340</v>
      </c>
      <c r="M27" s="12" t="s">
        <v>120</v>
      </c>
      <c r="N27" s="12" t="s">
        <v>1341</v>
      </c>
      <c r="O27" s="11">
        <v>24</v>
      </c>
    </row>
    <row r="28" spans="1:15" ht="60" customHeight="1" x14ac:dyDescent="0.35">
      <c r="A28" s="11">
        <v>24</v>
      </c>
      <c r="B28" s="12" t="s">
        <v>1342</v>
      </c>
      <c r="C28" s="11">
        <v>2023</v>
      </c>
      <c r="D28" s="12" t="s">
        <v>312</v>
      </c>
      <c r="E28" s="12" t="s">
        <v>1343</v>
      </c>
      <c r="F28" s="12" t="s">
        <v>1344</v>
      </c>
      <c r="G28" s="12" t="s">
        <v>1345</v>
      </c>
      <c r="H28" s="12" t="s">
        <v>1346</v>
      </c>
      <c r="I28" s="12" t="s">
        <v>1347</v>
      </c>
      <c r="J28" s="12" t="s">
        <v>1348</v>
      </c>
      <c r="K28" s="12" t="s">
        <v>50</v>
      </c>
      <c r="L28" s="12" t="s">
        <v>1349</v>
      </c>
      <c r="M28" s="12" t="s">
        <v>612</v>
      </c>
      <c r="N28" s="12" t="s">
        <v>1164</v>
      </c>
      <c r="O28" s="11">
        <v>97</v>
      </c>
    </row>
    <row r="29" spans="1:15" ht="60" customHeight="1" x14ac:dyDescent="0.35">
      <c r="A29" s="11">
        <v>25</v>
      </c>
      <c r="B29" s="12" t="s">
        <v>1350</v>
      </c>
      <c r="C29" s="11">
        <v>2023</v>
      </c>
      <c r="D29" s="12" t="s">
        <v>495</v>
      </c>
      <c r="E29" s="12" t="s">
        <v>1351</v>
      </c>
      <c r="F29" s="12" t="s">
        <v>1352</v>
      </c>
      <c r="G29" s="12" t="s">
        <v>1353</v>
      </c>
      <c r="H29" s="12" t="s">
        <v>1354</v>
      </c>
      <c r="I29" s="12" t="s">
        <v>1355</v>
      </c>
      <c r="J29" s="12" t="s">
        <v>1356</v>
      </c>
      <c r="K29" s="12" t="s">
        <v>50</v>
      </c>
      <c r="L29" s="12" t="s">
        <v>1357</v>
      </c>
      <c r="M29" s="12" t="s">
        <v>489</v>
      </c>
      <c r="N29" s="12" t="s">
        <v>1358</v>
      </c>
      <c r="O29" s="11">
        <v>71</v>
      </c>
    </row>
    <row r="30" spans="1:15" ht="60" customHeight="1" x14ac:dyDescent="0.35">
      <c r="A30" s="11">
        <v>26</v>
      </c>
      <c r="B30" s="12" t="s">
        <v>1359</v>
      </c>
      <c r="C30" s="11">
        <v>2023</v>
      </c>
      <c r="D30" s="12" t="s">
        <v>488</v>
      </c>
      <c r="E30" s="12" t="s">
        <v>1351</v>
      </c>
      <c r="F30" s="12" t="s">
        <v>1360</v>
      </c>
      <c r="G30" s="12" t="s">
        <v>1361</v>
      </c>
      <c r="H30" s="12" t="s">
        <v>1362</v>
      </c>
      <c r="I30" s="12" t="s">
        <v>1363</v>
      </c>
      <c r="J30" s="12" t="s">
        <v>1364</v>
      </c>
      <c r="K30" s="12" t="s">
        <v>50</v>
      </c>
      <c r="L30" s="12" t="s">
        <v>1365</v>
      </c>
      <c r="M30" s="12" t="s">
        <v>489</v>
      </c>
      <c r="N30" s="12" t="s">
        <v>1366</v>
      </c>
      <c r="O30" s="11">
        <v>70</v>
      </c>
    </row>
    <row r="31" spans="1:15" ht="60" customHeight="1" x14ac:dyDescent="0.35">
      <c r="A31" s="11">
        <v>27</v>
      </c>
      <c r="B31" s="12" t="s">
        <v>1367</v>
      </c>
      <c r="C31" s="11">
        <v>2023</v>
      </c>
      <c r="D31" s="12" t="s">
        <v>559</v>
      </c>
      <c r="E31" s="12" t="s">
        <v>1368</v>
      </c>
      <c r="F31" s="12" t="s">
        <v>1369</v>
      </c>
      <c r="G31" s="12" t="s">
        <v>1370</v>
      </c>
      <c r="H31" s="12" t="s">
        <v>1371</v>
      </c>
      <c r="I31" s="12" t="s">
        <v>1372</v>
      </c>
      <c r="J31" s="12" t="s">
        <v>1373</v>
      </c>
      <c r="K31" s="12" t="s">
        <v>50</v>
      </c>
      <c r="L31" s="12" t="s">
        <v>1374</v>
      </c>
      <c r="M31" s="12" t="s">
        <v>489</v>
      </c>
      <c r="N31" s="12" t="s">
        <v>1164</v>
      </c>
      <c r="O31" s="11">
        <v>84</v>
      </c>
    </row>
    <row r="32" spans="1:15" ht="60" customHeight="1" x14ac:dyDescent="0.35">
      <c r="A32" s="11">
        <v>28</v>
      </c>
      <c r="B32" s="12" t="s">
        <v>1375</v>
      </c>
      <c r="C32" s="11">
        <v>2023</v>
      </c>
      <c r="D32" s="12" t="s">
        <v>312</v>
      </c>
      <c r="E32" s="12" t="s">
        <v>1376</v>
      </c>
      <c r="F32" s="12" t="s">
        <v>1377</v>
      </c>
      <c r="G32" s="12" t="s">
        <v>1378</v>
      </c>
      <c r="H32" s="12" t="s">
        <v>1379</v>
      </c>
      <c r="I32" s="12" t="s">
        <v>1380</v>
      </c>
      <c r="J32" s="12" t="s">
        <v>1381</v>
      </c>
      <c r="K32" s="12" t="s">
        <v>50</v>
      </c>
      <c r="L32" s="12" t="s">
        <v>1382</v>
      </c>
      <c r="M32" s="12" t="s">
        <v>489</v>
      </c>
      <c r="N32" s="12" t="s">
        <v>1164</v>
      </c>
      <c r="O32" s="11">
        <v>75</v>
      </c>
    </row>
    <row r="33" spans="1:15" ht="60" customHeight="1" x14ac:dyDescent="0.35">
      <c r="A33" s="11">
        <v>29</v>
      </c>
      <c r="B33" s="12" t="s">
        <v>1383</v>
      </c>
      <c r="C33" s="11">
        <v>2023</v>
      </c>
      <c r="D33" s="12" t="s">
        <v>545</v>
      </c>
      <c r="E33" s="12" t="s">
        <v>1384</v>
      </c>
      <c r="F33" s="12" t="s">
        <v>1385</v>
      </c>
      <c r="G33" s="12" t="s">
        <v>1386</v>
      </c>
      <c r="H33" s="12" t="s">
        <v>1387</v>
      </c>
      <c r="I33" s="12" t="s">
        <v>1388</v>
      </c>
      <c r="J33" s="12" t="s">
        <v>1389</v>
      </c>
      <c r="K33" s="12" t="s">
        <v>50</v>
      </c>
      <c r="L33" s="12" t="s">
        <v>1135</v>
      </c>
      <c r="M33" s="12" t="s">
        <v>1116</v>
      </c>
      <c r="N33" s="12" t="s">
        <v>1284</v>
      </c>
      <c r="O33" s="11">
        <v>201</v>
      </c>
    </row>
    <row r="34" spans="1:15" ht="60" customHeight="1" x14ac:dyDescent="0.35">
      <c r="A34" s="11">
        <v>30</v>
      </c>
      <c r="B34" s="12" t="s">
        <v>1390</v>
      </c>
      <c r="C34" s="11">
        <v>2023</v>
      </c>
      <c r="D34" s="12" t="s">
        <v>545</v>
      </c>
      <c r="E34" s="12" t="s">
        <v>1391</v>
      </c>
      <c r="F34" s="12" t="s">
        <v>1392</v>
      </c>
      <c r="G34" s="12" t="s">
        <v>1393</v>
      </c>
      <c r="H34" s="12" t="s">
        <v>1394</v>
      </c>
      <c r="I34" s="12" t="s">
        <v>1395</v>
      </c>
      <c r="J34" s="12" t="s">
        <v>1396</v>
      </c>
      <c r="K34" s="12" t="s">
        <v>50</v>
      </c>
      <c r="L34" s="12" t="s">
        <v>1397</v>
      </c>
      <c r="M34" s="12" t="s">
        <v>489</v>
      </c>
      <c r="N34" s="12" t="s">
        <v>1284</v>
      </c>
      <c r="O34" s="11">
        <v>81</v>
      </c>
    </row>
    <row r="35" spans="1:15" ht="60" customHeight="1" x14ac:dyDescent="0.35">
      <c r="A35" s="11">
        <v>31</v>
      </c>
      <c r="B35" s="12" t="s">
        <v>1398</v>
      </c>
      <c r="C35" s="11">
        <v>2023</v>
      </c>
      <c r="D35" s="12" t="s">
        <v>312</v>
      </c>
      <c r="E35" s="12" t="s">
        <v>1399</v>
      </c>
      <c r="F35" s="12" t="s">
        <v>1400</v>
      </c>
      <c r="G35" s="12" t="s">
        <v>1401</v>
      </c>
      <c r="H35" s="12" t="s">
        <v>1402</v>
      </c>
      <c r="I35" s="12" t="s">
        <v>1403</v>
      </c>
      <c r="J35" s="12" t="s">
        <v>1404</v>
      </c>
      <c r="K35" s="12" t="s">
        <v>50</v>
      </c>
      <c r="L35" s="12" t="s">
        <v>1405</v>
      </c>
      <c r="M35" s="12" t="s">
        <v>489</v>
      </c>
      <c r="N35" s="12" t="s">
        <v>1164</v>
      </c>
      <c r="O35" s="11">
        <v>82</v>
      </c>
    </row>
    <row r="36" spans="1:15" ht="60" customHeight="1" x14ac:dyDescent="0.35">
      <c r="A36" s="11">
        <v>32</v>
      </c>
      <c r="B36" s="12" t="s">
        <v>1406</v>
      </c>
      <c r="C36" s="11">
        <v>2024</v>
      </c>
      <c r="D36" s="12" t="s">
        <v>293</v>
      </c>
      <c r="E36" s="12" t="s">
        <v>1407</v>
      </c>
      <c r="F36" s="12" t="s">
        <v>1408</v>
      </c>
      <c r="G36" s="12" t="s">
        <v>1409</v>
      </c>
      <c r="H36" s="12" t="s">
        <v>1410</v>
      </c>
      <c r="I36" s="12" t="s">
        <v>1411</v>
      </c>
      <c r="J36" s="12" t="s">
        <v>1412</v>
      </c>
      <c r="K36" s="12" t="s">
        <v>50</v>
      </c>
      <c r="L36" s="12" t="s">
        <v>1413</v>
      </c>
      <c r="M36" s="12" t="s">
        <v>489</v>
      </c>
      <c r="N36" s="12" t="s">
        <v>1195</v>
      </c>
      <c r="O36" s="11">
        <v>86</v>
      </c>
    </row>
    <row r="37" spans="1:15" ht="60" customHeight="1" x14ac:dyDescent="0.35">
      <c r="A37" s="11">
        <v>33</v>
      </c>
      <c r="B37" s="12" t="s">
        <v>1414</v>
      </c>
      <c r="C37" s="11">
        <v>2024</v>
      </c>
      <c r="D37" s="12" t="s">
        <v>406</v>
      </c>
      <c r="E37" s="12" t="s">
        <v>1415</v>
      </c>
      <c r="F37" s="12" t="s">
        <v>1416</v>
      </c>
      <c r="G37" s="12" t="s">
        <v>1417</v>
      </c>
      <c r="H37" s="12" t="s">
        <v>1418</v>
      </c>
      <c r="I37" s="12" t="s">
        <v>1419</v>
      </c>
      <c r="J37" s="12" t="s">
        <v>1420</v>
      </c>
      <c r="K37" s="12" t="s">
        <v>50</v>
      </c>
      <c r="L37" s="12" t="s">
        <v>1421</v>
      </c>
      <c r="M37" s="12" t="s">
        <v>489</v>
      </c>
      <c r="N37" s="12" t="s">
        <v>1164</v>
      </c>
      <c r="O37" s="11">
        <v>74</v>
      </c>
    </row>
    <row r="38" spans="1:15" ht="60" customHeight="1" x14ac:dyDescent="0.35">
      <c r="A38" s="11">
        <v>34</v>
      </c>
      <c r="B38" s="12" t="s">
        <v>1422</v>
      </c>
      <c r="C38" s="11">
        <v>2024</v>
      </c>
      <c r="D38" s="12" t="s">
        <v>573</v>
      </c>
      <c r="E38" s="12" t="s">
        <v>1423</v>
      </c>
      <c r="F38" s="12" t="s">
        <v>1424</v>
      </c>
      <c r="G38" s="12" t="s">
        <v>1425</v>
      </c>
      <c r="H38" s="12" t="s">
        <v>1426</v>
      </c>
      <c r="I38" s="12" t="s">
        <v>1427</v>
      </c>
      <c r="J38" s="12" t="s">
        <v>1428</v>
      </c>
      <c r="K38" s="12" t="s">
        <v>50</v>
      </c>
      <c r="L38" s="12" t="s">
        <v>1429</v>
      </c>
      <c r="M38" s="12" t="s">
        <v>489</v>
      </c>
      <c r="N38" s="12" t="s">
        <v>1164</v>
      </c>
      <c r="O38" s="11">
        <v>87</v>
      </c>
    </row>
    <row r="39" spans="1:15" ht="60" customHeight="1" x14ac:dyDescent="0.35">
      <c r="A39" s="11">
        <v>35</v>
      </c>
      <c r="B39" s="12" t="s">
        <v>1430</v>
      </c>
      <c r="C39" s="11">
        <v>2025</v>
      </c>
      <c r="D39" s="12" t="s">
        <v>607</v>
      </c>
      <c r="E39" s="12" t="s">
        <v>1431</v>
      </c>
      <c r="F39" s="12" t="s">
        <v>1432</v>
      </c>
      <c r="G39" s="12" t="s">
        <v>1433</v>
      </c>
      <c r="H39" s="12" t="s">
        <v>1434</v>
      </c>
      <c r="I39" s="12" t="s">
        <v>1435</v>
      </c>
      <c r="J39" s="12" t="s">
        <v>1436</v>
      </c>
      <c r="K39" s="12" t="s">
        <v>50</v>
      </c>
      <c r="L39" s="12" t="s">
        <v>1437</v>
      </c>
      <c r="M39" s="12" t="s">
        <v>489</v>
      </c>
      <c r="N39" s="12" t="s">
        <v>1341</v>
      </c>
      <c r="O39" s="11">
        <v>94</v>
      </c>
    </row>
    <row r="40" spans="1:15" ht="60" customHeight="1" x14ac:dyDescent="0.35">
      <c r="A40" s="11">
        <v>36</v>
      </c>
      <c r="B40" s="12" t="s">
        <v>1438</v>
      </c>
      <c r="C40" s="11">
        <v>2021</v>
      </c>
      <c r="D40" s="12" t="s">
        <v>1105</v>
      </c>
      <c r="E40" s="12" t="s">
        <v>1415</v>
      </c>
      <c r="F40" s="12" t="s">
        <v>1439</v>
      </c>
      <c r="G40" s="12" t="s">
        <v>1440</v>
      </c>
      <c r="H40" s="12" t="s">
        <v>1441</v>
      </c>
      <c r="I40" s="12" t="s">
        <v>1442</v>
      </c>
      <c r="J40" s="12" t="s">
        <v>1443</v>
      </c>
      <c r="K40" s="12" t="s">
        <v>51</v>
      </c>
      <c r="L40" s="12" t="s">
        <v>1444</v>
      </c>
      <c r="M40" s="12" t="s">
        <v>1106</v>
      </c>
      <c r="N40" s="12" t="s">
        <v>1164</v>
      </c>
      <c r="O40" s="11">
        <v>195</v>
      </c>
    </row>
    <row r="41" spans="1:15" ht="60" customHeight="1" x14ac:dyDescent="0.35">
      <c r="A41" s="11">
        <v>37</v>
      </c>
      <c r="B41" s="12" t="s">
        <v>1445</v>
      </c>
      <c r="C41" s="11">
        <v>2021</v>
      </c>
      <c r="D41" s="12" t="s">
        <v>271</v>
      </c>
      <c r="E41" s="12" t="s">
        <v>1446</v>
      </c>
      <c r="F41" s="12" t="s">
        <v>1447</v>
      </c>
      <c r="G41" s="12" t="s">
        <v>1448</v>
      </c>
      <c r="H41" s="12" t="s">
        <v>1449</v>
      </c>
      <c r="I41" s="12" t="s">
        <v>1450</v>
      </c>
      <c r="J41" s="12" t="s">
        <v>1451</v>
      </c>
      <c r="K41" s="12" t="s">
        <v>51</v>
      </c>
      <c r="L41" s="12" t="s">
        <v>1452</v>
      </c>
      <c r="M41" s="12" t="s">
        <v>612</v>
      </c>
      <c r="N41" s="12" t="s">
        <v>1453</v>
      </c>
      <c r="O41" s="11">
        <v>101</v>
      </c>
    </row>
    <row r="42" spans="1:15" ht="60" customHeight="1" x14ac:dyDescent="0.35">
      <c r="A42" s="11">
        <v>38</v>
      </c>
      <c r="B42" s="12" t="s">
        <v>1454</v>
      </c>
      <c r="C42" s="11">
        <v>2022</v>
      </c>
      <c r="D42" s="12" t="s">
        <v>153</v>
      </c>
      <c r="E42" s="12" t="s">
        <v>1415</v>
      </c>
      <c r="F42" s="12" t="s">
        <v>1455</v>
      </c>
      <c r="G42" s="12" t="s">
        <v>1456</v>
      </c>
      <c r="H42" s="12" t="s">
        <v>1457</v>
      </c>
      <c r="I42" s="12" t="s">
        <v>1458</v>
      </c>
      <c r="J42" s="12" t="s">
        <v>1459</v>
      </c>
      <c r="K42" s="12" t="s">
        <v>51</v>
      </c>
      <c r="L42" s="12" t="s">
        <v>1460</v>
      </c>
      <c r="M42" s="12" t="s">
        <v>1111</v>
      </c>
      <c r="N42" s="12" t="s">
        <v>1164</v>
      </c>
      <c r="O42" s="11">
        <v>196</v>
      </c>
    </row>
    <row r="43" spans="1:15" ht="60" customHeight="1" x14ac:dyDescent="0.35">
      <c r="A43" s="11">
        <v>39</v>
      </c>
      <c r="B43" s="12" t="s">
        <v>1461</v>
      </c>
      <c r="C43" s="11">
        <v>2022</v>
      </c>
      <c r="D43" s="12" t="s">
        <v>153</v>
      </c>
      <c r="E43" s="12" t="s">
        <v>1446</v>
      </c>
      <c r="F43" s="12" t="s">
        <v>1462</v>
      </c>
      <c r="G43" s="12" t="s">
        <v>1463</v>
      </c>
      <c r="H43" s="12" t="s">
        <v>1464</v>
      </c>
      <c r="I43" s="12" t="s">
        <v>1465</v>
      </c>
      <c r="J43" s="12" t="s">
        <v>1466</v>
      </c>
      <c r="K43" s="12" t="s">
        <v>51</v>
      </c>
      <c r="L43" s="12" t="s">
        <v>1467</v>
      </c>
      <c r="M43" s="12" t="s">
        <v>612</v>
      </c>
      <c r="N43" s="12" t="s">
        <v>1164</v>
      </c>
      <c r="O43" s="11">
        <v>96</v>
      </c>
    </row>
    <row r="44" spans="1:15" ht="60" customHeight="1" x14ac:dyDescent="0.35">
      <c r="A44" s="11">
        <v>40</v>
      </c>
      <c r="B44" s="12" t="s">
        <v>1468</v>
      </c>
      <c r="C44" s="11">
        <v>2022</v>
      </c>
      <c r="D44" s="12" t="s">
        <v>682</v>
      </c>
      <c r="E44" s="12" t="s">
        <v>1469</v>
      </c>
      <c r="F44" s="12" t="s">
        <v>1470</v>
      </c>
      <c r="G44" s="12" t="s">
        <v>1471</v>
      </c>
      <c r="H44" s="12" t="s">
        <v>1472</v>
      </c>
      <c r="I44" s="12" t="s">
        <v>1473</v>
      </c>
      <c r="J44" s="12" t="s">
        <v>1474</v>
      </c>
      <c r="K44" s="12" t="s">
        <v>51</v>
      </c>
      <c r="L44" s="12" t="s">
        <v>1475</v>
      </c>
      <c r="M44" s="12" t="s">
        <v>612</v>
      </c>
      <c r="N44" s="12" t="s">
        <v>1476</v>
      </c>
      <c r="O44" s="11">
        <v>110</v>
      </c>
    </row>
    <row r="45" spans="1:15" ht="60" customHeight="1" x14ac:dyDescent="0.35">
      <c r="A45" s="11">
        <v>41</v>
      </c>
      <c r="B45" s="12" t="s">
        <v>1477</v>
      </c>
      <c r="C45" s="11">
        <v>2022</v>
      </c>
      <c r="D45" s="12" t="s">
        <v>643</v>
      </c>
      <c r="E45" s="12" t="s">
        <v>1469</v>
      </c>
      <c r="F45" s="12" t="s">
        <v>1478</v>
      </c>
      <c r="G45" s="12" t="s">
        <v>1479</v>
      </c>
      <c r="H45" s="12" t="s">
        <v>1480</v>
      </c>
      <c r="I45" s="12" t="s">
        <v>1481</v>
      </c>
      <c r="J45" s="12" t="s">
        <v>1482</v>
      </c>
      <c r="K45" s="12" t="s">
        <v>51</v>
      </c>
      <c r="L45" s="12" t="s">
        <v>1483</v>
      </c>
      <c r="M45" s="12" t="s">
        <v>612</v>
      </c>
      <c r="N45" s="12" t="s">
        <v>1164</v>
      </c>
      <c r="O45" s="11">
        <v>102</v>
      </c>
    </row>
    <row r="46" spans="1:15" ht="60" customHeight="1" x14ac:dyDescent="0.35">
      <c r="A46" s="11">
        <v>42</v>
      </c>
      <c r="B46" s="12" t="s">
        <v>1484</v>
      </c>
      <c r="C46" s="11">
        <v>2022</v>
      </c>
      <c r="D46" s="12" t="s">
        <v>611</v>
      </c>
      <c r="E46" s="12" t="s">
        <v>1446</v>
      </c>
      <c r="F46" s="12" t="s">
        <v>1485</v>
      </c>
      <c r="G46" s="12" t="s">
        <v>1486</v>
      </c>
      <c r="H46" s="12" t="s">
        <v>1487</v>
      </c>
      <c r="I46" s="12" t="s">
        <v>1488</v>
      </c>
      <c r="J46" s="12" t="s">
        <v>1489</v>
      </c>
      <c r="K46" s="12" t="s">
        <v>51</v>
      </c>
      <c r="L46" s="12" t="s">
        <v>1490</v>
      </c>
      <c r="M46" s="12" t="s">
        <v>612</v>
      </c>
      <c r="N46" s="12" t="s">
        <v>1164</v>
      </c>
      <c r="O46" s="11">
        <v>95</v>
      </c>
    </row>
    <row r="47" spans="1:15" ht="60" customHeight="1" x14ac:dyDescent="0.35">
      <c r="A47" s="11">
        <v>43</v>
      </c>
      <c r="B47" s="12" t="s">
        <v>1491</v>
      </c>
      <c r="C47" s="11">
        <v>2023</v>
      </c>
      <c r="D47" s="12" t="s">
        <v>652</v>
      </c>
      <c r="E47" s="12" t="s">
        <v>1415</v>
      </c>
      <c r="F47" s="12" t="s">
        <v>1492</v>
      </c>
      <c r="G47" s="12" t="s">
        <v>1493</v>
      </c>
      <c r="H47" s="12" t="s">
        <v>1494</v>
      </c>
      <c r="I47" s="12" t="s">
        <v>1495</v>
      </c>
      <c r="J47" s="12" t="s">
        <v>1496</v>
      </c>
      <c r="K47" s="12" t="s">
        <v>51</v>
      </c>
      <c r="L47" s="12" t="s">
        <v>1497</v>
      </c>
      <c r="M47" s="12" t="s">
        <v>612</v>
      </c>
      <c r="N47" s="12" t="s">
        <v>1164</v>
      </c>
      <c r="O47" s="11">
        <v>104</v>
      </c>
    </row>
    <row r="48" spans="1:15" ht="60" customHeight="1" x14ac:dyDescent="0.35">
      <c r="A48" s="11">
        <v>44</v>
      </c>
      <c r="B48" s="12" t="s">
        <v>1498</v>
      </c>
      <c r="C48" s="11">
        <v>2023</v>
      </c>
      <c r="D48" s="12" t="s">
        <v>635</v>
      </c>
      <c r="E48" s="12" t="s">
        <v>1469</v>
      </c>
      <c r="F48" s="12" t="s">
        <v>1499</v>
      </c>
      <c r="G48" s="12" t="s">
        <v>1500</v>
      </c>
      <c r="H48" s="12" t="s">
        <v>1501</v>
      </c>
      <c r="I48" s="12" t="s">
        <v>1502</v>
      </c>
      <c r="J48" s="12" t="s">
        <v>1503</v>
      </c>
      <c r="K48" s="12" t="s">
        <v>51</v>
      </c>
      <c r="L48" s="12" t="s">
        <v>1504</v>
      </c>
      <c r="M48" s="12" t="s">
        <v>612</v>
      </c>
      <c r="N48" s="12" t="s">
        <v>1505</v>
      </c>
      <c r="O48" s="11">
        <v>100</v>
      </c>
    </row>
    <row r="49" spans="1:15" ht="60" customHeight="1" x14ac:dyDescent="0.35">
      <c r="A49" s="11">
        <v>45</v>
      </c>
      <c r="B49" s="12" t="s">
        <v>1506</v>
      </c>
      <c r="C49" s="11">
        <v>2024</v>
      </c>
      <c r="D49" s="12" t="s">
        <v>630</v>
      </c>
      <c r="E49" s="12" t="s">
        <v>1507</v>
      </c>
      <c r="F49" s="12" t="s">
        <v>1508</v>
      </c>
      <c r="G49" s="12" t="s">
        <v>1509</v>
      </c>
      <c r="H49" s="12" t="s">
        <v>1510</v>
      </c>
      <c r="I49" s="12" t="s">
        <v>1511</v>
      </c>
      <c r="J49" s="12" t="s">
        <v>1512</v>
      </c>
      <c r="K49" s="12" t="s">
        <v>51</v>
      </c>
      <c r="L49" s="12" t="s">
        <v>1513</v>
      </c>
      <c r="M49" s="12" t="s">
        <v>612</v>
      </c>
      <c r="N49" s="12" t="s">
        <v>1259</v>
      </c>
      <c r="O49" s="11">
        <v>99</v>
      </c>
    </row>
    <row r="50" spans="1:15" ht="60" customHeight="1" x14ac:dyDescent="0.35">
      <c r="A50" s="11">
        <v>46</v>
      </c>
      <c r="B50" s="12" t="s">
        <v>1514</v>
      </c>
      <c r="C50" s="11">
        <v>2024</v>
      </c>
      <c r="D50" s="12" t="s">
        <v>554</v>
      </c>
      <c r="E50" s="12" t="s">
        <v>1415</v>
      </c>
      <c r="F50" s="12" t="s">
        <v>1515</v>
      </c>
      <c r="G50" s="12" t="s">
        <v>1516</v>
      </c>
      <c r="H50" s="12" t="s">
        <v>1517</v>
      </c>
      <c r="I50" s="12" t="s">
        <v>1518</v>
      </c>
      <c r="J50" s="12" t="s">
        <v>1519</v>
      </c>
      <c r="K50" s="12" t="s">
        <v>51</v>
      </c>
      <c r="L50" s="12" t="s">
        <v>1520</v>
      </c>
      <c r="M50" s="12" t="s">
        <v>489</v>
      </c>
      <c r="N50" s="12" t="s">
        <v>1164</v>
      </c>
      <c r="O50" s="11">
        <v>83</v>
      </c>
    </row>
    <row r="51" spans="1:15" ht="60" customHeight="1" x14ac:dyDescent="0.35">
      <c r="A51" s="11">
        <v>47</v>
      </c>
      <c r="B51" s="12" t="s">
        <v>1521</v>
      </c>
      <c r="C51" s="11">
        <v>2024</v>
      </c>
      <c r="D51" s="12" t="s">
        <v>630</v>
      </c>
      <c r="E51" s="12" t="s">
        <v>1522</v>
      </c>
      <c r="F51" s="12" t="s">
        <v>1523</v>
      </c>
      <c r="G51" s="12" t="s">
        <v>1524</v>
      </c>
      <c r="H51" s="12" t="s">
        <v>1525</v>
      </c>
      <c r="I51" s="12" t="s">
        <v>1526</v>
      </c>
      <c r="J51" s="12" t="s">
        <v>1527</v>
      </c>
      <c r="K51" s="12" t="s">
        <v>51</v>
      </c>
      <c r="L51" s="12" t="s">
        <v>1528</v>
      </c>
      <c r="M51" s="12" t="s">
        <v>1111</v>
      </c>
      <c r="N51" s="12" t="s">
        <v>1259</v>
      </c>
      <c r="O51" s="11">
        <v>203</v>
      </c>
    </row>
    <row r="52" spans="1:15" ht="60" customHeight="1" x14ac:dyDescent="0.35">
      <c r="A52" s="11">
        <v>48</v>
      </c>
      <c r="B52" s="12" t="s">
        <v>1529</v>
      </c>
      <c r="C52" s="11">
        <v>2025</v>
      </c>
      <c r="D52" s="12" t="s">
        <v>625</v>
      </c>
      <c r="E52" s="12" t="s">
        <v>1530</v>
      </c>
      <c r="F52" s="12" t="s">
        <v>1531</v>
      </c>
      <c r="G52" s="12" t="s">
        <v>1532</v>
      </c>
      <c r="H52" s="12" t="s">
        <v>1533</v>
      </c>
      <c r="I52" s="12" t="s">
        <v>1534</v>
      </c>
      <c r="J52" s="12" t="s">
        <v>1535</v>
      </c>
      <c r="K52" s="12" t="s">
        <v>51</v>
      </c>
      <c r="L52" s="12" t="s">
        <v>1536</v>
      </c>
      <c r="M52" s="12" t="s">
        <v>612</v>
      </c>
      <c r="N52" s="12" t="s">
        <v>1537</v>
      </c>
      <c r="O52" s="11">
        <v>98</v>
      </c>
    </row>
    <row r="53" spans="1:15" ht="60" customHeight="1" x14ac:dyDescent="0.35">
      <c r="A53" s="11">
        <v>49</v>
      </c>
      <c r="B53" s="12" t="s">
        <v>1538</v>
      </c>
      <c r="C53" s="11">
        <v>2022</v>
      </c>
      <c r="D53" s="12" t="s">
        <v>729</v>
      </c>
      <c r="E53" s="12" t="s">
        <v>1539</v>
      </c>
      <c r="F53" s="12" t="s">
        <v>1540</v>
      </c>
      <c r="G53" s="12" t="s">
        <v>1541</v>
      </c>
      <c r="H53" s="12" t="s">
        <v>1542</v>
      </c>
      <c r="I53" s="12" t="s">
        <v>1543</v>
      </c>
      <c r="J53" s="12" t="s">
        <v>1544</v>
      </c>
      <c r="K53" s="12" t="s">
        <v>52</v>
      </c>
      <c r="L53" s="12" t="s">
        <v>1545</v>
      </c>
      <c r="M53" s="12" t="s">
        <v>730</v>
      </c>
      <c r="N53" s="12" t="s">
        <v>1284</v>
      </c>
      <c r="O53" s="11">
        <v>120</v>
      </c>
    </row>
    <row r="54" spans="1:15" ht="60" customHeight="1" x14ac:dyDescent="0.35">
      <c r="A54" s="11">
        <v>50</v>
      </c>
      <c r="B54" s="12" t="s">
        <v>1546</v>
      </c>
      <c r="C54" s="11">
        <v>2024</v>
      </c>
      <c r="D54" s="12" t="s">
        <v>792</v>
      </c>
      <c r="E54" s="12" t="s">
        <v>1539</v>
      </c>
      <c r="F54" s="12" t="s">
        <v>1547</v>
      </c>
      <c r="G54" s="12" t="s">
        <v>1548</v>
      </c>
      <c r="H54" s="12" t="s">
        <v>1549</v>
      </c>
      <c r="I54" s="12" t="s">
        <v>1550</v>
      </c>
      <c r="J54" s="12" t="s">
        <v>1551</v>
      </c>
      <c r="K54" s="12" t="s">
        <v>52</v>
      </c>
      <c r="L54" s="12" t="s">
        <v>1552</v>
      </c>
      <c r="M54" s="12" t="s">
        <v>730</v>
      </c>
      <c r="N54" s="12" t="s">
        <v>1358</v>
      </c>
      <c r="O54" s="11">
        <v>132</v>
      </c>
    </row>
    <row r="55" spans="1:15" ht="60" customHeight="1" x14ac:dyDescent="0.35">
      <c r="A55" s="11">
        <v>51</v>
      </c>
      <c r="B55" s="12" t="s">
        <v>1553</v>
      </c>
      <c r="C55" s="11">
        <v>2024</v>
      </c>
      <c r="D55" s="12" t="s">
        <v>554</v>
      </c>
      <c r="E55" s="12" t="s">
        <v>1539</v>
      </c>
      <c r="F55" s="12" t="s">
        <v>1554</v>
      </c>
      <c r="G55" s="12" t="s">
        <v>1555</v>
      </c>
      <c r="H55" s="12" t="s">
        <v>1556</v>
      </c>
      <c r="I55" s="12" t="s">
        <v>1557</v>
      </c>
      <c r="J55" s="12" t="s">
        <v>1558</v>
      </c>
      <c r="K55" s="12" t="s">
        <v>52</v>
      </c>
      <c r="L55" s="12" t="s">
        <v>1559</v>
      </c>
      <c r="M55" s="12" t="s">
        <v>730</v>
      </c>
      <c r="N55" s="12" t="s">
        <v>1164</v>
      </c>
      <c r="O55" s="11">
        <v>138</v>
      </c>
    </row>
    <row r="56" spans="1:15" ht="60" customHeight="1" x14ac:dyDescent="0.35">
      <c r="A56" s="11">
        <v>52</v>
      </c>
      <c r="B56" s="12" t="s">
        <v>1560</v>
      </c>
      <c r="C56" s="11">
        <v>2024</v>
      </c>
      <c r="D56" s="12" t="s">
        <v>751</v>
      </c>
      <c r="E56" s="12" t="s">
        <v>1539</v>
      </c>
      <c r="F56" s="12" t="s">
        <v>1561</v>
      </c>
      <c r="G56" s="12" t="s">
        <v>1562</v>
      </c>
      <c r="H56" s="12" t="s">
        <v>1563</v>
      </c>
      <c r="I56" s="12" t="s">
        <v>1564</v>
      </c>
      <c r="J56" s="12" t="s">
        <v>1565</v>
      </c>
      <c r="K56" s="12" t="s">
        <v>52</v>
      </c>
      <c r="L56" s="12" t="s">
        <v>1566</v>
      </c>
      <c r="M56" s="12" t="s">
        <v>730</v>
      </c>
      <c r="N56" s="12" t="s">
        <v>1284</v>
      </c>
      <c r="O56" s="11">
        <v>124</v>
      </c>
    </row>
    <row r="57" spans="1:15" ht="60" customHeight="1" x14ac:dyDescent="0.35">
      <c r="A57" s="11">
        <v>53</v>
      </c>
      <c r="B57" s="12" t="s">
        <v>1567</v>
      </c>
      <c r="C57" s="11">
        <v>2024</v>
      </c>
      <c r="D57" s="12" t="s">
        <v>531</v>
      </c>
      <c r="E57" s="12" t="s">
        <v>1423</v>
      </c>
      <c r="F57" s="12" t="s">
        <v>1568</v>
      </c>
      <c r="G57" s="12" t="s">
        <v>1569</v>
      </c>
      <c r="H57" s="12" t="s">
        <v>1570</v>
      </c>
      <c r="I57" s="12" t="s">
        <v>1571</v>
      </c>
      <c r="J57" s="12" t="s">
        <v>1572</v>
      </c>
      <c r="K57" s="12" t="s">
        <v>52</v>
      </c>
      <c r="L57" s="12" t="s">
        <v>1573</v>
      </c>
      <c r="M57" s="12" t="s">
        <v>489</v>
      </c>
      <c r="N57" s="12" t="s">
        <v>1574</v>
      </c>
      <c r="O57" s="11">
        <v>78</v>
      </c>
    </row>
    <row r="58" spans="1:15" ht="60" customHeight="1" x14ac:dyDescent="0.35">
      <c r="A58" s="11">
        <v>54</v>
      </c>
      <c r="B58" s="12" t="s">
        <v>1575</v>
      </c>
      <c r="C58" s="11">
        <v>2025</v>
      </c>
      <c r="D58" s="12" t="s">
        <v>845</v>
      </c>
      <c r="E58" s="12" t="s">
        <v>1539</v>
      </c>
      <c r="F58" s="12" t="s">
        <v>1576</v>
      </c>
      <c r="G58" s="12" t="s">
        <v>1577</v>
      </c>
      <c r="H58" s="12" t="s">
        <v>1578</v>
      </c>
      <c r="I58" s="12" t="s">
        <v>1579</v>
      </c>
      <c r="J58" s="12" t="s">
        <v>1580</v>
      </c>
      <c r="K58" s="12" t="s">
        <v>52</v>
      </c>
      <c r="L58" s="12" t="s">
        <v>1581</v>
      </c>
      <c r="M58" s="12" t="s">
        <v>730</v>
      </c>
      <c r="N58" s="12" t="s">
        <v>1582</v>
      </c>
      <c r="O58" s="11">
        <v>143</v>
      </c>
    </row>
    <row r="59" spans="1:15" ht="60" customHeight="1" x14ac:dyDescent="0.35">
      <c r="A59" s="11">
        <v>55</v>
      </c>
      <c r="B59" s="12" t="s">
        <v>1583</v>
      </c>
      <c r="C59" s="11">
        <v>2025</v>
      </c>
      <c r="D59" s="12" t="s">
        <v>835</v>
      </c>
      <c r="E59" s="12" t="s">
        <v>1539</v>
      </c>
      <c r="F59" s="12" t="s">
        <v>1584</v>
      </c>
      <c r="G59" s="12" t="s">
        <v>1585</v>
      </c>
      <c r="H59" s="12" t="s">
        <v>1586</v>
      </c>
      <c r="I59" s="12" t="s">
        <v>1587</v>
      </c>
      <c r="J59" s="12" t="s">
        <v>1588</v>
      </c>
      <c r="K59" s="12" t="s">
        <v>52</v>
      </c>
      <c r="L59" s="12" t="s">
        <v>1589</v>
      </c>
      <c r="M59" s="12" t="s">
        <v>730</v>
      </c>
      <c r="N59" s="12" t="s">
        <v>1164</v>
      </c>
      <c r="O59" s="11">
        <v>144</v>
      </c>
    </row>
    <row r="60" spans="1:15" ht="60" customHeight="1" x14ac:dyDescent="0.35">
      <c r="A60" s="11">
        <v>56</v>
      </c>
      <c r="B60" s="12" t="s">
        <v>1590</v>
      </c>
      <c r="C60" s="11">
        <v>2022</v>
      </c>
      <c r="D60" s="12" t="s">
        <v>854</v>
      </c>
      <c r="E60" s="12" t="s">
        <v>1591</v>
      </c>
      <c r="F60" s="12" t="s">
        <v>1592</v>
      </c>
      <c r="G60" s="12" t="s">
        <v>1593</v>
      </c>
      <c r="H60" s="12" t="s">
        <v>1594</v>
      </c>
      <c r="I60" s="12" t="s">
        <v>1595</v>
      </c>
      <c r="J60" s="12" t="s">
        <v>1596</v>
      </c>
      <c r="K60" s="12" t="s">
        <v>53</v>
      </c>
      <c r="L60" s="12" t="s">
        <v>1597</v>
      </c>
      <c r="M60" s="12" t="s">
        <v>855</v>
      </c>
      <c r="N60" s="12" t="s">
        <v>1598</v>
      </c>
      <c r="O60" s="11">
        <v>145</v>
      </c>
    </row>
    <row r="61" spans="1:15" ht="60" customHeight="1" x14ac:dyDescent="0.35">
      <c r="A61" s="11">
        <v>57</v>
      </c>
      <c r="B61" s="12" t="s">
        <v>1599</v>
      </c>
      <c r="C61" s="11">
        <v>2023</v>
      </c>
      <c r="D61" s="12" t="s">
        <v>545</v>
      </c>
      <c r="E61" s="12" t="s">
        <v>1600</v>
      </c>
      <c r="F61" s="12" t="s">
        <v>1601</v>
      </c>
      <c r="G61" s="12" t="s">
        <v>1602</v>
      </c>
      <c r="H61" s="12" t="s">
        <v>1603</v>
      </c>
      <c r="I61" s="12" t="s">
        <v>1604</v>
      </c>
      <c r="J61" s="12" t="s">
        <v>1605</v>
      </c>
      <c r="K61" s="12" t="s">
        <v>53</v>
      </c>
      <c r="L61" s="12" t="s">
        <v>1606</v>
      </c>
      <c r="M61" s="12" t="s">
        <v>855</v>
      </c>
      <c r="N61" s="12" t="s">
        <v>1284</v>
      </c>
      <c r="O61" s="11">
        <v>146</v>
      </c>
    </row>
    <row r="62" spans="1:15" ht="60" customHeight="1" x14ac:dyDescent="0.35">
      <c r="A62" s="11">
        <v>58</v>
      </c>
      <c r="B62" s="12" t="s">
        <v>1607</v>
      </c>
      <c r="C62" s="11">
        <v>2023</v>
      </c>
      <c r="D62" s="12" t="s">
        <v>559</v>
      </c>
      <c r="E62" s="12" t="s">
        <v>1591</v>
      </c>
      <c r="F62" s="12" t="s">
        <v>1608</v>
      </c>
      <c r="G62" s="12" t="s">
        <v>1609</v>
      </c>
      <c r="H62" s="12" t="s">
        <v>1610</v>
      </c>
      <c r="I62" s="12" t="s">
        <v>1611</v>
      </c>
      <c r="J62" s="12" t="s">
        <v>1612</v>
      </c>
      <c r="K62" s="12" t="s">
        <v>53</v>
      </c>
      <c r="L62" s="12" t="s">
        <v>1613</v>
      </c>
      <c r="M62" s="12" t="s">
        <v>855</v>
      </c>
      <c r="N62" s="12" t="s">
        <v>1164</v>
      </c>
      <c r="O62" s="11">
        <v>164</v>
      </c>
    </row>
    <row r="63" spans="1:15" ht="60" customHeight="1" x14ac:dyDescent="0.35">
      <c r="A63" s="11">
        <v>59</v>
      </c>
      <c r="B63" s="12" t="s">
        <v>1614</v>
      </c>
      <c r="C63" s="11">
        <v>2023</v>
      </c>
      <c r="D63" s="12" t="s">
        <v>559</v>
      </c>
      <c r="E63" s="12" t="s">
        <v>1615</v>
      </c>
      <c r="F63" s="12" t="s">
        <v>1616</v>
      </c>
      <c r="G63" s="12" t="s">
        <v>1617</v>
      </c>
      <c r="H63" s="12" t="s">
        <v>1618</v>
      </c>
      <c r="I63" s="12" t="s">
        <v>1619</v>
      </c>
      <c r="J63" s="12" t="s">
        <v>1620</v>
      </c>
      <c r="K63" s="12" t="s">
        <v>53</v>
      </c>
      <c r="L63" s="12" t="s">
        <v>1621</v>
      </c>
      <c r="M63" s="12" t="s">
        <v>981</v>
      </c>
      <c r="N63" s="12" t="s">
        <v>1164</v>
      </c>
      <c r="O63" s="11">
        <v>176</v>
      </c>
    </row>
    <row r="64" spans="1:15" ht="60" customHeight="1" x14ac:dyDescent="0.35">
      <c r="A64" s="11">
        <v>60</v>
      </c>
      <c r="B64" s="12" t="s">
        <v>1622</v>
      </c>
      <c r="C64" s="11">
        <v>2024</v>
      </c>
      <c r="D64" s="12" t="s">
        <v>293</v>
      </c>
      <c r="E64" s="12" t="s">
        <v>1623</v>
      </c>
      <c r="F64" s="12" t="s">
        <v>1624</v>
      </c>
      <c r="G64" s="12" t="s">
        <v>1625</v>
      </c>
      <c r="H64" s="12" t="s">
        <v>1626</v>
      </c>
      <c r="I64" s="12" t="s">
        <v>1627</v>
      </c>
      <c r="J64" s="12" t="s">
        <v>1628</v>
      </c>
      <c r="K64" s="12" t="s">
        <v>53</v>
      </c>
      <c r="L64" s="12" t="s">
        <v>1629</v>
      </c>
      <c r="M64" s="12" t="s">
        <v>855</v>
      </c>
      <c r="N64" s="12" t="s">
        <v>1195</v>
      </c>
      <c r="O64" s="11">
        <v>156</v>
      </c>
    </row>
    <row r="65" spans="1:15" ht="60" customHeight="1" x14ac:dyDescent="0.35">
      <c r="A65" s="11">
        <v>61</v>
      </c>
      <c r="B65" s="12" t="s">
        <v>1630</v>
      </c>
      <c r="C65" s="11">
        <v>2024</v>
      </c>
      <c r="D65" s="12" t="s">
        <v>1002</v>
      </c>
      <c r="E65" s="12" t="s">
        <v>1631</v>
      </c>
      <c r="F65" s="12" t="s">
        <v>1632</v>
      </c>
      <c r="G65" s="12" t="s">
        <v>1633</v>
      </c>
      <c r="H65" s="12" t="s">
        <v>1634</v>
      </c>
      <c r="I65" s="12" t="s">
        <v>1635</v>
      </c>
      <c r="J65" s="12" t="s">
        <v>1636</v>
      </c>
      <c r="K65" s="12" t="s">
        <v>53</v>
      </c>
      <c r="L65" s="12" t="s">
        <v>1637</v>
      </c>
      <c r="M65" s="12" t="s">
        <v>981</v>
      </c>
      <c r="N65" s="12" t="s">
        <v>1259</v>
      </c>
      <c r="O65" s="11">
        <v>174</v>
      </c>
    </row>
    <row r="66" spans="1:15" ht="60" customHeight="1" x14ac:dyDescent="0.35">
      <c r="A66" s="11">
        <v>62</v>
      </c>
      <c r="B66" s="12" t="s">
        <v>1638</v>
      </c>
      <c r="C66" s="11">
        <v>2024</v>
      </c>
      <c r="D66" s="12" t="s">
        <v>1020</v>
      </c>
      <c r="E66" s="12" t="s">
        <v>1639</v>
      </c>
      <c r="F66" s="12" t="s">
        <v>1640</v>
      </c>
      <c r="G66" s="12" t="s">
        <v>1641</v>
      </c>
      <c r="H66" s="12" t="s">
        <v>1642</v>
      </c>
      <c r="I66" s="12" t="s">
        <v>1643</v>
      </c>
      <c r="J66" s="12" t="s">
        <v>1644</v>
      </c>
      <c r="K66" s="12" t="s">
        <v>53</v>
      </c>
      <c r="L66" s="12" t="s">
        <v>1645</v>
      </c>
      <c r="M66" s="12" t="s">
        <v>981</v>
      </c>
      <c r="N66" s="12" t="s">
        <v>1164</v>
      </c>
      <c r="O66" s="11">
        <v>178</v>
      </c>
    </row>
    <row r="67" spans="1:15" ht="60" customHeight="1" x14ac:dyDescent="0.35">
      <c r="A67" s="11">
        <v>63</v>
      </c>
      <c r="B67" s="12" t="s">
        <v>1646</v>
      </c>
      <c r="C67" s="11">
        <v>2025</v>
      </c>
      <c r="D67" s="12" t="s">
        <v>886</v>
      </c>
      <c r="E67" s="12" t="s">
        <v>1310</v>
      </c>
      <c r="F67" s="12" t="s">
        <v>1647</v>
      </c>
      <c r="G67" s="12" t="s">
        <v>1648</v>
      </c>
      <c r="H67" s="12" t="s">
        <v>1649</v>
      </c>
      <c r="I67" s="12" t="s">
        <v>1650</v>
      </c>
      <c r="J67" s="12" t="s">
        <v>1651</v>
      </c>
      <c r="K67" s="12" t="s">
        <v>53</v>
      </c>
      <c r="L67" s="12" t="s">
        <v>1652</v>
      </c>
      <c r="M67" s="12" t="s">
        <v>855</v>
      </c>
      <c r="N67" s="12" t="s">
        <v>1574</v>
      </c>
      <c r="O67" s="11">
        <v>151</v>
      </c>
    </row>
    <row r="68" spans="1:15" ht="60" customHeight="1" x14ac:dyDescent="0.35">
      <c r="A68" s="11">
        <v>64</v>
      </c>
      <c r="B68" s="12" t="s">
        <v>1653</v>
      </c>
      <c r="C68" s="11">
        <v>2025</v>
      </c>
      <c r="D68" s="12" t="s">
        <v>936</v>
      </c>
      <c r="E68" s="12" t="s">
        <v>1654</v>
      </c>
      <c r="F68" s="12" t="s">
        <v>1655</v>
      </c>
      <c r="G68" s="12" t="s">
        <v>1656</v>
      </c>
      <c r="H68" s="12" t="s">
        <v>1657</v>
      </c>
      <c r="I68" s="12" t="s">
        <v>1658</v>
      </c>
      <c r="J68" s="12" t="s">
        <v>1659</v>
      </c>
      <c r="K68" s="12" t="s">
        <v>53</v>
      </c>
      <c r="L68" s="12" t="s">
        <v>1660</v>
      </c>
      <c r="M68" s="12" t="s">
        <v>855</v>
      </c>
      <c r="N68" s="12" t="s">
        <v>1537</v>
      </c>
      <c r="O68" s="11">
        <v>161</v>
      </c>
    </row>
  </sheetData>
  <autoFilter ref="A4:O68" xr:uid="{00000000-0009-0000-0000-000003000000}"/>
  <mergeCells count="1"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42"/>
  <sheetViews>
    <sheetView workbookViewId="0"/>
  </sheetViews>
  <sheetFormatPr defaultRowHeight="14.5" x14ac:dyDescent="0.35"/>
  <cols>
    <col min="1" max="1" width="3" customWidth="1"/>
    <col min="2" max="2" width="58" customWidth="1"/>
    <col min="3" max="3" width="12" customWidth="1"/>
    <col min="4" max="4" width="60" customWidth="1"/>
  </cols>
  <sheetData>
    <row r="2" spans="2:4" ht="18" x14ac:dyDescent="0.4">
      <c r="B2" s="10" t="s">
        <v>1661</v>
      </c>
    </row>
    <row r="3" spans="2:4" x14ac:dyDescent="0.35">
      <c r="B3" s="17" t="s">
        <v>1662</v>
      </c>
    </row>
    <row r="5" spans="2:4" x14ac:dyDescent="0.35">
      <c r="B5" s="3" t="s">
        <v>1663</v>
      </c>
      <c r="C5" s="3" t="s">
        <v>1664</v>
      </c>
      <c r="D5" s="3" t="s">
        <v>1665</v>
      </c>
    </row>
    <row r="6" spans="2:4" x14ac:dyDescent="0.35">
      <c r="B6" s="5" t="s">
        <v>1666</v>
      </c>
    </row>
    <row r="7" spans="2:4" x14ac:dyDescent="0.35">
      <c r="B7" s="4" t="s">
        <v>1667</v>
      </c>
      <c r="C7" s="18">
        <f>'01 Search log'!E28</f>
        <v>6496</v>
      </c>
      <c r="D7" s="19" t="s">
        <v>1668</v>
      </c>
    </row>
    <row r="8" spans="2:4" x14ac:dyDescent="0.35">
      <c r="B8" s="4" t="s">
        <v>1669</v>
      </c>
      <c r="C8" s="18">
        <f>C7-C9</f>
        <v>6299</v>
      </c>
      <c r="D8" s="19" t="s">
        <v>1670</v>
      </c>
    </row>
    <row r="9" spans="2:4" x14ac:dyDescent="0.35">
      <c r="B9" s="4" t="s">
        <v>68</v>
      </c>
      <c r="C9" s="18">
        <f>'01 Search log'!F28</f>
        <v>197</v>
      </c>
      <c r="D9" s="19" t="s">
        <v>1671</v>
      </c>
    </row>
    <row r="10" spans="2:4" ht="25" x14ac:dyDescent="0.35">
      <c r="B10" s="4" t="s">
        <v>1672</v>
      </c>
      <c r="C10" s="18">
        <f>C9-C11</f>
        <v>3</v>
      </c>
      <c r="D10" s="19" t="s">
        <v>1673</v>
      </c>
    </row>
    <row r="11" spans="2:4" x14ac:dyDescent="0.35">
      <c r="B11" s="4" t="s">
        <v>1674</v>
      </c>
      <c r="C11" s="18">
        <f>COUNTIF('02 Screening log'!$L$6:$L$400,"Database search")</f>
        <v>194</v>
      </c>
      <c r="D11" s="19" t="s">
        <v>1675</v>
      </c>
    </row>
    <row r="12" spans="2:4" x14ac:dyDescent="0.35">
      <c r="B12" s="4" t="s">
        <v>1676</v>
      </c>
      <c r="C12" s="18">
        <f>COUNTIFS('02 Screening log'!$L$6:$L$400,"Database search",'02 Screening log'!$G$6:$G$400,"DROP")</f>
        <v>106</v>
      </c>
      <c r="D12" s="19" t="s">
        <v>1677</v>
      </c>
    </row>
    <row r="13" spans="2:4" x14ac:dyDescent="0.35">
      <c r="B13" s="4" t="s">
        <v>1678</v>
      </c>
      <c r="C13" s="18">
        <f>COUNTIFS('02 Screening log'!$L$6:$L$400,"Database search",'02 Screening log'!$H$6:$H$400,"DROP")</f>
        <v>3</v>
      </c>
      <c r="D13" s="19" t="s">
        <v>1679</v>
      </c>
    </row>
    <row r="14" spans="2:4" x14ac:dyDescent="0.35">
      <c r="B14" s="4" t="s">
        <v>1680</v>
      </c>
      <c r="C14" s="18">
        <f>C11-C12-C13</f>
        <v>85</v>
      </c>
      <c r="D14" s="19" t="s">
        <v>1681</v>
      </c>
    </row>
    <row r="15" spans="2:4" x14ac:dyDescent="0.35">
      <c r="B15" s="4" t="s">
        <v>1682</v>
      </c>
      <c r="C15" s="18">
        <f>COUNTIFS('02 Screening log'!$L$6:$L$400,"Database search",'02 Screening log'!$I$6:$I$400,"DROP")</f>
        <v>30</v>
      </c>
      <c r="D15" s="19" t="s">
        <v>1683</v>
      </c>
    </row>
    <row r="16" spans="2:4" x14ac:dyDescent="0.35">
      <c r="B16" s="4" t="s">
        <v>1684</v>
      </c>
      <c r="C16" s="18">
        <f>C14-C15</f>
        <v>55</v>
      </c>
      <c r="D16" s="19" t="s">
        <v>1685</v>
      </c>
    </row>
    <row r="17" spans="2:4" x14ac:dyDescent="0.35">
      <c r="B17" s="5" t="s">
        <v>1686</v>
      </c>
    </row>
    <row r="18" spans="2:4" x14ac:dyDescent="0.35">
      <c r="B18" s="4" t="s">
        <v>1687</v>
      </c>
      <c r="C18" s="18">
        <f>COUNTIF('02 Screening log'!$L$6:$L$400,"Citation chasing")</f>
        <v>9</v>
      </c>
      <c r="D18" s="19" t="s">
        <v>1688</v>
      </c>
    </row>
    <row r="19" spans="2:4" x14ac:dyDescent="0.35">
      <c r="B19" s="4" t="s">
        <v>1682</v>
      </c>
      <c r="C19" s="18">
        <f>COUNTIFS('02 Screening log'!$L$6:$L$400,"Citation chasing",'02 Screening log'!$I$6:$I$400,"DROP")</f>
        <v>0</v>
      </c>
      <c r="D19" s="19" t="s">
        <v>1689</v>
      </c>
    </row>
    <row r="20" spans="2:4" x14ac:dyDescent="0.35">
      <c r="B20" s="4" t="s">
        <v>1690</v>
      </c>
      <c r="C20" s="18">
        <f>C18-C19</f>
        <v>9</v>
      </c>
      <c r="D20" s="19" t="s">
        <v>1691</v>
      </c>
    </row>
    <row r="21" spans="2:4" x14ac:dyDescent="0.35">
      <c r="B21" s="4" t="s">
        <v>1692</v>
      </c>
      <c r="C21" s="18">
        <f>C16+C20</f>
        <v>64</v>
      </c>
      <c r="D21" s="19" t="s">
        <v>1693</v>
      </c>
    </row>
    <row r="22" spans="2:4" x14ac:dyDescent="0.35">
      <c r="B22" s="4" t="s">
        <v>1694</v>
      </c>
      <c r="C22" s="18">
        <f>COUNTIF('02 Screening log'!$K$6:$K$400,"YES")</f>
        <v>64</v>
      </c>
      <c r="D22" s="19" t="s">
        <v>1695</v>
      </c>
    </row>
    <row r="25" spans="2:4" x14ac:dyDescent="0.35">
      <c r="B25" s="5" t="s">
        <v>1696</v>
      </c>
    </row>
    <row r="26" spans="2:4" x14ac:dyDescent="0.35">
      <c r="B26" s="3" t="s">
        <v>1697</v>
      </c>
      <c r="C26" s="3" t="s">
        <v>1664</v>
      </c>
      <c r="D26" s="3" t="s">
        <v>1698</v>
      </c>
    </row>
    <row r="27" spans="2:4" ht="30" customHeight="1" x14ac:dyDescent="0.35">
      <c r="B27" s="7" t="s">
        <v>197</v>
      </c>
      <c r="C27" s="20">
        <f>COUNTIF('02 Screening log'!$J$6:$J$400,B27)</f>
        <v>16</v>
      </c>
      <c r="D27" s="19" t="s">
        <v>1699</v>
      </c>
    </row>
    <row r="28" spans="2:4" ht="30" customHeight="1" x14ac:dyDescent="0.35">
      <c r="B28" s="7" t="s">
        <v>1700</v>
      </c>
      <c r="C28" s="20">
        <f>COUNTIF('02 Screening log'!$J$6:$J$400,B28)</f>
        <v>0</v>
      </c>
      <c r="D28" s="19" t="s">
        <v>1701</v>
      </c>
    </row>
    <row r="29" spans="2:4" ht="30" customHeight="1" x14ac:dyDescent="0.35">
      <c r="B29" s="7" t="s">
        <v>1702</v>
      </c>
      <c r="C29" s="20">
        <f>COUNTIF('02 Screening log'!$J$6:$J$400,B29)</f>
        <v>0</v>
      </c>
      <c r="D29" s="19" t="s">
        <v>1703</v>
      </c>
    </row>
    <row r="30" spans="2:4" ht="30" customHeight="1" x14ac:dyDescent="0.35">
      <c r="B30" s="7" t="s">
        <v>307</v>
      </c>
      <c r="C30" s="20">
        <f>COUNTIF('02 Screening log'!$J$6:$J$400,B30)</f>
        <v>8</v>
      </c>
      <c r="D30" s="19" t="s">
        <v>1704</v>
      </c>
    </row>
    <row r="31" spans="2:4" ht="30" customHeight="1" x14ac:dyDescent="0.35">
      <c r="B31" s="7" t="s">
        <v>162</v>
      </c>
      <c r="C31" s="20">
        <f>COUNTIF('02 Screening log'!$J$6:$J$400,B31)</f>
        <v>6</v>
      </c>
      <c r="D31" s="19" t="s">
        <v>1705</v>
      </c>
    </row>
    <row r="32" spans="2:4" x14ac:dyDescent="0.35">
      <c r="B32" s="5" t="s">
        <v>1706</v>
      </c>
      <c r="C32" s="13">
        <f>SUM(C27:C31)</f>
        <v>30</v>
      </c>
      <c r="D32" s="17" t="s">
        <v>1707</v>
      </c>
    </row>
    <row r="35" spans="2:4" x14ac:dyDescent="0.35">
      <c r="B35" s="5" t="s">
        <v>1708</v>
      </c>
    </row>
    <row r="36" spans="2:4" x14ac:dyDescent="0.35">
      <c r="B36" s="3" t="s">
        <v>1709</v>
      </c>
      <c r="C36" s="3" t="s">
        <v>1664</v>
      </c>
      <c r="D36" s="3" t="s">
        <v>1710</v>
      </c>
    </row>
    <row r="37" spans="2:4" x14ac:dyDescent="0.35">
      <c r="B37" s="21" t="s">
        <v>1711</v>
      </c>
      <c r="C37" s="20">
        <f>COUNTIF('03 Extraction matrix'!$K$5:$K$68,B37&amp;"*")</f>
        <v>15</v>
      </c>
      <c r="D37" s="7" t="s">
        <v>1712</v>
      </c>
    </row>
    <row r="38" spans="2:4" x14ac:dyDescent="0.35">
      <c r="B38" s="21" t="s">
        <v>1713</v>
      </c>
      <c r="C38" s="20">
        <f>COUNTIF('03 Extraction matrix'!$K$5:$K$68,B38&amp;"*")</f>
        <v>8</v>
      </c>
      <c r="D38" s="7" t="s">
        <v>1714</v>
      </c>
    </row>
    <row r="39" spans="2:4" x14ac:dyDescent="0.35">
      <c r="B39" s="21" t="s">
        <v>1715</v>
      </c>
      <c r="C39" s="20">
        <f>COUNTIF('03 Extraction matrix'!$K$5:$K$68,B39&amp;"*")</f>
        <v>12</v>
      </c>
      <c r="D39" s="7" t="s">
        <v>1716</v>
      </c>
    </row>
    <row r="40" spans="2:4" x14ac:dyDescent="0.35">
      <c r="B40" s="21" t="s">
        <v>1717</v>
      </c>
      <c r="C40" s="20">
        <f>COUNTIF('03 Extraction matrix'!$K$5:$K$68,B40&amp;"*")</f>
        <v>13</v>
      </c>
      <c r="D40" s="7" t="s">
        <v>1718</v>
      </c>
    </row>
    <row r="41" spans="2:4" x14ac:dyDescent="0.35">
      <c r="B41" s="21" t="s">
        <v>1719</v>
      </c>
      <c r="C41" s="20">
        <f>COUNTIF('03 Extraction matrix'!$K$5:$K$68,B41&amp;"*")</f>
        <v>7</v>
      </c>
      <c r="D41" s="7" t="s">
        <v>1720</v>
      </c>
    </row>
    <row r="42" spans="2:4" x14ac:dyDescent="0.35">
      <c r="B42" s="21" t="s">
        <v>1721</v>
      </c>
      <c r="C42" s="20">
        <f>COUNTIF('03 Extraction matrix'!$K$5:$K$68,B42&amp;"*")</f>
        <v>9</v>
      </c>
      <c r="D42" s="7" t="s">
        <v>1722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50" customWidth="1"/>
    <col min="3" max="3" width="24" customWidth="1"/>
    <col min="4" max="4" width="18" customWidth="1"/>
    <col min="5" max="5" width="52" customWidth="1"/>
  </cols>
  <sheetData>
    <row r="1" spans="1:5" ht="18" x14ac:dyDescent="0.4">
      <c r="A1" s="10" t="s">
        <v>1723</v>
      </c>
    </row>
    <row r="2" spans="1:5" x14ac:dyDescent="0.35">
      <c r="A2" s="27" t="s">
        <v>1724</v>
      </c>
      <c r="B2" s="25"/>
      <c r="C2" s="25"/>
      <c r="D2" s="25"/>
      <c r="E2" s="25"/>
    </row>
    <row r="4" spans="1:5" ht="30" customHeight="1" x14ac:dyDescent="0.35">
      <c r="A4" s="3" t="s">
        <v>63</v>
      </c>
      <c r="B4" s="3" t="s">
        <v>1725</v>
      </c>
      <c r="C4" s="3" t="s">
        <v>1726</v>
      </c>
      <c r="D4" s="3" t="s">
        <v>1727</v>
      </c>
      <c r="E4" s="3" t="s">
        <v>1728</v>
      </c>
    </row>
    <row r="5" spans="1:5" ht="41.5" customHeight="1" x14ac:dyDescent="0.35">
      <c r="A5" s="11">
        <v>1</v>
      </c>
      <c r="B5" s="12" t="s">
        <v>1729</v>
      </c>
      <c r="C5" s="12" t="s">
        <v>1156</v>
      </c>
      <c r="D5" s="12" t="s">
        <v>1730</v>
      </c>
      <c r="E5" s="12" t="s">
        <v>1731</v>
      </c>
    </row>
    <row r="6" spans="1:5" ht="30" customHeight="1" x14ac:dyDescent="0.35">
      <c r="A6" s="11">
        <v>2</v>
      </c>
      <c r="B6" s="12" t="s">
        <v>1732</v>
      </c>
      <c r="C6" s="12" t="s">
        <v>1173</v>
      </c>
      <c r="D6" s="12" t="s">
        <v>1733</v>
      </c>
      <c r="E6" s="12" t="s">
        <v>1734</v>
      </c>
    </row>
    <row r="7" spans="1:5" ht="30" customHeight="1" x14ac:dyDescent="0.35">
      <c r="A7" s="11">
        <v>3</v>
      </c>
      <c r="B7" s="12" t="s">
        <v>1735</v>
      </c>
      <c r="C7" s="12" t="s">
        <v>1317</v>
      </c>
      <c r="D7" s="12" t="s">
        <v>1736</v>
      </c>
      <c r="E7" s="12" t="s">
        <v>1737</v>
      </c>
    </row>
    <row r="8" spans="1:5" ht="30" customHeight="1" x14ac:dyDescent="0.35">
      <c r="A8" s="11">
        <v>4</v>
      </c>
      <c r="B8" s="12" t="s">
        <v>1738</v>
      </c>
      <c r="C8" s="12" t="s">
        <v>1293</v>
      </c>
      <c r="D8" s="12" t="s">
        <v>1739</v>
      </c>
      <c r="E8" s="12" t="s">
        <v>1740</v>
      </c>
    </row>
    <row r="9" spans="1:5" ht="30" customHeight="1" x14ac:dyDescent="0.35">
      <c r="A9" s="11">
        <v>5</v>
      </c>
      <c r="B9" s="12" t="s">
        <v>1741</v>
      </c>
      <c r="C9" s="12" t="s">
        <v>1220</v>
      </c>
      <c r="D9" s="12" t="s">
        <v>1742</v>
      </c>
      <c r="E9" s="12" t="s">
        <v>1743</v>
      </c>
    </row>
    <row r="10" spans="1:5" ht="30" customHeight="1" x14ac:dyDescent="0.35">
      <c r="A10" s="11">
        <v>6</v>
      </c>
      <c r="B10" s="12" t="s">
        <v>1744</v>
      </c>
      <c r="C10" s="12" t="s">
        <v>1212</v>
      </c>
      <c r="D10" s="12" t="s">
        <v>1742</v>
      </c>
      <c r="E10" s="12" t="s">
        <v>1745</v>
      </c>
    </row>
    <row r="11" spans="1:5" ht="30" customHeight="1" x14ac:dyDescent="0.35">
      <c r="A11" s="11">
        <v>7</v>
      </c>
      <c r="B11" s="12" t="s">
        <v>1746</v>
      </c>
      <c r="C11" s="12" t="s">
        <v>1350</v>
      </c>
      <c r="D11" s="12" t="s">
        <v>1747</v>
      </c>
      <c r="E11" s="12" t="s">
        <v>1748</v>
      </c>
    </row>
    <row r="12" spans="1:5" ht="30" customHeight="1" x14ac:dyDescent="0.35">
      <c r="A12" s="11">
        <v>8</v>
      </c>
      <c r="B12" s="12" t="s">
        <v>1749</v>
      </c>
      <c r="C12" s="12" t="s">
        <v>1422</v>
      </c>
      <c r="D12" s="12" t="s">
        <v>1750</v>
      </c>
      <c r="E12" s="12" t="s">
        <v>1751</v>
      </c>
    </row>
    <row r="13" spans="1:5" ht="30" customHeight="1" x14ac:dyDescent="0.35">
      <c r="A13" s="11">
        <v>9</v>
      </c>
      <c r="B13" s="12" t="s">
        <v>1752</v>
      </c>
      <c r="C13" s="12" t="s">
        <v>1546</v>
      </c>
      <c r="D13" s="12" t="s">
        <v>1753</v>
      </c>
      <c r="E13" s="12" t="s">
        <v>1754</v>
      </c>
    </row>
    <row r="14" spans="1:5" ht="30" customHeight="1" x14ac:dyDescent="0.35">
      <c r="A14" s="11">
        <v>10</v>
      </c>
      <c r="B14" s="12" t="s">
        <v>1755</v>
      </c>
      <c r="C14" s="12" t="s">
        <v>1638</v>
      </c>
      <c r="D14" s="12" t="s">
        <v>1756</v>
      </c>
      <c r="E14" s="12" t="s">
        <v>1757</v>
      </c>
    </row>
    <row r="15" spans="1:5" ht="30" customHeight="1" x14ac:dyDescent="0.35">
      <c r="A15" s="11">
        <v>11</v>
      </c>
      <c r="B15" s="12" t="s">
        <v>1758</v>
      </c>
      <c r="C15" s="12" t="s">
        <v>1614</v>
      </c>
      <c r="D15" s="12" t="s">
        <v>1756</v>
      </c>
      <c r="E15" s="12" t="s">
        <v>1759</v>
      </c>
    </row>
    <row r="16" spans="1:5" ht="30" customHeight="1" x14ac:dyDescent="0.35">
      <c r="A16" s="11">
        <v>12</v>
      </c>
      <c r="B16" s="12" t="s">
        <v>1760</v>
      </c>
      <c r="C16" s="12" t="s">
        <v>1484</v>
      </c>
      <c r="D16" s="12" t="s">
        <v>1761</v>
      </c>
      <c r="E16" s="12" t="s">
        <v>1762</v>
      </c>
    </row>
    <row r="17" spans="1:5" ht="30" customHeight="1" x14ac:dyDescent="0.35">
      <c r="A17" s="11">
        <v>13</v>
      </c>
      <c r="B17" s="12" t="s">
        <v>1763</v>
      </c>
      <c r="C17" s="12" t="s">
        <v>1514</v>
      </c>
      <c r="D17" s="12" t="s">
        <v>1764</v>
      </c>
      <c r="E17" s="12" t="s">
        <v>1765</v>
      </c>
    </row>
    <row r="18" spans="1:5" ht="30" customHeight="1" x14ac:dyDescent="0.35">
      <c r="A18" s="11">
        <v>14</v>
      </c>
      <c r="B18" s="12" t="s">
        <v>1766</v>
      </c>
      <c r="C18" s="12" t="s">
        <v>1599</v>
      </c>
      <c r="D18" s="12" t="s">
        <v>1767</v>
      </c>
      <c r="E18" s="12" t="s">
        <v>1768</v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24" customWidth="1"/>
    <col min="3" max="3" width="40" customWidth="1"/>
    <col min="4" max="4" width="50" customWidth="1"/>
    <col min="5" max="5" width="34" customWidth="1"/>
  </cols>
  <sheetData>
    <row r="1" spans="1:5" ht="18" x14ac:dyDescent="0.4">
      <c r="A1" s="10" t="s">
        <v>1769</v>
      </c>
    </row>
    <row r="2" spans="1:5" ht="28" customHeight="1" x14ac:dyDescent="0.35">
      <c r="A2" s="27" t="s">
        <v>1770</v>
      </c>
      <c r="B2" s="25"/>
      <c r="C2" s="25"/>
      <c r="D2" s="25"/>
      <c r="E2" s="25"/>
    </row>
    <row r="4" spans="1:5" ht="30" customHeight="1" x14ac:dyDescent="0.35">
      <c r="A4" s="3" t="s">
        <v>63</v>
      </c>
      <c r="B4" s="3" t="s">
        <v>1771</v>
      </c>
      <c r="C4" s="3" t="s">
        <v>1772</v>
      </c>
      <c r="D4" s="3" t="s">
        <v>1773</v>
      </c>
      <c r="E4" s="3" t="s">
        <v>1774</v>
      </c>
    </row>
    <row r="5" spans="1:5" ht="41.5" customHeight="1" x14ac:dyDescent="0.35">
      <c r="A5" s="11">
        <v>1</v>
      </c>
      <c r="B5" s="12" t="s">
        <v>1775</v>
      </c>
      <c r="C5" s="12" t="s">
        <v>1776</v>
      </c>
      <c r="D5" s="12" t="s">
        <v>1777</v>
      </c>
      <c r="E5" s="12" t="s">
        <v>1778</v>
      </c>
    </row>
    <row r="6" spans="1:5" ht="41.5" customHeight="1" x14ac:dyDescent="0.35">
      <c r="A6" s="11">
        <v>2</v>
      </c>
      <c r="B6" s="12" t="s">
        <v>1779</v>
      </c>
      <c r="C6" s="12" t="s">
        <v>1780</v>
      </c>
      <c r="D6" s="12" t="s">
        <v>1781</v>
      </c>
      <c r="E6" s="12" t="s">
        <v>1782</v>
      </c>
    </row>
    <row r="7" spans="1:5" ht="54" customHeight="1" x14ac:dyDescent="0.35">
      <c r="A7" s="11">
        <v>3</v>
      </c>
      <c r="B7" s="12" t="s">
        <v>1783</v>
      </c>
      <c r="C7" s="12" t="s">
        <v>1784</v>
      </c>
      <c r="D7" s="12" t="s">
        <v>1785</v>
      </c>
      <c r="E7" s="12" t="s">
        <v>1786</v>
      </c>
    </row>
    <row r="8" spans="1:5" ht="54" customHeight="1" x14ac:dyDescent="0.35">
      <c r="A8" s="11">
        <v>4</v>
      </c>
      <c r="B8" s="12" t="s">
        <v>1787</v>
      </c>
      <c r="C8" s="12" t="s">
        <v>1788</v>
      </c>
      <c r="D8" s="12" t="s">
        <v>1789</v>
      </c>
      <c r="E8" s="12" t="s">
        <v>1790</v>
      </c>
    </row>
    <row r="9" spans="1:5" ht="41.5" customHeight="1" x14ac:dyDescent="0.35">
      <c r="A9" s="11">
        <v>5</v>
      </c>
      <c r="B9" s="12" t="s">
        <v>1791</v>
      </c>
      <c r="C9" s="12" t="s">
        <v>1792</v>
      </c>
      <c r="D9" s="12" t="s">
        <v>1793</v>
      </c>
      <c r="E9" s="12" t="s">
        <v>1794</v>
      </c>
    </row>
    <row r="10" spans="1:5" ht="41.5" customHeight="1" x14ac:dyDescent="0.35">
      <c r="A10" s="11">
        <v>6</v>
      </c>
      <c r="B10" s="12" t="s">
        <v>1756</v>
      </c>
      <c r="C10" s="12" t="s">
        <v>1795</v>
      </c>
      <c r="D10" s="12" t="s">
        <v>1796</v>
      </c>
      <c r="E10" s="12" t="s">
        <v>1797</v>
      </c>
    </row>
    <row r="11" spans="1:5" ht="40" customHeight="1" x14ac:dyDescent="0.35">
      <c r="A11" s="11">
        <v>7</v>
      </c>
      <c r="B11" s="12" t="s">
        <v>1798</v>
      </c>
      <c r="C11" s="12" t="s">
        <v>1799</v>
      </c>
      <c r="D11" s="12" t="s">
        <v>1800</v>
      </c>
      <c r="E11" s="12" t="s">
        <v>1801</v>
      </c>
    </row>
  </sheetData>
  <mergeCells count="1"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26" customWidth="1"/>
    <col min="3" max="3" width="90" customWidth="1"/>
    <col min="4" max="4" width="40" customWidth="1"/>
  </cols>
  <sheetData>
    <row r="1" spans="1:4" ht="18" x14ac:dyDescent="0.4">
      <c r="A1" s="10" t="s">
        <v>1802</v>
      </c>
    </row>
    <row r="2" spans="1:4" x14ac:dyDescent="0.35">
      <c r="A2" s="17" t="s">
        <v>1803</v>
      </c>
    </row>
    <row r="4" spans="1:4" ht="30" customHeight="1" x14ac:dyDescent="0.35">
      <c r="A4" s="3" t="s">
        <v>63</v>
      </c>
      <c r="B4" s="3" t="s">
        <v>1804</v>
      </c>
      <c r="C4" s="3" t="s">
        <v>1805</v>
      </c>
      <c r="D4" s="3" t="s">
        <v>1153</v>
      </c>
    </row>
    <row r="5" spans="1:4" ht="54" customHeight="1" x14ac:dyDescent="0.35">
      <c r="A5" s="22">
        <v>1</v>
      </c>
      <c r="B5" s="23" t="s">
        <v>1342</v>
      </c>
      <c r="C5" s="23" t="s">
        <v>1806</v>
      </c>
      <c r="D5" s="23" t="s">
        <v>1349</v>
      </c>
    </row>
    <row r="6" spans="1:4" ht="54" customHeight="1" x14ac:dyDescent="0.35">
      <c r="A6" s="22">
        <v>2</v>
      </c>
      <c r="B6" s="23" t="s">
        <v>1173</v>
      </c>
      <c r="C6" s="23" t="s">
        <v>1807</v>
      </c>
      <c r="D6" s="23" t="s">
        <v>1179</v>
      </c>
    </row>
    <row r="7" spans="1:4" ht="41.5" customHeight="1" x14ac:dyDescent="0.35">
      <c r="A7" s="22">
        <v>3</v>
      </c>
      <c r="B7" s="23" t="s">
        <v>1406</v>
      </c>
      <c r="C7" s="23" t="s">
        <v>1808</v>
      </c>
      <c r="D7" s="23" t="s">
        <v>1413</v>
      </c>
    </row>
    <row r="8" spans="1:4" ht="41.5" customHeight="1" x14ac:dyDescent="0.35">
      <c r="A8" s="22">
        <v>4</v>
      </c>
      <c r="B8" s="23" t="s">
        <v>1156</v>
      </c>
      <c r="C8" s="23" t="s">
        <v>1809</v>
      </c>
      <c r="D8" s="23" t="s">
        <v>1163</v>
      </c>
    </row>
    <row r="9" spans="1:4" ht="41.5" customHeight="1" x14ac:dyDescent="0.35">
      <c r="A9" s="22">
        <v>5</v>
      </c>
      <c r="B9" s="23" t="s">
        <v>1187</v>
      </c>
      <c r="C9" s="23" t="s">
        <v>1810</v>
      </c>
      <c r="D9" s="23" t="s">
        <v>1194</v>
      </c>
    </row>
    <row r="10" spans="1:4" ht="29" customHeight="1" x14ac:dyDescent="0.35">
      <c r="A10" s="22">
        <v>6</v>
      </c>
      <c r="B10" s="23" t="s">
        <v>1350</v>
      </c>
      <c r="C10" s="23" t="s">
        <v>1811</v>
      </c>
      <c r="D10" s="23" t="s">
        <v>1357</v>
      </c>
    </row>
    <row r="11" spans="1:4" ht="54" customHeight="1" x14ac:dyDescent="0.35">
      <c r="A11" s="22">
        <v>7</v>
      </c>
      <c r="B11" s="23" t="s">
        <v>1438</v>
      </c>
      <c r="C11" s="23" t="s">
        <v>1812</v>
      </c>
      <c r="D11" s="23" t="s">
        <v>1444</v>
      </c>
    </row>
    <row r="12" spans="1:4" ht="54" customHeight="1" x14ac:dyDescent="0.35">
      <c r="A12" s="22">
        <v>8</v>
      </c>
      <c r="B12" s="23" t="s">
        <v>1454</v>
      </c>
      <c r="C12" s="23" t="s">
        <v>1813</v>
      </c>
      <c r="D12" s="23" t="s">
        <v>1460</v>
      </c>
    </row>
    <row r="13" spans="1:4" ht="54" customHeight="1" x14ac:dyDescent="0.35">
      <c r="A13" s="22">
        <v>9</v>
      </c>
      <c r="B13" s="23" t="s">
        <v>1461</v>
      </c>
      <c r="C13" s="23" t="s">
        <v>1814</v>
      </c>
      <c r="D13" s="23" t="s">
        <v>1467</v>
      </c>
    </row>
    <row r="14" spans="1:4" ht="54" customHeight="1" x14ac:dyDescent="0.35">
      <c r="A14" s="22">
        <v>10</v>
      </c>
      <c r="B14" s="23" t="s">
        <v>1575</v>
      </c>
      <c r="C14" s="23" t="s">
        <v>1815</v>
      </c>
      <c r="D14" s="23" t="s">
        <v>1581</v>
      </c>
    </row>
    <row r="15" spans="1:4" ht="29" customHeight="1" x14ac:dyDescent="0.35">
      <c r="A15" s="22">
        <v>11</v>
      </c>
      <c r="B15" s="23" t="s">
        <v>1599</v>
      </c>
      <c r="C15" s="23" t="s">
        <v>1816</v>
      </c>
      <c r="D15" s="23" t="s">
        <v>1606</v>
      </c>
    </row>
    <row r="16" spans="1:4" ht="41.5" customHeight="1" x14ac:dyDescent="0.35">
      <c r="A16" s="22">
        <v>12</v>
      </c>
      <c r="B16" s="23" t="s">
        <v>1607</v>
      </c>
      <c r="C16" s="23" t="s">
        <v>1817</v>
      </c>
      <c r="D16" s="23" t="s">
        <v>1613</v>
      </c>
    </row>
    <row r="17" spans="1:4" ht="41.5" customHeight="1" x14ac:dyDescent="0.35">
      <c r="A17" s="22">
        <v>13</v>
      </c>
      <c r="B17" s="23" t="s">
        <v>1506</v>
      </c>
      <c r="C17" s="23" t="s">
        <v>1818</v>
      </c>
      <c r="D17" s="23" t="s">
        <v>1513</v>
      </c>
    </row>
    <row r="18" spans="1:4" ht="54" customHeight="1" x14ac:dyDescent="0.35">
      <c r="A18" s="22">
        <v>14</v>
      </c>
      <c r="B18" s="23" t="s">
        <v>1196</v>
      </c>
      <c r="C18" s="23" t="s">
        <v>1819</v>
      </c>
      <c r="D18" s="23" t="s">
        <v>1203</v>
      </c>
    </row>
    <row r="19" spans="1:4" ht="41.5" customHeight="1" x14ac:dyDescent="0.35">
      <c r="A19" s="22">
        <v>15</v>
      </c>
      <c r="B19" s="23" t="s">
        <v>1359</v>
      </c>
      <c r="C19" s="23" t="s">
        <v>1820</v>
      </c>
      <c r="D19" s="23" t="s">
        <v>1365</v>
      </c>
    </row>
    <row r="20" spans="1:4" ht="54" customHeight="1" x14ac:dyDescent="0.35">
      <c r="A20" s="22">
        <v>16</v>
      </c>
      <c r="B20" s="23" t="s">
        <v>1204</v>
      </c>
      <c r="C20" s="23" t="s">
        <v>1821</v>
      </c>
      <c r="D20" s="23" t="s">
        <v>1211</v>
      </c>
    </row>
    <row r="21" spans="1:4" ht="41.5" customHeight="1" x14ac:dyDescent="0.35">
      <c r="A21" s="22">
        <v>17</v>
      </c>
      <c r="B21" s="23" t="s">
        <v>1614</v>
      </c>
      <c r="C21" s="23" t="s">
        <v>1822</v>
      </c>
      <c r="D21" s="23" t="s">
        <v>1621</v>
      </c>
    </row>
    <row r="22" spans="1:4" ht="41.5" customHeight="1" x14ac:dyDescent="0.35">
      <c r="A22" s="22">
        <v>18</v>
      </c>
      <c r="B22" s="23" t="s">
        <v>1285</v>
      </c>
      <c r="C22" s="23" t="s">
        <v>1823</v>
      </c>
      <c r="D22" s="23" t="s">
        <v>1122</v>
      </c>
    </row>
    <row r="23" spans="1:4" ht="54" customHeight="1" x14ac:dyDescent="0.35">
      <c r="A23" s="22">
        <v>19</v>
      </c>
      <c r="B23" s="23" t="s">
        <v>1212</v>
      </c>
      <c r="C23" s="23" t="s">
        <v>1824</v>
      </c>
      <c r="D23" s="23" t="s">
        <v>1219</v>
      </c>
    </row>
    <row r="24" spans="1:4" ht="41.5" customHeight="1" x14ac:dyDescent="0.35">
      <c r="A24" s="22">
        <v>20</v>
      </c>
      <c r="B24" s="23" t="s">
        <v>1236</v>
      </c>
      <c r="C24" s="23" t="s">
        <v>1825</v>
      </c>
      <c r="D24" s="23" t="s">
        <v>1242</v>
      </c>
    </row>
    <row r="25" spans="1:4" ht="41.5" customHeight="1" x14ac:dyDescent="0.35">
      <c r="A25" s="22">
        <v>21</v>
      </c>
      <c r="B25" s="23" t="s">
        <v>1590</v>
      </c>
      <c r="C25" s="23" t="s">
        <v>1826</v>
      </c>
      <c r="D25" s="23" t="s">
        <v>1597</v>
      </c>
    </row>
    <row r="26" spans="1:4" ht="41.5" customHeight="1" x14ac:dyDescent="0.35">
      <c r="A26" s="22">
        <v>22</v>
      </c>
      <c r="B26" s="23" t="s">
        <v>1293</v>
      </c>
      <c r="C26" s="23" t="s">
        <v>1827</v>
      </c>
      <c r="D26" s="23" t="s">
        <v>1300</v>
      </c>
    </row>
    <row r="27" spans="1:4" ht="41.5" customHeight="1" x14ac:dyDescent="0.35">
      <c r="A27" s="22">
        <v>23</v>
      </c>
      <c r="B27" s="23" t="s">
        <v>1220</v>
      </c>
      <c r="C27" s="23" t="s">
        <v>1828</v>
      </c>
      <c r="D27" s="23" t="s">
        <v>1227</v>
      </c>
    </row>
    <row r="28" spans="1:4" ht="41.5" customHeight="1" x14ac:dyDescent="0.35">
      <c r="A28" s="22">
        <v>24</v>
      </c>
      <c r="B28" s="23" t="s">
        <v>1301</v>
      </c>
      <c r="C28" s="23" t="s">
        <v>1829</v>
      </c>
      <c r="D28" s="23" t="s">
        <v>1308</v>
      </c>
    </row>
    <row r="29" spans="1:4" ht="41.5" customHeight="1" x14ac:dyDescent="0.35">
      <c r="A29" s="22">
        <v>25</v>
      </c>
      <c r="B29" s="23" t="s">
        <v>1622</v>
      </c>
      <c r="C29" s="23" t="s">
        <v>1830</v>
      </c>
      <c r="D29" s="23" t="s">
        <v>1629</v>
      </c>
    </row>
    <row r="30" spans="1:4" ht="54" customHeight="1" x14ac:dyDescent="0.35">
      <c r="A30" s="22">
        <v>26</v>
      </c>
      <c r="B30" s="23" t="s">
        <v>1180</v>
      </c>
      <c r="C30" s="23" t="s">
        <v>1831</v>
      </c>
      <c r="D30" s="23" t="s">
        <v>1186</v>
      </c>
    </row>
    <row r="31" spans="1:4" ht="41.5" customHeight="1" x14ac:dyDescent="0.35">
      <c r="A31" s="22">
        <v>27</v>
      </c>
      <c r="B31" s="23" t="s">
        <v>1468</v>
      </c>
      <c r="C31" s="23" t="s">
        <v>1832</v>
      </c>
      <c r="D31" s="23" t="s">
        <v>1475</v>
      </c>
    </row>
    <row r="32" spans="1:4" ht="54" customHeight="1" x14ac:dyDescent="0.35">
      <c r="A32" s="22">
        <v>28</v>
      </c>
      <c r="B32" s="23" t="s">
        <v>1325</v>
      </c>
      <c r="C32" s="23" t="s">
        <v>1833</v>
      </c>
      <c r="D32" s="23" t="s">
        <v>1332</v>
      </c>
    </row>
    <row r="33" spans="1:4" ht="41.5" customHeight="1" x14ac:dyDescent="0.35">
      <c r="A33" s="22">
        <v>29</v>
      </c>
      <c r="B33" s="23" t="s">
        <v>1491</v>
      </c>
      <c r="C33" s="23" t="s">
        <v>1834</v>
      </c>
      <c r="D33" s="23" t="s">
        <v>1497</v>
      </c>
    </row>
    <row r="34" spans="1:4" ht="54" customHeight="1" x14ac:dyDescent="0.35">
      <c r="A34" s="22">
        <v>30</v>
      </c>
      <c r="B34" s="23" t="s">
        <v>1630</v>
      </c>
      <c r="C34" s="23" t="s">
        <v>1835</v>
      </c>
      <c r="D34" s="23" t="s">
        <v>1637</v>
      </c>
    </row>
    <row r="35" spans="1:4" ht="54" customHeight="1" x14ac:dyDescent="0.35">
      <c r="A35" s="22">
        <v>31</v>
      </c>
      <c r="B35" s="23" t="s">
        <v>1367</v>
      </c>
      <c r="C35" s="23" t="s">
        <v>1836</v>
      </c>
      <c r="D35" s="23" t="s">
        <v>1374</v>
      </c>
    </row>
    <row r="36" spans="1:4" ht="54" customHeight="1" x14ac:dyDescent="0.35">
      <c r="A36" s="22">
        <v>32</v>
      </c>
      <c r="B36" s="23" t="s">
        <v>1414</v>
      </c>
      <c r="C36" s="23" t="s">
        <v>1837</v>
      </c>
      <c r="D36" s="23" t="s">
        <v>1421</v>
      </c>
    </row>
    <row r="37" spans="1:4" ht="54" customHeight="1" x14ac:dyDescent="0.35">
      <c r="A37" s="22">
        <v>33</v>
      </c>
      <c r="B37" s="23" t="s">
        <v>1277</v>
      </c>
      <c r="C37" s="23" t="s">
        <v>1838</v>
      </c>
      <c r="D37" s="23" t="s">
        <v>1126</v>
      </c>
    </row>
    <row r="38" spans="1:4" ht="29" customHeight="1" x14ac:dyDescent="0.35">
      <c r="A38" s="22">
        <v>34</v>
      </c>
      <c r="B38" s="23" t="s">
        <v>1646</v>
      </c>
      <c r="C38" s="23" t="s">
        <v>1839</v>
      </c>
      <c r="D38" s="23" t="s">
        <v>1652</v>
      </c>
    </row>
    <row r="39" spans="1:4" ht="41.5" customHeight="1" x14ac:dyDescent="0.35">
      <c r="A39" s="22">
        <v>35</v>
      </c>
      <c r="B39" s="23" t="s">
        <v>1243</v>
      </c>
      <c r="C39" s="23" t="s">
        <v>1840</v>
      </c>
      <c r="D39" s="23" t="s">
        <v>1131</v>
      </c>
    </row>
    <row r="40" spans="1:4" ht="41.5" customHeight="1" x14ac:dyDescent="0.35">
      <c r="A40" s="22">
        <v>36</v>
      </c>
      <c r="B40" s="23" t="s">
        <v>1583</v>
      </c>
      <c r="C40" s="23" t="s">
        <v>1841</v>
      </c>
      <c r="D40" s="23" t="s">
        <v>1589</v>
      </c>
    </row>
    <row r="41" spans="1:4" ht="54" customHeight="1" x14ac:dyDescent="0.35">
      <c r="A41" s="22">
        <v>37</v>
      </c>
      <c r="B41" s="23" t="s">
        <v>1477</v>
      </c>
      <c r="C41" s="23" t="s">
        <v>1842</v>
      </c>
      <c r="D41" s="23" t="s">
        <v>1483</v>
      </c>
    </row>
    <row r="42" spans="1:4" ht="41.5" customHeight="1" x14ac:dyDescent="0.35">
      <c r="A42" s="22">
        <v>38</v>
      </c>
      <c r="B42" s="23" t="s">
        <v>1309</v>
      </c>
      <c r="C42" s="23" t="s">
        <v>1843</v>
      </c>
      <c r="D42" s="23" t="s">
        <v>1316</v>
      </c>
    </row>
    <row r="43" spans="1:4" ht="41.5" customHeight="1" x14ac:dyDescent="0.35">
      <c r="A43" s="22">
        <v>39</v>
      </c>
      <c r="B43" s="23" t="s">
        <v>1375</v>
      </c>
      <c r="C43" s="23" t="s">
        <v>1844</v>
      </c>
      <c r="D43" s="23" t="s">
        <v>1382</v>
      </c>
    </row>
    <row r="44" spans="1:4" ht="41.5" customHeight="1" x14ac:dyDescent="0.35">
      <c r="A44" s="22">
        <v>40</v>
      </c>
      <c r="B44" s="23" t="s">
        <v>1383</v>
      </c>
      <c r="C44" s="23" t="s">
        <v>1845</v>
      </c>
      <c r="D44" s="23" t="s">
        <v>1135</v>
      </c>
    </row>
    <row r="45" spans="1:4" ht="29" customHeight="1" x14ac:dyDescent="0.35">
      <c r="A45" s="22">
        <v>41</v>
      </c>
      <c r="B45" s="23" t="s">
        <v>1546</v>
      </c>
      <c r="C45" s="23" t="s">
        <v>1846</v>
      </c>
      <c r="D45" s="23" t="s">
        <v>1552</v>
      </c>
    </row>
    <row r="46" spans="1:4" ht="54" customHeight="1" x14ac:dyDescent="0.35">
      <c r="A46" s="22">
        <v>42</v>
      </c>
      <c r="B46" s="23" t="s">
        <v>1251</v>
      </c>
      <c r="C46" s="23" t="s">
        <v>1847</v>
      </c>
      <c r="D46" s="23" t="s">
        <v>1258</v>
      </c>
    </row>
    <row r="47" spans="1:4" ht="54" customHeight="1" x14ac:dyDescent="0.35">
      <c r="A47" s="22">
        <v>43</v>
      </c>
      <c r="B47" s="23" t="s">
        <v>1638</v>
      </c>
      <c r="C47" s="23" t="s">
        <v>1848</v>
      </c>
      <c r="D47" s="23" t="s">
        <v>1645</v>
      </c>
    </row>
    <row r="48" spans="1:4" ht="41.5" customHeight="1" x14ac:dyDescent="0.35">
      <c r="A48" s="22">
        <v>44</v>
      </c>
      <c r="B48" s="23" t="s">
        <v>1165</v>
      </c>
      <c r="C48" s="23" t="s">
        <v>1849</v>
      </c>
      <c r="D48" s="23" t="s">
        <v>1172</v>
      </c>
    </row>
    <row r="49" spans="1:4" ht="41.5" customHeight="1" x14ac:dyDescent="0.35">
      <c r="A49" s="22">
        <v>45</v>
      </c>
      <c r="B49" s="23" t="s">
        <v>1317</v>
      </c>
      <c r="C49" s="23" t="s">
        <v>1850</v>
      </c>
      <c r="D49" s="23" t="s">
        <v>1324</v>
      </c>
    </row>
    <row r="50" spans="1:4" ht="41.5" customHeight="1" x14ac:dyDescent="0.35">
      <c r="A50" s="22">
        <v>46</v>
      </c>
      <c r="B50" s="23" t="s">
        <v>1553</v>
      </c>
      <c r="C50" s="23" t="s">
        <v>1851</v>
      </c>
      <c r="D50" s="23" t="s">
        <v>1559</v>
      </c>
    </row>
    <row r="51" spans="1:4" ht="41.5" customHeight="1" x14ac:dyDescent="0.35">
      <c r="A51" s="22">
        <v>47</v>
      </c>
      <c r="B51" s="23" t="s">
        <v>1653</v>
      </c>
      <c r="C51" s="23" t="s">
        <v>1852</v>
      </c>
      <c r="D51" s="23" t="s">
        <v>1660</v>
      </c>
    </row>
    <row r="52" spans="1:4" ht="41.5" customHeight="1" x14ac:dyDescent="0.35">
      <c r="A52" s="22">
        <v>48</v>
      </c>
      <c r="B52" s="23" t="s">
        <v>1260</v>
      </c>
      <c r="C52" s="23" t="s">
        <v>1853</v>
      </c>
      <c r="D52" s="23" t="s">
        <v>1267</v>
      </c>
    </row>
    <row r="53" spans="1:4" ht="41.5" customHeight="1" x14ac:dyDescent="0.35">
      <c r="A53" s="22">
        <v>49</v>
      </c>
      <c r="B53" s="23" t="s">
        <v>1430</v>
      </c>
      <c r="C53" s="23" t="s">
        <v>1854</v>
      </c>
      <c r="D53" s="23" t="s">
        <v>1437</v>
      </c>
    </row>
    <row r="54" spans="1:4" ht="29" customHeight="1" x14ac:dyDescent="0.35">
      <c r="A54" s="22">
        <v>50</v>
      </c>
      <c r="B54" s="23" t="s">
        <v>1390</v>
      </c>
      <c r="C54" s="23" t="s">
        <v>1855</v>
      </c>
      <c r="D54" s="23" t="s">
        <v>1397</v>
      </c>
    </row>
    <row r="55" spans="1:4" ht="41.5" customHeight="1" x14ac:dyDescent="0.35">
      <c r="A55" s="22">
        <v>51</v>
      </c>
      <c r="B55" s="23" t="s">
        <v>1529</v>
      </c>
      <c r="C55" s="23" t="s">
        <v>1856</v>
      </c>
      <c r="D55" s="23" t="s">
        <v>1536</v>
      </c>
    </row>
    <row r="56" spans="1:4" ht="29" customHeight="1" x14ac:dyDescent="0.35">
      <c r="A56" s="22">
        <v>52</v>
      </c>
      <c r="B56" s="23" t="s">
        <v>1538</v>
      </c>
      <c r="C56" s="23" t="s">
        <v>1857</v>
      </c>
      <c r="D56" s="23" t="s">
        <v>1545</v>
      </c>
    </row>
    <row r="57" spans="1:4" ht="41.5" customHeight="1" x14ac:dyDescent="0.35">
      <c r="A57" s="22">
        <v>53</v>
      </c>
      <c r="B57" s="23" t="s">
        <v>1560</v>
      </c>
      <c r="C57" s="23" t="s">
        <v>1858</v>
      </c>
      <c r="D57" s="23" t="s">
        <v>1566</v>
      </c>
    </row>
    <row r="58" spans="1:4" ht="41.5" customHeight="1" x14ac:dyDescent="0.35">
      <c r="A58" s="22">
        <v>54</v>
      </c>
      <c r="B58" s="23" t="s">
        <v>1398</v>
      </c>
      <c r="C58" s="23" t="s">
        <v>1859</v>
      </c>
      <c r="D58" s="23" t="s">
        <v>1405</v>
      </c>
    </row>
    <row r="59" spans="1:4" ht="41.5" customHeight="1" x14ac:dyDescent="0.35">
      <c r="A59" s="22">
        <v>55</v>
      </c>
      <c r="B59" s="23" t="s">
        <v>1228</v>
      </c>
      <c r="C59" s="23" t="s">
        <v>1860</v>
      </c>
      <c r="D59" s="23" t="s">
        <v>1235</v>
      </c>
    </row>
    <row r="60" spans="1:4" ht="54" customHeight="1" x14ac:dyDescent="0.35">
      <c r="A60" s="22">
        <v>56</v>
      </c>
      <c r="B60" s="23" t="s">
        <v>1484</v>
      </c>
      <c r="C60" s="23" t="s">
        <v>1861</v>
      </c>
      <c r="D60" s="23" t="s">
        <v>1490</v>
      </c>
    </row>
    <row r="61" spans="1:4" ht="54" customHeight="1" x14ac:dyDescent="0.35">
      <c r="A61" s="22">
        <v>57</v>
      </c>
      <c r="B61" s="23" t="s">
        <v>1514</v>
      </c>
      <c r="C61" s="23" t="s">
        <v>1862</v>
      </c>
      <c r="D61" s="23" t="s">
        <v>1520</v>
      </c>
    </row>
    <row r="62" spans="1:4" ht="41.5" customHeight="1" x14ac:dyDescent="0.35">
      <c r="A62" s="22">
        <v>58</v>
      </c>
      <c r="B62" s="23" t="s">
        <v>1333</v>
      </c>
      <c r="C62" s="23" t="s">
        <v>1863</v>
      </c>
      <c r="D62" s="23" t="s">
        <v>1340</v>
      </c>
    </row>
    <row r="63" spans="1:4" ht="54" customHeight="1" x14ac:dyDescent="0.35">
      <c r="A63" s="22">
        <v>59</v>
      </c>
      <c r="B63" s="23" t="s">
        <v>1445</v>
      </c>
      <c r="C63" s="23" t="s">
        <v>1864</v>
      </c>
      <c r="D63" s="23" t="s">
        <v>1452</v>
      </c>
    </row>
    <row r="64" spans="1:4" ht="54" customHeight="1" x14ac:dyDescent="0.35">
      <c r="A64" s="22">
        <v>60</v>
      </c>
      <c r="B64" s="23" t="s">
        <v>1498</v>
      </c>
      <c r="C64" s="23" t="s">
        <v>1865</v>
      </c>
      <c r="D64" s="23" t="s">
        <v>1504</v>
      </c>
    </row>
    <row r="65" spans="1:4" ht="54" customHeight="1" x14ac:dyDescent="0.35">
      <c r="A65" s="22">
        <v>61</v>
      </c>
      <c r="B65" s="23" t="s">
        <v>1521</v>
      </c>
      <c r="C65" s="23" t="s">
        <v>1866</v>
      </c>
      <c r="D65" s="23" t="s">
        <v>1528</v>
      </c>
    </row>
    <row r="66" spans="1:4" ht="29" customHeight="1" x14ac:dyDescent="0.35">
      <c r="A66" s="22">
        <v>62</v>
      </c>
      <c r="B66" s="23" t="s">
        <v>1567</v>
      </c>
      <c r="C66" s="23" t="s">
        <v>1867</v>
      </c>
      <c r="D66" s="23" t="s">
        <v>1573</v>
      </c>
    </row>
    <row r="67" spans="1:4" ht="54" customHeight="1" x14ac:dyDescent="0.35">
      <c r="A67" s="22">
        <v>63</v>
      </c>
      <c r="B67" s="23" t="s">
        <v>1422</v>
      </c>
      <c r="C67" s="23" t="s">
        <v>1868</v>
      </c>
      <c r="D67" s="23" t="s">
        <v>1429</v>
      </c>
    </row>
    <row r="68" spans="1:4" ht="54" customHeight="1" x14ac:dyDescent="0.35">
      <c r="A68" s="22">
        <v>64</v>
      </c>
      <c r="B68" s="23" t="s">
        <v>1269</v>
      </c>
      <c r="C68" s="23" t="s">
        <v>1869</v>
      </c>
      <c r="D68" s="23" t="s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How to use</vt:lpstr>
      <vt:lpstr>01 Search log</vt:lpstr>
      <vt:lpstr>02 Screening log</vt:lpstr>
      <vt:lpstr>03 Extraction matrix</vt:lpstr>
      <vt:lpstr>04 PRISMA counts</vt:lpstr>
      <vt:lpstr>05 Gaps register</vt:lpstr>
      <vt:lpstr>06 Technology comparison</vt:lpstr>
      <vt:lpstr>07 Reference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T</cp:lastModifiedBy>
  <dcterms:created xsi:type="dcterms:W3CDTF">2026-10-26T04:03:48Z</dcterms:created>
  <dcterms:modified xsi:type="dcterms:W3CDTF">2026-10-26T04:04:26Z</dcterms:modified>
</cp:coreProperties>
</file>