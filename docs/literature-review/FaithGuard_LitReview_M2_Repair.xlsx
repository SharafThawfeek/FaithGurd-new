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mohsh\AppData\Local\Temp\claude\C--Users-mohsh-Documents-Faithgurd\3138b89d-a9e8-4af8-b6b1-502fd4023457\scratchpad\docs-papers\out\"/>
    </mc:Choice>
  </mc:AlternateContent>
  <xr:revisionPtr revIDLastSave="0" documentId="13_ncr:1_{76AEF303-7E3E-4DAF-8B06-A6FE3F76218F}" xr6:coauthVersionLast="47" xr6:coauthVersionMax="47" xr10:uidLastSave="{00000000-0000-0000-0000-000000000000}"/>
  <bookViews>
    <workbookView xWindow="-110" yWindow="-110" windowWidth="25820" windowHeight="15500" xr2:uid="{00000000-000D-0000-FFFF-FFFF00000000}"/>
  </bookViews>
  <sheets>
    <sheet name="00 How to use" sheetId="1" r:id="rId1"/>
    <sheet name="01 Search log" sheetId="2" r:id="rId2"/>
    <sheet name="02 Screening log" sheetId="3" r:id="rId3"/>
    <sheet name="03 Extraction matrix" sheetId="4" r:id="rId4"/>
    <sheet name="04 PRISMA counts" sheetId="5" r:id="rId5"/>
    <sheet name="05 Gaps register" sheetId="6" r:id="rId6"/>
    <sheet name="06 Technology comparison" sheetId="7" r:id="rId7"/>
    <sheet name="07 Reference list" sheetId="8" r:id="rId8"/>
  </sheets>
  <definedNames>
    <definedName name="_xlnm._FilterDatabase" localSheetId="2" hidden="1">'02 Screening log'!$A$4:$O$228</definedName>
    <definedName name="_xlnm._FilterDatabase" localSheetId="3" hidden="1">'03 Extraction matrix'!$A$4:$O$68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2" i="5" l="1"/>
  <c r="C41" i="5"/>
  <c r="C40" i="5"/>
  <c r="C39" i="5"/>
  <c r="C38" i="5"/>
  <c r="C37" i="5"/>
  <c r="C31" i="5"/>
  <c r="C30" i="5"/>
  <c r="C29" i="5"/>
  <c r="C28" i="5"/>
  <c r="C27" i="5"/>
  <c r="C32" i="5" s="1"/>
  <c r="C19" i="5"/>
  <c r="C18" i="5"/>
  <c r="C15" i="5"/>
  <c r="C13" i="5"/>
  <c r="C12" i="5"/>
  <c r="C11" i="5"/>
  <c r="C9" i="5"/>
  <c r="C7" i="5"/>
  <c r="C8" i="5" s="1"/>
  <c r="K228" i="3"/>
  <c r="K227" i="3"/>
  <c r="K226" i="3"/>
  <c r="K225" i="3"/>
  <c r="K224" i="3"/>
  <c r="K223" i="3"/>
  <c r="K222" i="3"/>
  <c r="K221" i="3"/>
  <c r="K220" i="3"/>
  <c r="K219" i="3"/>
  <c r="K218" i="3"/>
  <c r="K217" i="3"/>
  <c r="K216" i="3"/>
  <c r="K215" i="3"/>
  <c r="K214" i="3"/>
  <c r="K213" i="3"/>
  <c r="K212" i="3"/>
  <c r="K211" i="3"/>
  <c r="K210" i="3"/>
  <c r="K209" i="3"/>
  <c r="K208" i="3"/>
  <c r="K207" i="3"/>
  <c r="K206" i="3"/>
  <c r="K205" i="3"/>
  <c r="K204" i="3"/>
  <c r="K203" i="3"/>
  <c r="K202" i="3"/>
  <c r="K201" i="3"/>
  <c r="K200" i="3"/>
  <c r="K199" i="3"/>
  <c r="K198" i="3"/>
  <c r="K197" i="3"/>
  <c r="K196" i="3"/>
  <c r="K195" i="3"/>
  <c r="K194" i="3"/>
  <c r="K193" i="3"/>
  <c r="K192" i="3"/>
  <c r="K191" i="3"/>
  <c r="K190" i="3"/>
  <c r="K189" i="3"/>
  <c r="K188" i="3"/>
  <c r="K187" i="3"/>
  <c r="K186" i="3"/>
  <c r="K185" i="3"/>
  <c r="K184" i="3"/>
  <c r="K183" i="3"/>
  <c r="K182" i="3"/>
  <c r="K181" i="3"/>
  <c r="K180" i="3"/>
  <c r="K179" i="3"/>
  <c r="K178" i="3"/>
  <c r="K177" i="3"/>
  <c r="K176" i="3"/>
  <c r="K175" i="3"/>
  <c r="K174" i="3"/>
  <c r="K173" i="3"/>
  <c r="K172" i="3"/>
  <c r="K171" i="3"/>
  <c r="K170" i="3"/>
  <c r="K169" i="3"/>
  <c r="K168" i="3"/>
  <c r="K167" i="3"/>
  <c r="K166" i="3"/>
  <c r="K165" i="3"/>
  <c r="K164" i="3"/>
  <c r="K163" i="3"/>
  <c r="K162" i="3"/>
  <c r="K161" i="3"/>
  <c r="K160" i="3"/>
  <c r="K159" i="3"/>
  <c r="K158" i="3"/>
  <c r="K157" i="3"/>
  <c r="K156" i="3"/>
  <c r="K155" i="3"/>
  <c r="K154" i="3"/>
  <c r="K153" i="3"/>
  <c r="K152" i="3"/>
  <c r="K151" i="3"/>
  <c r="K150" i="3"/>
  <c r="K149" i="3"/>
  <c r="K148" i="3"/>
  <c r="K147" i="3"/>
  <c r="K146" i="3"/>
  <c r="K145" i="3"/>
  <c r="K144" i="3"/>
  <c r="K143" i="3"/>
  <c r="K142" i="3"/>
  <c r="K141" i="3"/>
  <c r="K140" i="3"/>
  <c r="K139" i="3"/>
  <c r="K138" i="3"/>
  <c r="K137" i="3"/>
  <c r="K136" i="3"/>
  <c r="K135" i="3"/>
  <c r="K134" i="3"/>
  <c r="K133" i="3"/>
  <c r="K132" i="3"/>
  <c r="K131" i="3"/>
  <c r="K130" i="3"/>
  <c r="K129" i="3"/>
  <c r="K128" i="3"/>
  <c r="K127" i="3"/>
  <c r="K126" i="3"/>
  <c r="K125" i="3"/>
  <c r="K124" i="3"/>
  <c r="K123" i="3"/>
  <c r="K122" i="3"/>
  <c r="K121" i="3"/>
  <c r="K120" i="3"/>
  <c r="K119" i="3"/>
  <c r="K118" i="3"/>
  <c r="K117" i="3"/>
  <c r="K116" i="3"/>
  <c r="K115" i="3"/>
  <c r="K114" i="3"/>
  <c r="K113" i="3"/>
  <c r="K112" i="3"/>
  <c r="K111" i="3"/>
  <c r="K110" i="3"/>
  <c r="K109" i="3"/>
  <c r="K108" i="3"/>
  <c r="K107" i="3"/>
  <c r="K106" i="3"/>
  <c r="K105" i="3"/>
  <c r="K104" i="3"/>
  <c r="K103" i="3"/>
  <c r="K102" i="3"/>
  <c r="K101" i="3"/>
  <c r="K100" i="3"/>
  <c r="K99" i="3"/>
  <c r="K98" i="3"/>
  <c r="K97" i="3"/>
  <c r="K96" i="3"/>
  <c r="K95" i="3"/>
  <c r="K94" i="3"/>
  <c r="K93" i="3"/>
  <c r="K92" i="3"/>
  <c r="K91" i="3"/>
  <c r="K90" i="3"/>
  <c r="K89" i="3"/>
  <c r="K88" i="3"/>
  <c r="K87" i="3"/>
  <c r="K86" i="3"/>
  <c r="K85" i="3"/>
  <c r="K84" i="3"/>
  <c r="K83" i="3"/>
  <c r="K82" i="3"/>
  <c r="K81" i="3"/>
  <c r="K80" i="3"/>
  <c r="K79" i="3"/>
  <c r="K78" i="3"/>
  <c r="K77" i="3"/>
  <c r="K76" i="3"/>
  <c r="K75" i="3"/>
  <c r="K74" i="3"/>
  <c r="K73" i="3"/>
  <c r="K72" i="3"/>
  <c r="K71" i="3"/>
  <c r="K70" i="3"/>
  <c r="K69" i="3"/>
  <c r="K68" i="3"/>
  <c r="K67" i="3"/>
  <c r="K66" i="3"/>
  <c r="K65" i="3"/>
  <c r="K64" i="3"/>
  <c r="K63" i="3"/>
  <c r="K62" i="3"/>
  <c r="K61" i="3"/>
  <c r="K60" i="3"/>
  <c r="K59" i="3"/>
  <c r="K58" i="3"/>
  <c r="K57" i="3"/>
  <c r="K56" i="3"/>
  <c r="K55" i="3"/>
  <c r="K54" i="3"/>
  <c r="K53" i="3"/>
  <c r="K52" i="3"/>
  <c r="K51" i="3"/>
  <c r="K50" i="3"/>
  <c r="K49" i="3"/>
  <c r="K48" i="3"/>
  <c r="K47" i="3"/>
  <c r="K46" i="3"/>
  <c r="K45" i="3"/>
  <c r="K44" i="3"/>
  <c r="K43" i="3"/>
  <c r="K42" i="3"/>
  <c r="K41" i="3"/>
  <c r="K40" i="3"/>
  <c r="K39" i="3"/>
  <c r="K38" i="3"/>
  <c r="K37" i="3"/>
  <c r="K36" i="3"/>
  <c r="K35" i="3"/>
  <c r="K34" i="3"/>
  <c r="K33" i="3"/>
  <c r="K32" i="3"/>
  <c r="K31" i="3"/>
  <c r="K30" i="3"/>
  <c r="K29" i="3"/>
  <c r="K28" i="3"/>
  <c r="K27" i="3"/>
  <c r="K26" i="3"/>
  <c r="K25" i="3"/>
  <c r="K24" i="3"/>
  <c r="K23" i="3"/>
  <c r="K22" i="3"/>
  <c r="K21" i="3"/>
  <c r="K20" i="3"/>
  <c r="K19" i="3"/>
  <c r="K18" i="3"/>
  <c r="K17" i="3"/>
  <c r="K16" i="3"/>
  <c r="K15" i="3"/>
  <c r="K14" i="3"/>
  <c r="K13" i="3"/>
  <c r="K12" i="3"/>
  <c r="K11" i="3"/>
  <c r="K10" i="3"/>
  <c r="K9" i="3"/>
  <c r="K8" i="3"/>
  <c r="K7" i="3"/>
  <c r="K6" i="3"/>
  <c r="F28" i="2"/>
  <c r="E28" i="2"/>
  <c r="C20" i="5" l="1"/>
  <c r="C10" i="5"/>
  <c r="C22" i="5"/>
  <c r="C14" i="5"/>
  <c r="C16" i="5" s="1"/>
  <c r="C21" i="5" l="1"/>
  <c r="B20" i="1" s="1"/>
</calcChain>
</file>

<file path=xl/sharedStrings.xml><?xml version="1.0" encoding="utf-8"?>
<sst xmlns="http://schemas.openxmlformats.org/spreadsheetml/2006/main" count="3293" uniqueCount="1876">
  <si>
    <t>FaithGuard Literature Review Workbook - Member: Repair</t>
  </si>
  <si>
    <t>Member: M.S.A Ahamed  |  Component: Repair: edit programs (KEEP, COPY, CALCULATE, CANNOT_FIX), Decimal executor and hard gate, Qwen3.5-2B with LoRA</t>
  </si>
  <si>
    <t>Review question: How can a wrong answer, especially a wrong number, be repaired after generation using correction, program execution or self-training, with a small model and limited compute?</t>
  </si>
  <si>
    <t>Note added 30 Oct 2026: this workbook was made with Claude (Anthropic) at the team's direction, and some cells were corrected; see 'Provenance and corrections' at the end of this sheet.</t>
  </si>
  <si>
    <t>Sheet</t>
  </si>
  <si>
    <t>What it is for</t>
  </si>
  <si>
    <t>Feeds</t>
  </si>
  <si>
    <t>01 Search log</t>
  </si>
  <si>
    <t>Every search exactly as run, with date, total hits and records exported; citation-chasing lookups listed separately</t>
  </si>
  <si>
    <t>04 PRISMA counts</t>
  </si>
  <si>
    <t>02 Screening log</t>
  </si>
  <si>
    <t>One row per record with title (P1), abstract (P2) and full-text (P3) decisions, exclusion reason and notes</t>
  </si>
  <si>
    <t>03, 04</t>
  </si>
  <si>
    <t>03 Extraction matrix</t>
  </si>
  <si>
    <t>Included studies: focus, setting, method, key results, authors' stated limitations, subtopic, free full-text route</t>
  </si>
  <si>
    <t>05, 06, 07</t>
  </si>
  <si>
    <t>PRISMA flow counts and exclusion reasons, all calculated by formula</t>
  </si>
  <si>
    <t>Report / slides</t>
  </si>
  <si>
    <t>05 Gaps register</t>
  </si>
  <si>
    <t>Gaps stated by authors and how FaithGuard addresses each (or not)</t>
  </si>
  <si>
    <t>Problem statement, novelty</t>
  </si>
  <si>
    <t>06 Technology comparison</t>
  </si>
  <si>
    <t>Alternatives, criteria and FaithGuard's provisional decision for each design choice</t>
  </si>
  <si>
    <t>Methodology chapter</t>
  </si>
  <si>
    <t>07 Reference list</t>
  </si>
  <si>
    <t>Full APA 7 references for every included study</t>
  </si>
  <si>
    <t>Report bibliography</t>
  </si>
  <si>
    <t>Colour key</t>
  </si>
  <si>
    <t>Pale yellow cells: You type here</t>
  </si>
  <si>
    <t>White cells with formulas: Calculated - do not overwrite</t>
  </si>
  <si>
    <t>Green INCLUDED cell: the record passed all three screening passes</t>
  </si>
  <si>
    <t>Golden rule</t>
  </si>
  <si>
    <t>Every included study has a verified peer-reviewed venue and a legal free full-text route (publisher open access, open proceedings, or the authors' own arXiv version), and every number in sheet 03 comes from the paper itself.</t>
  </si>
  <si>
    <t>Eligibility criteria</t>
  </si>
  <si>
    <t>Include (all must hold)</t>
  </si>
  <si>
    <t>I1. Peer-reviewed archival publication: journal article, or paper in conference or workshop proceedings.</t>
  </si>
  <si>
    <t>I2. Published from 1 January 2017 onwards (search filter).</t>
  </si>
  <si>
    <t>I3. Written in English.</t>
  </si>
  <si>
    <t>I4. A legal free full text exists: publisher open access, open proceedings (ACL Anthology, PMLR, NeurIPS, AAAI) or the authors' own version (arXiv).</t>
  </si>
  <si>
    <t>I5. Primary study, benchmark, method or survey that meets the member's scope below.</t>
  </si>
  <si>
    <t>Scope (in): Post-hoc revision and factual error correction; self-correction and critique; program- or tool-aided numerical reasoning; financial numerical reasoning benchmarks and methods; self-training, rejection sampling and distillation for reasoning; parameter-efficient fine-tuning and quantisation; structured or format-constrained output.</t>
  </si>
  <si>
    <t>Scope (out, applied at P1 and P2): Vision and multimodal work; repair or generation of programs and SQL as the product (rather than as a reasoning tool); domain-specific applications outside finance; chain-of-thought prompting without programs; decoding that constrains content (keywords) rather than output structure.</t>
  </si>
  <si>
    <t>Full-text exclusion reasons (P3)</t>
  </si>
  <si>
    <t>E1. Not peer-reviewed: preprints and technical reports with no archival version found, non-archival workshop papers, and journals whose peer review cannot be verified (open-access journals not listed in DOAJ).</t>
  </si>
  <si>
    <t>E2. Outside date range: published before 2017.</t>
  </si>
  <si>
    <t>E3. Outside scope: fails the member's scope at full-text stage.</t>
  </si>
  <si>
    <t>E4. Free full text unavailable: subscription-only and no author version found (arXiv searched by title).</t>
  </si>
  <si>
    <t>E5. Duplicate/secondary version: another version (e.g. arXiv copy) of a paper already in the log.</t>
  </si>
  <si>
    <t>Subtopics</t>
  </si>
  <si>
    <t>A  Post-hoc revision and factual error correction</t>
  </si>
  <si>
    <t>B  Self-correction and critique</t>
  </si>
  <si>
    <t>C  Program- and tool-aided numerical reasoning</t>
  </si>
  <si>
    <t>D  Financial numerical reasoning</t>
  </si>
  <si>
    <t>E  Self-training, rejection sampling and distillation</t>
  </si>
  <si>
    <t>F  Efficient fine-tuning and structured output</t>
  </si>
  <si>
    <t>Method notes</t>
  </si>
  <si>
    <t>- Bounded review: each search exported the 25 most-cited records (OpenAlex order), and every exported record was screened.</t>
  </si>
  <si>
    <t>- Planned indexes were DBLP and Semantic Scholar; their APIs refused automated queries (bot check; HTTP 429), so OpenAlex was used for every search. OpenAlex indexes ACL Anthology, arXiv, ACM, IEEE, Springer and other publishers.</t>
  </si>
  <si>
    <t>- When a record was an arXiv copy, the peer-reviewed version was located (title lookups in sheet 01) and assessed; the venue was checked on the proceedings or publisher page, or with Crossref.</t>
  </si>
  <si>
    <t>- Citation chasing: backward (an included study cites the paper) or forward (the paper cites an included study); each link is given in sheet 02.</t>
  </si>
  <si>
    <t>- Peer-review check for open-access journals: listing in DOAJ.</t>
  </si>
  <si>
    <t>- Screening by one reviewer; a second reader should re-check a sample of P1 and P2 decisions (record who in column M).</t>
  </si>
  <si>
    <t>Provenance and corrections (added 30 Oct 2026)</t>
  </si>
  <si>
    <t>- Who made it. Claude (Anthropic) ran the OpenAlex searches in sheet 01 as automated API queries on 25 Oct 2026, screened the records in sheet 02, filled sheets 03 to 07 and wrote this workbook with a script, at the team's direction (commit bf55341, 26 Oct 2026, which carries a Co-Authored-By: Claude line). The member named in row 3 is the paper's lead author. No second reader of the screening is recorded (see the last method note above).</t>
  </si>
  <si>
    <t>- Shared lookups. The citation-chasing lookup CC-01 is the same row in all three workbooks (detection, repair, policy), and CC-02 in the detection and repair workbooks: one set of lookups served all three.</t>
  </si>
  <si>
    <t>- Corrected cells. On 30 Oct 2026 these cells were corrected because the project's record (docs/decision-log.md and the papers) does not support them; the old text is kept here. sheet '05 Gaps register', cell E5, said: "Stage B self-trains on the repairer's own outputs on real answers, filtered by the hard gate."</t>
  </si>
  <si>
    <t>- Other cells. Every other cell in sheets 05 and 06 is left as written on 26 Oct 2026 and records the design as planned then; where it differs from the decision log, the log holds. For example, gap 6 (row 10): the gate's relevance check asks only that a supported number stays on the question's line item, so it does not check that evidence is relevant; and area 4 in sheet 06 (row 8): stage B was trained and tested but is not the frozen repairer v1 (D-079, D-101). Since 26 Oct the benchmark's labels, the second reading of its questions and every check were made by blind Claude passes, not people (D-103).</t>
  </si>
  <si>
    <t>01 - Search log: Repair</t>
  </si>
  <si>
    <t>Every search below was run as written on the date shown. Database searches used the OpenAlex works API (filter title_and_abstract.search, publication date from 2017-01-01, sorted by citation count, first 25 records exported). DBLP's API answered with a bot check and the Semantic Scholar API with HTTP 429 (rate limit), so OpenAlex, which indexes ACL Anthology, arXiv, ACM, IEEE, Springer and other publishers, was used for all searches.</t>
  </si>
  <si>
    <t>#</t>
  </si>
  <si>
    <t>Database</t>
  </si>
  <si>
    <t>Search string (exactly as run)</t>
  </si>
  <si>
    <t>Date run</t>
  </si>
  <si>
    <t>Results (total hits)</t>
  </si>
  <si>
    <t>Records exported for screening</t>
  </si>
  <si>
    <t>Notes / filters applied</t>
  </si>
  <si>
    <t>M2-01</t>
  </si>
  <si>
    <t>OpenAlex (works API)</t>
  </si>
  <si>
    <t>("post-hoc" OR revision OR "post-editing") AND (hallucination OR "factual errors") AND "language models"</t>
  </si>
  <si>
    <t>2026-10-25</t>
  </si>
  <si>
    <t>title_and_abstract.search; from_publication_date:2017-01-01; sort cited_by_count desc; per-page 25</t>
  </si>
  <si>
    <t>M2-02</t>
  </si>
  <si>
    <t>"factual error correction"</t>
  </si>
  <si>
    <t>M2-03</t>
  </si>
  <si>
    <t>"self-correction" AND ("large language models" OR LLMs)</t>
  </si>
  <si>
    <t>M2-04</t>
  </si>
  <si>
    <t>("program-aided" OR "program of thoughts" OR "program-of-thought") AND reasoning</t>
  </si>
  <si>
    <t>M2-05</t>
  </si>
  <si>
    <t>(financial OR finance) AND "numerical reasoning" AND (table OR tabular)</t>
  </si>
  <si>
    <t>M2-06</t>
  </si>
  <si>
    <t>("self-training" OR "rejection sampling" OR "self-taught") AND reasoning AND "language models"</t>
  </si>
  <si>
    <t>M2-07</t>
  </si>
  <si>
    <t>("low-rank adaptation" OR quantized) AND (fine-tuning OR finetuning) AND "language models"</t>
  </si>
  <si>
    <t>M2-08</t>
  </si>
  <si>
    <t>("constrained decoding" OR "structured output" OR "format restrictions" OR "grammar-constrained") AND "language models"</t>
  </si>
  <si>
    <t>TOTAL RECORDS IDENTIFIED</t>
  </si>
  <si>
    <t>Citation-chasing lookups (other methods; not counted as database identification)</t>
  </si>
  <si>
    <t>Records returned</t>
  </si>
  <si>
    <t>Purpose</t>
  </si>
  <si>
    <t>CD-01</t>
  </si>
  <si>
    <t>RARR OR "Verify-and-Edit" OR "Tool-Interactive Critiquing" OR "Self-Refine" OR Toolformer OR "Program of Thoughts" OR "Program-aided Language Models" OR "Cannot Self-Correct Reasoning Yet" OR "Scaling Self-Training for Problem-Solving" OR "Low-Rank Adaptation of Large Language Models"</t>
  </si>
  <si>
    <t>title.search; sort cited_by_count desc; per-page 50. Exact-title lookup to locate citation-chased papers and published versions of database records</t>
  </si>
  <si>
    <t>CC-01</t>
  </si>
  <si>
    <t>SelfCheckGPT OR FActScore OR HaluEval OR MiniCheck OR SummaC OR FinQA OR FinDVer OR "Learn then Test" OR "On Calibration of Modern Neural Networks" OR "Conformal Factuality Guarantees"</t>
  </si>
  <si>
    <t>title.search; sort cited_by_count desc; per-page 50. Exact-title lookup to locate citation-chased papers and published versions</t>
  </si>
  <si>
    <t>CC-02</t>
  </si>
  <si>
    <t>"Survey of Hallucination in Natural Language Generation" OR RAGTruth OR "Fine-grained Hallucination Detection and Editing" OR "Re-evaluating Factual Consistency Evaluation" OR TabFact OR FEVEROUS OR "TAT-QA" OR ConvFinQA OR "TAT-LLM"</t>
  </si>
  <si>
    <t>02 - Screening log: Repair</t>
  </si>
  <si>
    <t>One row per unique record. P1 = title pass, P2 = abstract pass (title and venue when no abstract was indexed), P3 = full-text pass. Type KEEP or DROP; the INCLUDED column is a formula. Database records are numbered in search order; citation-chased records follow.</t>
  </si>
  <si>
    <t>Title</t>
  </si>
  <si>
    <t>First author</t>
  </si>
  <si>
    <t>Year</t>
  </si>
  <si>
    <t>Venue</t>
  </si>
  <si>
    <t>Database / index searched</t>
  </si>
  <si>
    <t>P1 Title</t>
  </si>
  <si>
    <t>P2 Abstract</t>
  </si>
  <si>
    <t>P3 Full text</t>
  </si>
  <si>
    <t>Exclusion reason (P3)</t>
  </si>
  <si>
    <t>INCLUDED</t>
  </si>
  <si>
    <t>Route</t>
  </si>
  <si>
    <t>Screening note</t>
  </si>
  <si>
    <t>OpenAlex ID</t>
  </si>
  <si>
    <t>DOI / link</t>
  </si>
  <si>
    <t>ChatGPT: The transformative influence of generative AI on science and healthcare</t>
  </si>
  <si>
    <t>Julian Varghese</t>
  </si>
  <si>
    <t>Journal of Hepatology</t>
  </si>
  <si>
    <t>OpenAlex: M2-01</t>
  </si>
  <si>
    <t>DROP</t>
  </si>
  <si>
    <t>Database search</t>
  </si>
  <si>
    <t>Domain-specific application outside finance: healthcare commentary</t>
  </si>
  <si>
    <t>W4385605341</t>
  </si>
  <si>
    <t>https://doi.org/10.1016/j.jhep.2023.07.028</t>
  </si>
  <si>
    <t>Why we need to be careful with LLMs in medicine</t>
  </si>
  <si>
    <t>Jean‐Christophe Bélisle‐Pipon</t>
  </si>
  <si>
    <t>Frontiers in Medicine</t>
  </si>
  <si>
    <t>Domain-specific application outside finance: medicine</t>
  </si>
  <si>
    <t>W4405021649</t>
  </si>
  <si>
    <t>https://doi.org/10.3389/fmed.2024.1495582</t>
  </si>
  <si>
    <t>Automatically Correcting Large Language Models: Surveying the Landscape of Diverse Automated Correction Strategies</t>
  </si>
  <si>
    <t>Liangming Pan</t>
  </si>
  <si>
    <t>TACL 12</t>
  </si>
  <si>
    <t>OpenAlex: M2-01, M2-03</t>
  </si>
  <si>
    <t>KEEP</t>
  </si>
  <si>
    <t>W4396665924</t>
  </si>
  <si>
    <t>https://doi.org/10.1162/tacl_a_00660</t>
  </si>
  <si>
    <t>Automated reading passage generation with OpenAI's large language model</t>
  </si>
  <si>
    <t>Ummugul Bezirhan</t>
  </si>
  <si>
    <t>Computers and Education Artificial Intelligence</t>
  </si>
  <si>
    <t>Off-topic: education</t>
  </si>
  <si>
    <t>W4385973406</t>
  </si>
  <si>
    <t>https://doi.org/10.1016/j.caeai.2023.100161</t>
  </si>
  <si>
    <t>Analyzing and Mitigating Object Hallucination in Large Vision-Language Models</t>
  </si>
  <si>
    <t>Yiyang Zhou</t>
  </si>
  <si>
    <t>arXiv preprint</t>
  </si>
  <si>
    <t>Non-text modality: vision-language models</t>
  </si>
  <si>
    <t>W4387323833</t>
  </si>
  <si>
    <t>https://doi.org/10.48550/arxiv.2310.00754</t>
  </si>
  <si>
    <t>Correcting Diverse Factual Errors in Abstractive Summarization via Post-Editing and Language Model Infilling</t>
  </si>
  <si>
    <t>Vidhisha Balachandran</t>
  </si>
  <si>
    <t>EMNLP 2022 (Main)</t>
  </si>
  <si>
    <t>W4385573912</t>
  </si>
  <si>
    <t>https://doi.org/10.18653/v1/2022.emnlp-main.667</t>
  </si>
  <si>
    <t>Integrating Generative Artificial Intelligence and Problem-Based Learning into the Digitization in Construction Curriculum</t>
  </si>
  <si>
    <t>Reza Maalek</t>
  </si>
  <si>
    <t>Buildings</t>
  </si>
  <si>
    <t>W4404483910</t>
  </si>
  <si>
    <t>https://doi.org/10.3390/buildings14113642</t>
  </si>
  <si>
    <t>Automatically Correcting Large Language Models: Surveying the landscape of diverse self-correction strategies</t>
  </si>
  <si>
    <t>Duplicate/secondary version</t>
  </si>
  <si>
    <t>arXiv version of Pan et al. (TACL 2024, record 3)</t>
  </si>
  <si>
    <t>W4385681611</t>
  </si>
  <si>
    <t>https://doi.org/10.48550/arxiv.2308.03188</t>
  </si>
  <si>
    <t>A Systematic Literature Review of Hallucinations in Large Language Models</t>
  </si>
  <si>
    <t>Christian Woesle</t>
  </si>
  <si>
    <t>IEEE Access 13</t>
  </si>
  <si>
    <t>W4413394768</t>
  </si>
  <si>
    <t>https://doi.org/10.1109/access.2025.3601206</t>
  </si>
  <si>
    <t>Citation-Enhanced Generation for LLM-based Chatbots</t>
  </si>
  <si>
    <t>Weitao Li</t>
  </si>
  <si>
    <t>Annual Meeting of the Association for Computational Linguistics (ACL)</t>
  </si>
  <si>
    <t>Off-topic: citation generation for chatbots</t>
  </si>
  <si>
    <t>W4402671914</t>
  </si>
  <si>
    <t>https://doi.org/10.18653/v1/2024.acl-long.79</t>
  </si>
  <si>
    <t>Integrating artificial intelligence into scientific writing: a narrative review for clinical and surgical researchers</t>
  </si>
  <si>
    <t>Süleyman Utku Çelik</t>
  </si>
  <si>
    <t>The American Journal of Surgery</t>
  </si>
  <si>
    <t>Domain-specific application outside finance: scientific writing in surgery</t>
  </si>
  <si>
    <t>W4415020385</t>
  </si>
  <si>
    <t>https://doi.org/10.1016/j.amjsurg.2025.116657</t>
  </si>
  <si>
    <t>The role of large language models in improving the readability of orthopaedic spine patient educational material</t>
  </si>
  <si>
    <t>Melissa R. Romoff</t>
  </si>
  <si>
    <t>Journal of Orthopaedic Surgery and Research</t>
  </si>
  <si>
    <t>Domain-specific application outside finance: patient education</t>
  </si>
  <si>
    <t>W4410769187</t>
  </si>
  <si>
    <t>https://doi.org/10.1186/s13018-025-05955-1</t>
  </si>
  <si>
    <t>From Single to Multi: How LLMs Hallucinate in Multi-Document Summarization</t>
  </si>
  <si>
    <t>Catarina Belém</t>
  </si>
  <si>
    <t>Findings of the Association for Computational Linguistics: NAACL</t>
  </si>
  <si>
    <t>Off-topic: analysis of hallucination, not correction</t>
  </si>
  <si>
    <t>W4411120009</t>
  </si>
  <si>
    <t>https://doi.org/10.18653/v1/2025.findings-naacl.293</t>
  </si>
  <si>
    <t>Chain of Natural Language Inference for Reducing Large Language Model Ungrounded Hallucinations</t>
  </si>
  <si>
    <t>Deren Lei</t>
  </si>
  <si>
    <t>Not peer-reviewed</t>
  </si>
  <si>
    <t>arXiv preprint (2023); no peer-reviewed version found</t>
  </si>
  <si>
    <t>W4387559042</t>
  </si>
  <si>
    <t>https://doi.org/10.48550/arxiv.2310.03951</t>
  </si>
  <si>
    <t>Writing for Pediatric Critical Care Medicine: Engaging With Citations to References in the Chatbot Generative Pre-Trained Transformer Era</t>
  </si>
  <si>
    <t>Robert Charles Tasker</t>
  </si>
  <si>
    <t>Pediatric Critical Care Medicine</t>
  </si>
  <si>
    <t>Domain-specific application outside finance: medical writing</t>
  </si>
  <si>
    <t>W4387301014</t>
  </si>
  <si>
    <t>https://doi.org/10.1097/pcc.0000000000003356</t>
  </si>
  <si>
    <t>Factual Error Correction for Abstractive Summaries Using Entity Retrieval</t>
  </si>
  <si>
    <t>Hwanhee Lee</t>
  </si>
  <si>
    <t>GEM Workshop 2022 (EMNLP)</t>
  </si>
  <si>
    <t>OpenAlex: M2-01, M2-02</t>
  </si>
  <si>
    <t>W4385573357</t>
  </si>
  <si>
    <t>https://doi.org/10.18653/v1/2022.gem-1.41</t>
  </si>
  <si>
    <t>Debiasing Multimodal Large Language Models via Penalization of Language Priors</t>
  </si>
  <si>
    <t>Yifan Zhang</t>
  </si>
  <si>
    <t>ACM International Conference on Multimedia (ACM MM)</t>
  </si>
  <si>
    <t>Non-text modality: multimodal models</t>
  </si>
  <si>
    <t>W4415538402</t>
  </si>
  <si>
    <t>https://doi.org/10.1145/3746027.3755364</t>
  </si>
  <si>
    <t>Augmenting Large Language Models with Static Code Analysis for Automated Code Quality Improvements</t>
  </si>
  <si>
    <t>Seyed Moein Abtahi</t>
  </si>
  <si>
    <t>Conference-paper</t>
  </si>
  <si>
    <t>Program or SQL generation and repair, not answer repair</t>
  </si>
  <si>
    <t>W4411950757</t>
  </si>
  <si>
    <t>https://doi.org/10.1109/forge66646.2025.00017</t>
  </si>
  <si>
    <t>CAA-X V3.1 Intention is All You Need: A Manifesto for Goal-Driven AI — Revised and Expanded Edition</t>
  </si>
  <si>
    <t>Qi LU</t>
  </si>
  <si>
    <t>Zenodo</t>
  </si>
  <si>
    <t>Not a research study: manifesto on Zenodo</t>
  </si>
  <si>
    <t>W7201888943</t>
  </si>
  <si>
    <t>https://doi.org/10.5281/zenodo.21836501</t>
  </si>
  <si>
    <t>TITLE: Intelligent Intelligence Class II (II-II): A New Computing Type Unitary Anchor Bound Cognition System — Technical Abstract of USPTO Non-Provisional Utility Patent Application 19/710,080, Filed June 16, 2026 — Linked Priority via Provisional 64/077,191 (May 28, 2026) — Operating Across the Compressed Memory Manifold (CMM) Substrate Covered by USPTO Non-Provisional 19/700,381 — Two-Way Utility Patent Coverage Locked — Green Recursive Utility Service LLC</t>
  </si>
  <si>
    <t>Green Recursive Utility Service LLC</t>
  </si>
  <si>
    <t>Not a research study: patent abstract on Zenodo</t>
  </si>
  <si>
    <t>W7165007089</t>
  </si>
  <si>
    <t>https://doi.org/10.5281/zenodo.20732333</t>
  </si>
  <si>
    <t>Transcription Accuracy of Automatic Speech Recognition for Orthodontic Clinical Records</t>
  </si>
  <si>
    <t>Ruairí O’Kane</t>
  </si>
  <si>
    <t>Journal of Dental Research</t>
  </si>
  <si>
    <t>Domain-specific application outside finance: speech recognition in dentistry</t>
  </si>
  <si>
    <t>W4415793056</t>
  </si>
  <si>
    <t>https://doi.org/10.1177/00220345251382452</t>
  </si>
  <si>
    <t>CooKie: commonsense knowledge-guided mixture-of-experts framework for fine-grained visual question answering</t>
  </si>
  <si>
    <t>Chao Wang</t>
  </si>
  <si>
    <t>Information Sciences</t>
  </si>
  <si>
    <t>Non-text modality: visual question answering</t>
  </si>
  <si>
    <t>W4405047214</t>
  </si>
  <si>
    <t>https://doi.org/10.1016/j.ins.2024.121742</t>
  </si>
  <si>
    <t>Unlocking the Capabilities of Large Language Models for Accelerating Drug Development</t>
  </si>
  <si>
    <t>Wes Anderson</t>
  </si>
  <si>
    <t>Clinical Pharmacology &amp; Therapeutics</t>
  </si>
  <si>
    <t>Domain-specific application outside finance: drug development</t>
  </si>
  <si>
    <t>W4395051554</t>
  </si>
  <si>
    <t>https://doi.org/10.1002/cpt.3279</t>
  </si>
  <si>
    <t>Adaptive heterogeneous multi-agent debate for enhanced educational and factual reasoning in large language models</t>
  </si>
  <si>
    <t>Yan Zhou</t>
  </si>
  <si>
    <t>J. King Saud Univ. Comput. Inf. Sci. 37(10)</t>
  </si>
  <si>
    <t>W4416571241</t>
  </si>
  <si>
    <t>https://doi.org/10.1007/s44443-025-00353-3</t>
  </si>
  <si>
    <t>PURR: Efficiently Editing Language Model Hallucinations by Denoising Language Model Corruptions</t>
  </si>
  <si>
    <t>Anthony Chen</t>
  </si>
  <si>
    <t>W4378465094</t>
  </si>
  <si>
    <t>https://doi.org/10.48550/arxiv.2305.14908</t>
  </si>
  <si>
    <t>Factual Error Correction for Abstractive Summarization Models</t>
  </si>
  <si>
    <t>Meng Cao</t>
  </si>
  <si>
    <t>EMNLP 2020 (Main)</t>
  </si>
  <si>
    <t>OpenAlex: M2-02</t>
  </si>
  <si>
    <t>W3102645206</t>
  </si>
  <si>
    <t>https://doi.org/10.18653/v1/2020.emnlp-main.506</t>
  </si>
  <si>
    <t>Evidence-based Factual Error Correction</t>
  </si>
  <si>
    <t>James Peter Thorne</t>
  </si>
  <si>
    <t>ACL-IJCNLP 2021 (Long Papers)</t>
  </si>
  <si>
    <t>W3169467202</t>
  </si>
  <si>
    <t>https://doi.org/10.18653/v1/2021.acl-long.256</t>
  </si>
  <si>
    <t>Zero-shot Faithful Factual Error Correction</t>
  </si>
  <si>
    <t>Kung-Hsiang Huang</t>
  </si>
  <si>
    <t>ACL 2023 (Long Papers)</t>
  </si>
  <si>
    <t>W4385569922</t>
  </si>
  <si>
    <t>https://doi.org/10.18653/v1/2023.acl-long.311</t>
  </si>
  <si>
    <t>Do LVLMs Understand Charts? Analyzing and Correcting Factual Errors in Chart Captioning</t>
  </si>
  <si>
    <t>Non-text modality: chart captioning</t>
  </si>
  <si>
    <t>W4402684237</t>
  </si>
  <si>
    <t>https://doi.org/10.18653/v1/2024.findings-acl.41</t>
  </si>
  <si>
    <t>arXiv version of Cao et al. (EMNLP 2020, record 26)</t>
  </si>
  <si>
    <t>W3093032106</t>
  </si>
  <si>
    <t>https://doi.org/10.48550/arxiv.2010.08712</t>
  </si>
  <si>
    <t>Converge to the Truth: Factual Error Correction via Iterative Constrained Editing</t>
  </si>
  <si>
    <t>Jiangjie Chen</t>
  </si>
  <si>
    <t>AAAI 2023</t>
  </si>
  <si>
    <t>W4382202633</t>
  </si>
  <si>
    <t>https://doi.org/10.1609/aaai.v37i11.26485</t>
  </si>
  <si>
    <t>Improving Factual Error Correction by Learning to Inject Factual Errors</t>
  </si>
  <si>
    <t>Xingwei He</t>
  </si>
  <si>
    <t>AAAI 2024</t>
  </si>
  <si>
    <t>W4393157089</t>
  </si>
  <si>
    <t>https://doi.org/10.1609/aaai.v38i16.29778</t>
  </si>
  <si>
    <t>Reference Matters: Benchmarking Factual Error Correction for Dialogue Summarization with Fine-grained Evaluation Framework</t>
  </si>
  <si>
    <t>Mingqi Gao</t>
  </si>
  <si>
    <t>W4385571364</t>
  </si>
  <si>
    <t>https://doi.org/10.18653/v1/2023.acl-long.779</t>
  </si>
  <si>
    <t>Improving Factual Error Correction for Abstractive Summarization via Data Distillation and Conditional-Generation Cloze</t>
  </si>
  <si>
    <t>Yingqi Zhu</t>
  </si>
  <si>
    <t>IEEE/ACM TASLP 33</t>
  </si>
  <si>
    <t>W4410854072</t>
  </si>
  <si>
    <t>https://doi.org/10.1109/taslpro.2025.3567744</t>
  </si>
  <si>
    <t>Correcting Factual Errors in LLMs via Inference Paths Based on Knowledge Graph</t>
  </si>
  <si>
    <t>Weiqi Ye</t>
  </si>
  <si>
    <t>Free full text unavailable</t>
  </si>
  <si>
    <t>IEEE subscription paper; no author version found on arXiv</t>
  </si>
  <si>
    <t>W4404295573</t>
  </si>
  <si>
    <t>https://doi.org/10.1109/clnlp64123.2024.00011</t>
  </si>
  <si>
    <t>PivotFEC: Enhancing Few-shot Factual Error Correction with a Pivot Task Approach using Large Language Models</t>
  </si>
  <si>
    <t>Findings of EMNLP 2023</t>
  </si>
  <si>
    <t>W4389518928</t>
  </si>
  <si>
    <t>https://doi.org/10.18653/v1/2023.findings-emnlp.667</t>
  </si>
  <si>
    <t>ViFEC: Evidence-Guided Distantly Supervised Learning for Vietnamese Factual Error Correction</t>
  </si>
  <si>
    <t>Phong Thanh Vu</t>
  </si>
  <si>
    <t>International Conference on Multimedia Analysis and Pattern Recognition (MAPR)</t>
  </si>
  <si>
    <t>W7213415557</t>
  </si>
  <si>
    <t>https://doi.org/10.1109/mapr72750.2026.11685743</t>
  </si>
  <si>
    <t>CECOR: Correction-oriented synthetic data construction for factual error correction</t>
  </si>
  <si>
    <t>Zhu, Lei</t>
  </si>
  <si>
    <t>arXiv preprint (2026)</t>
  </si>
  <si>
    <t>W7160325936</t>
  </si>
  <si>
    <t>https://doi.org/10.48550/arxiv.2605.02277</t>
  </si>
  <si>
    <t>CLFEC: A New Task for Unified Linguistic and Factual Error Correction in paragraph-level Chinese Professional Writing</t>
  </si>
  <si>
    <t>Jian Kai</t>
  </si>
  <si>
    <t>W7133198067</t>
  </si>
  <si>
    <t>https://doi.org/10.48550/arxiv.2602.23845</t>
  </si>
  <si>
    <t>Part-of-Speech Prompting for Chunking-Based Factual Error Correction</t>
  </si>
  <si>
    <t>Zhenyun Deng</t>
  </si>
  <si>
    <t>International Conference on Digital Society and Intelligent Systems (DSInS)</t>
  </si>
  <si>
    <t>W7124158765</t>
  </si>
  <si>
    <t>https://doi.org/10.1109/dsins68311.2025.11329866</t>
  </si>
  <si>
    <t>Improving Factual Error Correction for Abstractive Summarization via Data Distillation and Conditional-generation Cloze</t>
  </si>
  <si>
    <t>Yiyang Li</t>
  </si>
  <si>
    <t>Earlier arXiv preprint of the TASLP article (record 34); used as that article's free route</t>
  </si>
  <si>
    <t>W4402554246</t>
  </si>
  <si>
    <t>https://doi.org/10.48550/arxiv.2402.08581</t>
  </si>
  <si>
    <t>arXiv version of FERRANTI (ACL 2023, record 33)</t>
  </si>
  <si>
    <t>W4380136521</t>
  </si>
  <si>
    <t>https://doi.org/10.48550/arxiv.2306.05119</t>
  </si>
  <si>
    <t>SciFix: Outperforming GPT3 on Scientific Factual Error Correction</t>
  </si>
  <si>
    <t>Dhananjay Ashok</t>
  </si>
  <si>
    <t>Domain-specific: scientific and COVID-19 claims</t>
  </si>
  <si>
    <t>W4378473848</t>
  </si>
  <si>
    <t>https://doi.org/10.48550/arxiv.2305.14707</t>
  </si>
  <si>
    <t>Factual Error Correction in Summarization with Retriever-Reader Pipeline</t>
  </si>
  <si>
    <t>Weiwei Li</t>
  </si>
  <si>
    <t>Lecture notes in computer science</t>
  </si>
  <si>
    <t>Springer LNCS chapter; no author version found on arXiv</t>
  </si>
  <si>
    <t>W4365420804</t>
  </si>
  <si>
    <t>https://doi.org/10.1007/978-3-031-30105-6_33</t>
  </si>
  <si>
    <t>The student becomes the master: Outperforming GPT3 on Scientific Factual Error Correction</t>
  </si>
  <si>
    <t>W4389519836</t>
  </si>
  <si>
    <t>https://doi.org/10.18653/v1/2023.findings-emnlp.451</t>
  </si>
  <si>
    <t>Factual Error Correction of Claims.</t>
  </si>
  <si>
    <t>Article</t>
  </si>
  <si>
    <t>Earlier preprint title of Thorne and Vlachos (ACL 2021, record 27)</t>
  </si>
  <si>
    <t>W3118858369</t>
  </si>
  <si>
    <t>Benchmarking large language models’ performances for myopia care: a comparative analysis of ChatGPT-3.5, ChatGPT-4.0, and Google Bard</t>
  </si>
  <si>
    <t>Zhi Wei Lim</t>
  </si>
  <si>
    <t>EBioMedicine</t>
  </si>
  <si>
    <t>OpenAlex: M2-03</t>
  </si>
  <si>
    <t>Domain-specific application outside finance: eye care</t>
  </si>
  <si>
    <t>W4386110374</t>
  </si>
  <si>
    <t>https://doi.org/10.1016/j.ebiom.2023.104770</t>
  </si>
  <si>
    <t>DIN-SQL: Decomposed In-Context Learning of Text-to-SQL with Self-Correction</t>
  </si>
  <si>
    <t>Mohammadreza Pourreza</t>
  </si>
  <si>
    <t>neural information processing systems</t>
  </si>
  <si>
    <t>W7133205963</t>
  </si>
  <si>
    <t>https://doi.org/10.52202/075280-1577</t>
  </si>
  <si>
    <t>When Can LLMs Actually Correct Their Own Mistakes? A Critical Survey of Self-Correction of LLMs</t>
  </si>
  <si>
    <t>Ryo Kamoi</t>
  </si>
  <si>
    <t>W4404131920</t>
  </si>
  <si>
    <t>https://doi.org/10.1162/tacl_a_00713</t>
  </si>
  <si>
    <t>Domain-specific large language models for fault diagnosis of heating, ventilation, and air conditioning systems by labeled-data-supervised fine-tuning</t>
  </si>
  <si>
    <t>Jian Zhang</t>
  </si>
  <si>
    <t>Applied Energy</t>
  </si>
  <si>
    <t>Domain-specific application outside finance: HVAC fault diagnosis</t>
  </si>
  <si>
    <t>W4402277737</t>
  </si>
  <si>
    <t>https://doi.org/10.1016/j.apenergy.2024.124378</t>
  </si>
  <si>
    <t>The Capacity for Moral Self-Correction in Large Language Models</t>
  </si>
  <si>
    <t>Deep Ganguli</t>
  </si>
  <si>
    <t>Off-topic: moral self-correction, not factual errors</t>
  </si>
  <si>
    <t>W4321162379</t>
  </si>
  <si>
    <t>https://doi.org/10.48550/arxiv.2302.07459</t>
  </si>
  <si>
    <t>Large Language Models Cannot Self-Correct Reasoning Yet</t>
  </si>
  <si>
    <t>Jie Huang</t>
  </si>
  <si>
    <t>ICLR 2024</t>
  </si>
  <si>
    <t>W4387355948</t>
  </si>
  <si>
    <t>https://doi.org/10.48550/arxiv.2310.01798</t>
  </si>
  <si>
    <t>Self-Correcting LLM-Controlled Diffusion Models</t>
  </si>
  <si>
    <t>Tsung-Han Wu</t>
  </si>
  <si>
    <t>IEEE Computer Society Conference on Computer Vision and Pattern Recognition/Proceedings - IEEE Computer Society Conference on Computer Vision and Pattern Recognition/Proceedings</t>
  </si>
  <si>
    <t>Non-text modality: image generation</t>
  </si>
  <si>
    <t>W4402753507</t>
  </si>
  <si>
    <t>https://doi.org/10.1109/cvpr52733.2024.00605</t>
  </si>
  <si>
    <t>Leveraging large language models for data analysis automation</t>
  </si>
  <si>
    <t>Jacqueline A. Jansen</t>
  </si>
  <si>
    <t>PLoS ONE</t>
  </si>
  <si>
    <t>Off-topic: data analysis automation</t>
  </si>
  <si>
    <t>W4407832526</t>
  </si>
  <si>
    <t>https://doi.org/10.1371/journal.pone.0317084</t>
  </si>
  <si>
    <t>LLMs cannot find reasoning errors, but can correct them given the error location</t>
  </si>
  <si>
    <t>Gladys Tyen</t>
  </si>
  <si>
    <t>Findings of ACL 2024</t>
  </si>
  <si>
    <t>W4402670356</t>
  </si>
  <si>
    <t>https://doi.org/10.18653/v1/2024.findings-acl.826</t>
  </si>
  <si>
    <t>Mitigating Entity-Level Hallucination in Large Language Models</t>
  </si>
  <si>
    <t>Weihang Su</t>
  </si>
  <si>
    <t>ACM SIGIR-AP 2024</t>
  </si>
  <si>
    <t>W4405144021</t>
  </si>
  <si>
    <t>https://doi.org/10.1145/3673791.3698403</t>
  </si>
  <si>
    <t>Keeping Medical AI Healthy and Trustworthy: A Review of Detection and Correction Methods for System Degradation</t>
  </si>
  <si>
    <t>Hao Guan</t>
  </si>
  <si>
    <t>IEEE Transactions on Biomedical Engineering</t>
  </si>
  <si>
    <t>Domain-specific application outside finance: medical AI review</t>
  </si>
  <si>
    <t>W4417201877</t>
  </si>
  <si>
    <t>https://doi.org/10.1109/tbme.2025.3642706</t>
  </si>
  <si>
    <t>Comparative analysis of the performance of the large language models DeepSeek-V3, DeepSeek-R1, open AI-O3 mini and open AI-O3 mini high in urology</t>
  </si>
  <si>
    <t>Zijun Yan</t>
  </si>
  <si>
    <t>World Journal of Urology</t>
  </si>
  <si>
    <t>Domain-specific application outside finance: urology</t>
  </si>
  <si>
    <t>W4412088642</t>
  </si>
  <si>
    <t>https://doi.org/10.1007/s00345-025-05757-4</t>
  </si>
  <si>
    <t>MAGIC: Generating Self-Correction Guideline for In-Context Text-to-SQL</t>
  </si>
  <si>
    <t>Arian Askari</t>
  </si>
  <si>
    <t>Proceedings of the AAAI Conference on Artificial Intelligence</t>
  </si>
  <si>
    <t>W4409362830</t>
  </si>
  <si>
    <t>https://doi.org/10.1609/aaai.v39i22.34511</t>
  </si>
  <si>
    <t>CorrectBench: Automatic Testbench Generation with Functional Self-Correction using LLMs for HDL Design</t>
  </si>
  <si>
    <t>Ruidi Qiu</t>
  </si>
  <si>
    <t>Program or SQL generation and repair, not answer repair (hardware design)</t>
  </si>
  <si>
    <t>W4410584101</t>
  </si>
  <si>
    <t>https://doi.org/10.23919/date64628.2025.10992873</t>
  </si>
  <si>
    <t>Assessment of Large Language Models in Cataract Care Information Provision: A Quantitative Comparison</t>
  </si>
  <si>
    <t>Zichang Su</t>
  </si>
  <si>
    <t>Ophthalmology and Therapy</t>
  </si>
  <si>
    <t>W4404172462</t>
  </si>
  <si>
    <t>https://doi.org/10.1007/s40123-024-01066-y</t>
  </si>
  <si>
    <t>GenArtist: Multimodal LLM as an Agent for Unified Image Generation and Editing</t>
  </si>
  <si>
    <t>Zhenyu Wang</t>
  </si>
  <si>
    <t>W4415800703</t>
  </si>
  <si>
    <t>https://doi.org/10.52202/079017-4077</t>
  </si>
  <si>
    <t>Towards evidence-aware retrieval-augmented generation via self-corrective chain-of-thought</t>
  </si>
  <si>
    <t>Youlan Li</t>
  </si>
  <si>
    <t>Information Processing &amp; Management</t>
  </si>
  <si>
    <t>Elsevier subscription article; no author version found on arXiv</t>
  </si>
  <si>
    <t>W4413962949</t>
  </si>
  <si>
    <t>https://doi.org/10.1016/j.ipm.2025.104369</t>
  </si>
  <si>
    <t>Benchmarking large language models for handwritten text recognition</t>
  </si>
  <si>
    <t>Giorgia Crosilla</t>
  </si>
  <si>
    <t>Journal of Documentation</t>
  </si>
  <si>
    <t>Non-text modality: handwriting recognition</t>
  </si>
  <si>
    <t>W4414311642</t>
  </si>
  <si>
    <t>https://doi.org/10.1108/jd-03-2025-0082</t>
  </si>
  <si>
    <t>Few-Shot Learning With Manifold-Enhanced LLM for Handling Anomalous Perception Inputs in Autonomous Driving</t>
  </si>
  <si>
    <t>Yuntao Zou</t>
  </si>
  <si>
    <t>IEEE Transactions on Intelligent Transportation Systems</t>
  </si>
  <si>
    <t>Off-topic: autonomous driving</t>
  </si>
  <si>
    <t>W4411232161</t>
  </si>
  <si>
    <t>https://doi.org/10.1109/tits.2025.3572404</t>
  </si>
  <si>
    <t>MCQG-SRefine: Multiple Choice Question Generation and Evaluation with Iterative Self-Critique, Correction, and Comparison Feedback</t>
  </si>
  <si>
    <t>Zonghai Yao</t>
  </si>
  <si>
    <t>Conference of the Nations of the Americas Chapter of the Association for Computational Linguistics: Human Language Technologies (NAACL)</t>
  </si>
  <si>
    <t>Off-topic: question generation</t>
  </si>
  <si>
    <t>W4411120128</t>
  </si>
  <si>
    <t>https://doi.org/10.18653/v1/2025.naacl-long.538</t>
  </si>
  <si>
    <t>Large language model agents for biological intelligence across genomics, proteomics, spatial biology, and biomedicine</t>
  </si>
  <si>
    <t>Sajib Acharjee Dip</t>
  </si>
  <si>
    <t>Briefings in Bioinformatics</t>
  </si>
  <si>
    <t>Domain-specific application outside finance: biology</t>
  </si>
  <si>
    <t>W7140434011</t>
  </si>
  <si>
    <t>https://doi.org/10.1093/bib/bbag110</t>
  </si>
  <si>
    <t>Generative artificial intelligence for automated data extraction from unstructured medical text</t>
  </si>
  <si>
    <t>Nam Dao</t>
  </si>
  <si>
    <t>JAMIA Open</t>
  </si>
  <si>
    <t>Domain-specific application outside finance: medical data extraction</t>
  </si>
  <si>
    <t>W4414041124</t>
  </si>
  <si>
    <t>https://doi.org/10.1093/jamiaopen/ooaf097</t>
  </si>
  <si>
    <t>Performance analysis of large language models Chatgpt-4o, OpenAI O1, and OpenAI O3 mini in clinical treatment of pneumonia: a comparative study</t>
  </si>
  <si>
    <t>Zhiwu Lin</t>
  </si>
  <si>
    <t>Clinical and Experimental Medicine</t>
  </si>
  <si>
    <t>W4411468342</t>
  </si>
  <si>
    <t>https://doi.org/10.1007/s10238-025-01743-7</t>
  </si>
  <si>
    <t>PAL: Program-aided Language Models</t>
  </si>
  <si>
    <t>Luyu Gao</t>
  </si>
  <si>
    <t>ICML 2023 (PMLR 202)</t>
  </si>
  <si>
    <t>OpenAlex: M2-04</t>
  </si>
  <si>
    <t>Record is the arXiv version; the peer-reviewed version was assessed</t>
  </si>
  <si>
    <t>W4309591663</t>
  </si>
  <si>
    <t>https://doi.org/10.48550/arxiv.2211.10435</t>
  </si>
  <si>
    <t>Program of Thoughts Prompting: Disentangling Computation from Reasoning for Numerical Reasoning Tasks</t>
  </si>
  <si>
    <t>Wenhu Chen</t>
  </si>
  <si>
    <t>TMLR (10/2023)</t>
  </si>
  <si>
    <t>W4309953112</t>
  </si>
  <si>
    <t>https://doi.org/10.48550/arxiv.2211.12588</t>
  </si>
  <si>
    <t>Specification and Automated Analysis of Inter-Parameter Dependencies in Web APIs</t>
  </si>
  <si>
    <t>Alberto Martin-Lopez</t>
  </si>
  <si>
    <t>IEEE Transactions on Services Computing</t>
  </si>
  <si>
    <t>Off-topic: web APIs</t>
  </si>
  <si>
    <t>W3023591809</t>
  </si>
  <si>
    <t>https://doi.org/10.1109/tsc.2021.3050610</t>
  </si>
  <si>
    <t>Drowzee: Metamorphic Testing for Fact-Conflicting Hallucination Detection in Large Language Models</t>
  </si>
  <si>
    <t>Ningke Li</t>
  </si>
  <si>
    <t>Proceedings of the ACM on Programming Languages</t>
  </si>
  <si>
    <t>Off-topic: hallucination detection by testing, not repair</t>
  </si>
  <si>
    <t>W4403223051</t>
  </si>
  <si>
    <t>https://doi.org/10.1145/3689776</t>
  </si>
  <si>
    <t>Are LLMs Capable of Data-based Statistical and Causal Reasoning? Benchmarking Advanced Quantitative Reasoning with Data</t>
  </si>
  <si>
    <t>Xiao Liu</t>
  </si>
  <si>
    <t>W4402670585</t>
  </si>
  <si>
    <t>https://doi.org/10.18653/v1/2024.findings-acl.548</t>
  </si>
  <si>
    <t>CREATOR: Tool Creation for Disentangling Abstract and Concrete Reasoning of Large Language Models</t>
  </si>
  <si>
    <t>Cheng Qian</t>
  </si>
  <si>
    <t>W4389520009</t>
  </si>
  <si>
    <t>https://doi.org/10.18653/v1/2023.findings-emnlp.462</t>
  </si>
  <si>
    <t>Plan-and-Solve Prompting: Improving Zero-Shot Chain-of-Thought Reasoning by Large Language Models</t>
  </si>
  <si>
    <t>Lei Wang</t>
  </si>
  <si>
    <t>Off-topic: chain-of-thought prompting without programs</t>
  </si>
  <si>
    <t>W4375957723</t>
  </si>
  <si>
    <t>https://doi.org/10.48550/arxiv.2305.04091</t>
  </si>
  <si>
    <t>Development and Effects of Leukemia Nursing Simulation Based on Clinical Reasoning</t>
  </si>
  <si>
    <t>Aeri Jang</t>
  </si>
  <si>
    <t>International Journal of Environmental Research and Public Health</t>
  </si>
  <si>
    <t>Domain-specific application outside finance: nursing education</t>
  </si>
  <si>
    <t>W3152916018</t>
  </si>
  <si>
    <t>https://doi.org/10.3390/ijerph18084190</t>
  </si>
  <si>
    <t>Distilling mathematical reasoning capabilities into Small Language Models</t>
  </si>
  <si>
    <t>Xunyu Zhu</t>
  </si>
  <si>
    <t>Neural Networks 179</t>
  </si>
  <si>
    <t>W4401263076</t>
  </si>
  <si>
    <t>https://doi.org/10.1016/j.neunet.2024.106594</t>
  </si>
  <si>
    <t>Solving Math Word Problems by Combining Language Models With Symbolic Solvers</t>
  </si>
  <si>
    <t>Joy He-Yueya</t>
  </si>
  <si>
    <t>Non-archival NeurIPS 2023 MATH-AI workshop paper; no archival version found</t>
  </si>
  <si>
    <t>W4366460267</t>
  </si>
  <si>
    <t>https://doi.org/10.48550/arxiv.2304.09102</t>
  </si>
  <si>
    <t>Cumulative Reasoning with Large Language Models</t>
  </si>
  <si>
    <t>Off-topic: reasoning framework without programs</t>
  </si>
  <si>
    <t>W4385774107</t>
  </si>
  <si>
    <t>https://doi.org/10.48550/arxiv.2308.04371</t>
  </si>
  <si>
    <t>SatLM: Satisfiability-Aided Language Models Using Declarative Prompting</t>
  </si>
  <si>
    <t>Xi Ye</t>
  </si>
  <si>
    <t>NeurIPS 2023</t>
  </si>
  <si>
    <t>W7133237838</t>
  </si>
  <si>
    <t>https://doi.org/10.52202/075280-1974</t>
  </si>
  <si>
    <t>Automatic Model Selection with Large Language Models for Reasoning</t>
  </si>
  <si>
    <t>James Zhao</t>
  </si>
  <si>
    <t>W4389520003</t>
  </si>
  <si>
    <t>https://doi.org/10.18653/v1/2023.findings-emnlp.55</t>
  </si>
  <si>
    <t>FinanceMATH: Knowledge-Intensive Math Reasoning in Finance Domains</t>
  </si>
  <si>
    <t>Yilun Zhao</t>
  </si>
  <si>
    <t>ACL 2024 (Long Papers)</t>
  </si>
  <si>
    <t>W4402670994</t>
  </si>
  <si>
    <t>https://doi.org/10.18653/v1/2024.acl-long.693</t>
  </si>
  <si>
    <t>Plan, Verify and Switch: Integrated Reasoning with Diverse X-of-Thoughts</t>
  </si>
  <si>
    <t>Tengxiao Liu</t>
  </si>
  <si>
    <t>EMNLP 2023 (Main)</t>
  </si>
  <si>
    <t>W4389519465</t>
  </si>
  <si>
    <t>https://doi.org/10.18653/v1/2023.emnlp-main.169</t>
  </si>
  <si>
    <t>Chart-based Reasoning: Transferring Capabilities from LLMs to VLMs</t>
  </si>
  <si>
    <t>Victor Cărbune</t>
  </si>
  <si>
    <t>Non-text modality: charts</t>
  </si>
  <si>
    <t>W4401043400</t>
  </si>
  <si>
    <t>https://doi.org/10.18653/v1/2024.findings-naacl.62</t>
  </si>
  <si>
    <t>When Do Program-of-Thought Works for Reasoning?</t>
  </si>
  <si>
    <t>Zhen Bi</t>
  </si>
  <si>
    <t>W4393160048</t>
  </si>
  <si>
    <t>https://doi.org/10.1609/aaai.v38i16.29721</t>
  </si>
  <si>
    <t>PaD: Program-aided Distillation Can Teach Small Models Reasoning Better than Chain-of-thought Fine-tuning</t>
  </si>
  <si>
    <t>Xuekai Zhu</t>
  </si>
  <si>
    <t>NAACL-HLT 2024 (Long Papers)</t>
  </si>
  <si>
    <t>W4401042410</t>
  </si>
  <si>
    <t>https://doi.org/10.18653/v1/2024.naacl-long.142</t>
  </si>
  <si>
    <t>Reason-and-Execute Prompting: Enhancing Multi-Modal Large Language Models for Solving Geometry Questions</t>
  </si>
  <si>
    <t>Xiuliang Duan</t>
  </si>
  <si>
    <t>Non-text modality: geometry diagrams</t>
  </si>
  <si>
    <t>W4403780840</t>
  </si>
  <si>
    <t>https://doi.org/10.1145/3664647.3681484</t>
  </si>
  <si>
    <t>Unlocking Temporal Question Answering for Large Language Models with Tailor-Made Reasoning Logic</t>
  </si>
  <si>
    <t>Xingxuan Li</t>
  </si>
  <si>
    <t>Off-topic: temporal reasoning</t>
  </si>
  <si>
    <t>W4378465237</t>
  </si>
  <si>
    <t>https://doi.org/10.48550/arxiv.2305.15014</t>
  </si>
  <si>
    <t>arXiv version of PaD (NAACL 2024, record 87)</t>
  </si>
  <si>
    <t>W4378506904</t>
  </si>
  <si>
    <t>https://doi.org/10.48550/arxiv.2305.13888</t>
  </si>
  <si>
    <t>Pelican: Correcting Hallucination in Vision-LLMs via Claim Decomposition and Program of Thought Verification</t>
  </si>
  <si>
    <t>Pritish Sahu</t>
  </si>
  <si>
    <t>Conference on Empirical Methods in Natural Language Processing (EMNLP)</t>
  </si>
  <si>
    <t>W4404783445</t>
  </si>
  <si>
    <t>https://doi.org/10.18653/v1/2024.emnlp-main.470</t>
  </si>
  <si>
    <t>Improving Human Verification of LLM Reasoning through Interactive Explanation Interfaces</t>
  </si>
  <si>
    <t>Runtao Zhou</t>
  </si>
  <si>
    <t>ACM International Conference on Intelligent User Interfaces (IUI)</t>
  </si>
  <si>
    <t>Off-topic: human verification interface</t>
  </si>
  <si>
    <t>W7133356125</t>
  </si>
  <si>
    <t>https://doi.org/10.1145/3742413.3789134</t>
  </si>
  <si>
    <t>Automatic contrastive chain-of-thought prompting: Learning from reasoning errors of large language models</t>
  </si>
  <si>
    <t>Xi Li</t>
  </si>
  <si>
    <t>Expert Systems with Applications</t>
  </si>
  <si>
    <t>W7116922058</t>
  </si>
  <si>
    <t>https://doi.org/10.1016/j.eswa.2025.130919</t>
  </si>
  <si>
    <t>TableZoomer: a collaborative agent framework for large-scale table question answering</t>
  </si>
  <si>
    <t>Sishi Xiong</t>
  </si>
  <si>
    <t>Vicinagearth 2(1)</t>
  </si>
  <si>
    <t>W4415945257</t>
  </si>
  <si>
    <t>https://doi.org/10.1007/s44336-025-00016-x</t>
  </si>
  <si>
    <t>MultiHiertt: Numerical Reasoning over Multi Hierarchical Tabular and Textual Data</t>
  </si>
  <si>
    <t>ACL 2022 (Long Papers)</t>
  </si>
  <si>
    <t>OpenAlex: M2-05</t>
  </si>
  <si>
    <t>W4281656839</t>
  </si>
  <si>
    <t>https://doi.org/10.18653/v1/2022.acl-long.454</t>
  </si>
  <si>
    <t>PACIFIC: Towards Proactive Conversational Question Answering over Tabular and Textual Data in Finance</t>
  </si>
  <si>
    <t>Yang Deng</t>
  </si>
  <si>
    <t>W4385573361</t>
  </si>
  <si>
    <t>https://doi.org/10.18653/v1/2022.emnlp-main.469</t>
  </si>
  <si>
    <t>Exploring the Numerical Reasoning Capabilities of Language Models: A Comprehensive Analysis on Tabular Data</t>
  </si>
  <si>
    <t>Mubashara Akhtar</t>
  </si>
  <si>
    <t>W4389518637</t>
  </si>
  <si>
    <t>https://doi.org/10.18653/v1/2023.findings-emnlp.1028</t>
  </si>
  <si>
    <t>FinLLMs: A Framework for Financial Reasoning Dataset Generation With Large Language Models</t>
  </si>
  <si>
    <t>Ziqiang Yuan</t>
  </si>
  <si>
    <t>IEEE Transactions on Big Data 11(5)</t>
  </si>
  <si>
    <t>W4405907414</t>
  </si>
  <si>
    <t>https://doi.org/10.1109/tbdata.2024.3524083</t>
  </si>
  <si>
    <t>Enhancing Financial Question Answering with a Multi-Agent Reflection Framework</t>
  </si>
  <si>
    <t>Sorouralsadat Fatemi</t>
  </si>
  <si>
    <t>ACM ICAIF 2024</t>
  </si>
  <si>
    <t>W4404341031</t>
  </si>
  <si>
    <t>https://doi.org/10.1145/3677052.3698686</t>
  </si>
  <si>
    <t>SoarGraph: Numerical Reasoning over Financial Table-Text Data via Semantic-Oriented Hierarchical Graphs</t>
  </si>
  <si>
    <t>Fengbin Zhu</t>
  </si>
  <si>
    <t>WWW 2023 Companion</t>
  </si>
  <si>
    <t>W4367310354</t>
  </si>
  <si>
    <t>https://doi.org/10.1145/3543873.3587598</t>
  </si>
  <si>
    <t>TAT-QA: A Question Answering Benchmark on a Hybrid of Tabular and Textual Content in Finance</t>
  </si>
  <si>
    <t>W3162945537</t>
  </si>
  <si>
    <t>https://doi.org/10.48550/arxiv.2105.07624</t>
  </si>
  <si>
    <t>Enhancing Financial Table and Text Question Answering with Tabular Graph and Numerical Reasoning</t>
  </si>
  <si>
    <t>Rungsiman Nararatwong</t>
  </si>
  <si>
    <t>AACL-IJCNLP 2022</t>
  </si>
  <si>
    <t>W4404784051</t>
  </si>
  <si>
    <t>https://doi.org/10.18653/v1/2022.aacl-main.72</t>
  </si>
  <si>
    <t>Multi-View Graph Representation Learning for Answering Hybrid Numerical Reasoning Question</t>
  </si>
  <si>
    <t>Yifan Wei</t>
  </si>
  <si>
    <t>W4375869991</t>
  </si>
  <si>
    <t>https://doi.org/10.48550/arxiv.2305.03458</t>
  </si>
  <si>
    <t>Tab-CQA: A Tabular Conversational Question Answering Dataset on Financial Reports</t>
  </si>
  <si>
    <t>Chuang Liu</t>
  </si>
  <si>
    <t>ACL 2023 (Industry Track)</t>
  </si>
  <si>
    <t>W4385571974</t>
  </si>
  <si>
    <t>https://doi.org/10.18653/v1/2023.acl-industry.20</t>
  </si>
  <si>
    <t>Positive-Negative Chain-of-Thought Prompting for Table and Text Financial Question Answering</t>
  </si>
  <si>
    <t>Xingyi Huang</t>
  </si>
  <si>
    <t>International Conference on Cloud Computing, Big Data Application and Software Engineering (CBASE)</t>
  </si>
  <si>
    <t>W7124912983</t>
  </si>
  <si>
    <t>https://doi.org/10.1109/cbase67452.2025.11335438</t>
  </si>
  <si>
    <t>FinTagging: Benchmarking LLMs for Extracting and Structuring Financial Information</t>
  </si>
  <si>
    <t>Yan Wang</t>
  </si>
  <si>
    <t>Off-topic: information extraction (XBRL tagging), not reasoning or repair</t>
  </si>
  <si>
    <t>W4415036142</t>
  </si>
  <si>
    <t>https://doi.org/10.48550/arxiv.2505.20650</t>
  </si>
  <si>
    <t>Enhancing Financial Reasoning in Large Language Models: The Role of Gold Facts</t>
  </si>
  <si>
    <t>Shoutai Zhu</t>
  </si>
  <si>
    <t>IEEE International Conference on Big Data (BigData)</t>
  </si>
  <si>
    <t>W4406458604</t>
  </si>
  <si>
    <t>https://doi.org/10.1109/bigdata62323.2024.10825021</t>
  </si>
  <si>
    <t>Case-Based Reasoning Approach for Solving Financial Question Answering</t>
  </si>
  <si>
    <t>Kim, Yikyung</t>
  </si>
  <si>
    <t>arXiv preprint (2024); no peer-reviewed version found</t>
  </si>
  <si>
    <t>W4398794916</t>
  </si>
  <si>
    <t>https://doi.org/10.48550/arxiv.2405.13044</t>
  </si>
  <si>
    <t>A Novel DeBERTa-based Model for Financial Question Answering Task</t>
  </si>
  <si>
    <t>Yanbo J. Wang</t>
  </si>
  <si>
    <t>arXiv preprint (2022); no venue given</t>
  </si>
  <si>
    <t>W4285483838</t>
  </si>
  <si>
    <t>https://doi.org/10.48550/arxiv.2207.05875</t>
  </si>
  <si>
    <t>FinMath: Injecting a Tree-structured Solver for Question Answering over Financial Reports</t>
  </si>
  <si>
    <t>Chenying Li</t>
  </si>
  <si>
    <t>LREC 2022</t>
  </si>
  <si>
    <t>W7160272270</t>
  </si>
  <si>
    <t>https://doi.org/10.63317/3sn46fpg5rrp</t>
  </si>
  <si>
    <t>From Documents to Reasoning: A Validated Synthetic Data Pipeline and Semantic-Aware Fine-Tuning for Financial Numerical Reasoning</t>
  </si>
  <si>
    <t>Lokendra Birla</t>
  </si>
  <si>
    <t>W7204846388</t>
  </si>
  <si>
    <t>https://doi.org/10.48550/arxiv.2608.27919</t>
  </si>
  <si>
    <t>Gold-Guided Programmatic Distillation for Financial Reasoning over Hybrid Tables and Text</t>
  </si>
  <si>
    <t>Y H Dong</t>
  </si>
  <si>
    <t>W7169512667</t>
  </si>
  <si>
    <t>https://doi.org/10.48550/arxiv.2607.14709</t>
  </si>
  <si>
    <t>MoCA-Agent: A Market-of-Claims Code Agent for Financial and Numerical Reasoning</t>
  </si>
  <si>
    <t>Abdelrahman Abdallah</t>
  </si>
  <si>
    <t>W7164347280</t>
  </si>
  <si>
    <t>https://doi.org/10.48550/arxiv.2606.11537</t>
  </si>
  <si>
    <t>FIND: Toward Multimodal Financial Reasoning and Question Answering for Indic Languages</t>
  </si>
  <si>
    <t>Association for Computational Linguistics 2026</t>
  </si>
  <si>
    <t>Underline Science Inc.</t>
  </si>
  <si>
    <t>Non-text modality: multimodal documents</t>
  </si>
  <si>
    <t>W7168695405</t>
  </si>
  <si>
    <t>https://doi.org/10.48448/18ja-k592</t>
  </si>
  <si>
    <t>LedgerRAG: Faithful Retrieval-Augmented Numerical Reasoning over Financial Filings</t>
  </si>
  <si>
    <t>Nithesh Gudipuri</t>
  </si>
  <si>
    <t>Zenodo preprint (2026)</t>
  </si>
  <si>
    <t>W7163017587</t>
  </si>
  <si>
    <t>https://doi.org/10.5281/zenodo.20481702</t>
  </si>
  <si>
    <t>Knowing When to Ask: Segment-Level Credit Assignment for LLM Tool Use</t>
  </si>
  <si>
    <t>Abhijit Kumar</t>
  </si>
  <si>
    <t>Off-topic: reinforcement learning for tool use</t>
  </si>
  <si>
    <t>W7162626240</t>
  </si>
  <si>
    <t>https://doi.org/10.48550/arxiv.2605.27788</t>
  </si>
  <si>
    <t>Long-Context and Multimodal Language Models for Financial Forecasting</t>
  </si>
  <si>
    <t>Ross Koval</t>
  </si>
  <si>
    <t>eScholarship (California Digital Library)</t>
  </si>
  <si>
    <t>Not a research study: dissertation on forecasting</t>
  </si>
  <si>
    <t>W7213476994</t>
  </si>
  <si>
    <t>https://escholarship.org/uc/item/82k864kp</t>
  </si>
  <si>
    <t>MimirRAG: A Multi-Agent RAG Framework for Financial Data Retrieval with Metadata Integration</t>
  </si>
  <si>
    <t>Magnus Samuelsen</t>
  </si>
  <si>
    <t>Off-topic: retrieval for financial data</t>
  </si>
  <si>
    <t>W7162438838</t>
  </si>
  <si>
    <t>https://doi.org/10.48550/arxiv.2605.25030</t>
  </si>
  <si>
    <t>Sarmistha Das</t>
  </si>
  <si>
    <t>W7161147280</t>
  </si>
  <si>
    <t>https://doi.org/10.48550/arxiv.2605.13330</t>
  </si>
  <si>
    <t>STaR: Bootstrapping Reasoning with Reasoning</t>
  </si>
  <si>
    <t>Eric Zelikman</t>
  </si>
  <si>
    <t>NeurIPS 2022</t>
  </si>
  <si>
    <t>OpenAlex: M2-06</t>
  </si>
  <si>
    <t>W7133192525</t>
  </si>
  <si>
    <t>https://doi.org/10.52202/068431-1126</t>
  </si>
  <si>
    <t>FlexKBQA: A Flexible LLM-Powered Framework for Few-Shot Knowledge Base Question Answering</t>
  </si>
  <si>
    <t>Zhenyu Li</t>
  </si>
  <si>
    <t>Off-topic: knowledge-base QA</t>
  </si>
  <si>
    <t>W4393156804</t>
  </si>
  <si>
    <t>https://doi.org/10.1609/aaai.v38i17.29823</t>
  </si>
  <si>
    <t>MAKG: A maritime accident knowledge graph for intelligent accident analysis and management</t>
  </si>
  <si>
    <t>Dongge Liu</t>
  </si>
  <si>
    <t>Ocean Engineering</t>
  </si>
  <si>
    <t>Off-topic: maritime knowledge graph</t>
  </si>
  <si>
    <t>W4402583887</t>
  </si>
  <si>
    <t>https://doi.org/10.1016/j.oceaneng.2024.119280</t>
  </si>
  <si>
    <t>Jigyāsā: A Self-Taught Thinking Model Trained on Autonomously Generated Knowledge via SNN-Modulated Curiosity Loops</t>
  </si>
  <si>
    <t>Venkatesh Swaminathan</t>
  </si>
  <si>
    <t>Not a research study: software on Zenodo</t>
  </si>
  <si>
    <t>W7162307502</t>
  </si>
  <si>
    <t>https://doi.org/10.5281/zenodo.20379327</t>
  </si>
  <si>
    <t>ReST-MCTS*: LLM Self-Training via Process Reward Guided Tree Search</t>
  </si>
  <si>
    <t>Dan Zhang</t>
  </si>
  <si>
    <t>NeurIPS 2024</t>
  </si>
  <si>
    <t>W4415797351</t>
  </si>
  <si>
    <t>https://doi.org/10.52202/079017-2066</t>
  </si>
  <si>
    <t>PRefLexOR: preference-based recursive language modeling for exploratory optimization of reasoning and agentic thinking</t>
  </si>
  <si>
    <t>Markus J. Buehler</t>
  </si>
  <si>
    <t>npj Artificial Intelligence</t>
  </si>
  <si>
    <t>Off-topic: preference optimisation for scientific reasoning</t>
  </si>
  <si>
    <t>W4410374120</t>
  </si>
  <si>
    <t>https://doi.org/10.1038/s44387-025-00003-z</t>
  </si>
  <si>
    <t>Quiet-STaR: Language Models Can Teach Themselves to Think Before Speaking</t>
  </si>
  <si>
    <t>COLM 2024 acceptance reported only by secondary sources; not verified in the proceedings</t>
  </si>
  <si>
    <t>W4392886466</t>
  </si>
  <si>
    <t>https://doi.org/10.48550/arxiv.2403.09629</t>
  </si>
  <si>
    <t>Reinforcing Spatial Reasoning in Vision-Language Models with Interwoven Thinking and Visual Drawing</t>
  </si>
  <si>
    <t>Junfei Wu</t>
  </si>
  <si>
    <t>W4417308961</t>
  </si>
  <si>
    <t>https://doi.org/10.52202/085713-4797</t>
  </si>
  <si>
    <t>GenG: An LLM-Based Generic Time Series Data Generation Approach for Edge Intelligence via Cross-Domain Collaboration</t>
  </si>
  <si>
    <t>Xiaomao Zhou</t>
  </si>
  <si>
    <t>IEEE Conference on Computer Communications Workshops (INFOCOM WKSHPS)</t>
  </si>
  <si>
    <t>Off-topic: time-series generation</t>
  </si>
  <si>
    <t>W4401541343</t>
  </si>
  <si>
    <t>https://doi.org/10.1109/infocomwkshps61880.2024.10620716</t>
  </si>
  <si>
    <t>Self-Training Large Language and Vision Assistant for Medical Question Answering</t>
  </si>
  <si>
    <t>Guohao Sun</t>
  </si>
  <si>
    <t>Non-text modality: medical VQA</t>
  </si>
  <si>
    <t>W4404782337</t>
  </si>
  <si>
    <t>https://doi.org/10.18653/v1/2024.emnlp-main.1119</t>
  </si>
  <si>
    <t>Q: How to Specialize Large Vision-Language Models to Data-Scarce VQA Tasks? A: Self-Train on Unlabeled Images!</t>
  </si>
  <si>
    <t>Zaid Khan</t>
  </si>
  <si>
    <t>Non-text modality: VQA</t>
  </si>
  <si>
    <t>W4386065359</t>
  </si>
  <si>
    <t>https://doi.org/10.1109/cvpr52729.2023.01441</t>
  </si>
  <si>
    <t>Vision language representation learning</t>
  </si>
  <si>
    <t>Xiaofeng Yang</t>
  </si>
  <si>
    <t>Dissertation</t>
  </si>
  <si>
    <t>Not a research study: dissertation on vision-language</t>
  </si>
  <si>
    <t>W4385445765</t>
  </si>
  <si>
    <t>https://doi.org/10.32657/10356/169546</t>
  </si>
  <si>
    <t>Beyond Human Data: Scaling Self-Training for Problem-Solving with Language Models</t>
  </si>
  <si>
    <t>Avi Singh</t>
  </si>
  <si>
    <t>TMLR (04/2024)</t>
  </si>
  <si>
    <t>W4389649385</t>
  </si>
  <si>
    <t>https://doi.org/10.48550/arxiv.2312.06585</t>
  </si>
  <si>
    <t>Scaling Relationship on Learning Mathematical Reasoning with Large Language Models</t>
  </si>
  <si>
    <t>Zheng Yuan</t>
  </si>
  <si>
    <t>arXiv preprint marked 'working in progress'</t>
  </si>
  <si>
    <t>W4385970164</t>
  </si>
  <si>
    <t>https://doi.org/10.48550/arxiv.2308.01825</t>
  </si>
  <si>
    <t>Learning to explain is a good biomedical few-shot learner</t>
  </si>
  <si>
    <t>Peng Chen</t>
  </si>
  <si>
    <t>Bioinformatics</t>
  </si>
  <si>
    <t>Domain-specific application outside finance: biomedical</t>
  </si>
  <si>
    <t>W4403113340</t>
  </si>
  <si>
    <t>https://doi.org/10.1093/bioinformatics/btae589</t>
  </si>
  <si>
    <t>STaR-SQL: Self-Taught Reasoner for Text-to-SQL</t>
  </si>
  <si>
    <t>Mingqian He</t>
  </si>
  <si>
    <t>W4412945149</t>
  </si>
  <si>
    <t>https://doi.org/10.18653/v1/2025.acl-long.1187</t>
  </si>
  <si>
    <t>Breaking Language Barriers in Multilingual Mathematical Reasoning: Insights and Observations</t>
  </si>
  <si>
    <t>Nuo Chen</t>
  </si>
  <si>
    <t>Off-topic: multilingual instruction tuning</t>
  </si>
  <si>
    <t>W4404781253</t>
  </si>
  <si>
    <t>https://doi.org/10.18653/v1/2024.findings-emnlp.411</t>
  </si>
  <si>
    <t>Self-Training Large Language Models for Improved Visual Program Synthesis With Visual Reinforcement</t>
  </si>
  <si>
    <t>Non-text modality: visual programs</t>
  </si>
  <si>
    <t>W4402715986</t>
  </si>
  <si>
    <t>https://doi.org/10.1109/cvpr52733.2024.01360</t>
  </si>
  <si>
    <t>Self-Training with Direct Preference Optimization Improves Chain-of-Thought Reasoning</t>
  </si>
  <si>
    <t>Tianduo Wang</t>
  </si>
  <si>
    <t>W4402671561</t>
  </si>
  <si>
    <t>https://doi.org/10.18653/v1/2024.acl-long.643</t>
  </si>
  <si>
    <t>Enhancing Large Vision Language Models with Self-Training on Image Comprehension</t>
  </si>
  <si>
    <t>Yihe Deng</t>
  </si>
  <si>
    <t>Non-text modality: image comprehension</t>
  </si>
  <si>
    <t>W4415800540</t>
  </si>
  <si>
    <t>https://doi.org/10.52202/079017-4175</t>
  </si>
  <si>
    <t>Augmenting Math Word Problems via Iterative Question Composing</t>
  </si>
  <si>
    <t>Huanxi Liu</t>
  </si>
  <si>
    <t>Off-topic: data augmentation for math problems</t>
  </si>
  <si>
    <t>W4409348030</t>
  </si>
  <si>
    <t>https://doi.org/10.1609/aaai.v39i23.34640</t>
  </si>
  <si>
    <t>ReflectEvo: Improving Meta Introspection of Small LLMs by Learning Self-Reflection</t>
  </si>
  <si>
    <t>Jiaqi Li</t>
  </si>
  <si>
    <t>Findings of ACL 2025</t>
  </si>
  <si>
    <t>W4412888018</t>
  </si>
  <si>
    <t>https://doi.org/10.18653/v1/2025.findings-acl.871</t>
  </si>
  <si>
    <t>STEP: Enhancing Video-LLMs’ Compositional Reasoning by Spatio-Temporal Graph-guided Self-Training</t>
  </si>
  <si>
    <t>Haiyi Qiu</t>
  </si>
  <si>
    <t>Non-text modality: video</t>
  </si>
  <si>
    <t>W4413146694</t>
  </si>
  <si>
    <t>https://doi.org/10.1109/cvpr52734.2025.00312</t>
  </si>
  <si>
    <t>CogniDual Framework: Self-Training Large Language Models within a Dual-System Theoretical Framework for Improving Cognitive Tasks</t>
  </si>
  <si>
    <t>Yongxin Deng</t>
  </si>
  <si>
    <t>IEEE ICASSP 2025</t>
  </si>
  <si>
    <t>W4408353167</t>
  </si>
  <si>
    <t>https://doi.org/10.1109/icassp49660.2025.10887899</t>
  </si>
  <si>
    <t>Self-Training Elicits Concise Reasoning in Large Language Models</t>
  </si>
  <si>
    <t>Tergel Munkhbat</t>
  </si>
  <si>
    <t>W4412944632</t>
  </si>
  <si>
    <t>https://doi.org/10.18653/v1/2025.findings-acl.1289</t>
  </si>
  <si>
    <t>LoRA: Low-Rank Adaptation of Large Language Models</t>
  </si>
  <si>
    <t>J. Edward Hu</t>
  </si>
  <si>
    <t>ICLR 2022</t>
  </si>
  <si>
    <t>OpenAlex: M2-07</t>
  </si>
  <si>
    <t>OpenAlex lists this arXiv record (2106.09685) as 'LoRA Fine-Tuning of a 3B Code LLM for Algorithmic Efficiency'; title checked against the paper</t>
  </si>
  <si>
    <t>W3168867926</t>
  </si>
  <si>
    <t>https://doi.org/10.48550/arxiv.2106.09685</t>
  </si>
  <si>
    <t>QLoRA: Efficient Finetuning of Quantized LLMs</t>
  </si>
  <si>
    <t>Tim Dettmers</t>
  </si>
  <si>
    <t>W7133233472</t>
  </si>
  <si>
    <t>https://doi.org/10.52202/075280-0441</t>
  </si>
  <si>
    <t>Q8BERT: Quantized 8Bit BERT</t>
  </si>
  <si>
    <t>Ofir Zafrir</t>
  </si>
  <si>
    <t>Off-topic: inference quantisation of BERT</t>
  </si>
  <si>
    <t>W2979314664</t>
  </si>
  <si>
    <t>https://doi.org/10.1109/emc2-nips53020.2019.00016</t>
  </si>
  <si>
    <t>Learning Vector-Quantized Item Representation for Transferable Sequential Recommenders</t>
  </si>
  <si>
    <t>Yupeng Hou</t>
  </si>
  <si>
    <t>ACM Web Conference (WWW)</t>
  </si>
  <si>
    <t>Off-topic: recommender systems</t>
  </si>
  <si>
    <t>W4367047145</t>
  </si>
  <si>
    <t>https://doi.org/10.1145/3543507.3583434</t>
  </si>
  <si>
    <t>MotionGPT: Human Motion as a Foreign Language</t>
  </si>
  <si>
    <t>Biao Jiang</t>
  </si>
  <si>
    <t>Off-topic: motion generation</t>
  </si>
  <si>
    <t>W7133218515</t>
  </si>
  <si>
    <t>https://doi.org/10.52202/075280-0880</t>
  </si>
  <si>
    <t>Adapting Large Language Models by Integrating Collaborative Semantics for Recommendation</t>
  </si>
  <si>
    <t>Bowen Zheng</t>
  </si>
  <si>
    <t>Proceedings - International Conference on Data Engineering</t>
  </si>
  <si>
    <t>W4400909953</t>
  </si>
  <si>
    <t>https://doi.org/10.1109/icde60146.2024.00118</t>
  </si>
  <si>
    <t>A survey on LoRA of large language models</t>
  </si>
  <si>
    <t>Yuren Mao</t>
  </si>
  <si>
    <t>Frontiers of Computer Science 19(7)</t>
  </si>
  <si>
    <t>W4403753254</t>
  </si>
  <si>
    <t>https://doi.org/10.1007/s11704-024-40663-9</t>
  </si>
  <si>
    <t>Qwen2.5 Technical Report</t>
  </si>
  <si>
    <t>Qwen</t>
  </si>
  <si>
    <t>Technical report on arXiv; kept as background in sheet 06</t>
  </si>
  <si>
    <t>W4405655184</t>
  </si>
  <si>
    <t>https://doi.org/10.48550/arxiv.2412.15115</t>
  </si>
  <si>
    <t>When MOE Meets LLMs: Parameter Efficient Fine-tuning for Multi-task Medical Applications</t>
  </si>
  <si>
    <t>Qidong Liu</t>
  </si>
  <si>
    <t>International ACM SIGIR Conference on Research and Development in Information Retrieval (SIGIR)</t>
  </si>
  <si>
    <t>W4400525231</t>
  </si>
  <si>
    <t>https://doi.org/10.1145/3626772.3657722</t>
  </si>
  <si>
    <t>DRG-LLaMA : tuning LLaMA model to predict diagnosis-related group for hospitalized patients</t>
  </si>
  <si>
    <t>Hanyin Wang</t>
  </si>
  <si>
    <t>npj Digital Medicine</t>
  </si>
  <si>
    <t>Domain-specific application outside finance: hospital coding</t>
  </si>
  <si>
    <t>W4391098193</t>
  </si>
  <si>
    <t>https://doi.org/10.1038/s41746-023-00989-3</t>
  </si>
  <si>
    <t>Low-Rank Few-Shot Adaptation of Vision-Language Models</t>
  </si>
  <si>
    <t>Maxime Zanella</t>
  </si>
  <si>
    <t>IEEE/CVF Conference on Computer Vision and Pattern Recognition Workshops (CVPRW)</t>
  </si>
  <si>
    <t>W4402916156</t>
  </si>
  <si>
    <t>https://doi.org/10.1109/cvprw63382.2024.00166</t>
  </si>
  <si>
    <t>OWQ: Outlier-Aware Weight Quantization for Efficient Fine-Tuning and Inference of Large Language Models</t>
  </si>
  <si>
    <t>Changhun Lee</t>
  </si>
  <si>
    <t>W4393147284</t>
  </si>
  <si>
    <t>https://doi.org/10.1609/aaai.v38i12.29237</t>
  </si>
  <si>
    <t>MotionGPT: Finetuned LLMs Are General-Purpose Motion Generators</t>
  </si>
  <si>
    <t>Yaqi Zhang</t>
  </si>
  <si>
    <t>W4393153655</t>
  </si>
  <si>
    <t>https://doi.org/10.1609/aaai.v38i7.28567</t>
  </si>
  <si>
    <t>Harnessing Large Language Models for Text-Rich Sequential Recommendation</t>
  </si>
  <si>
    <t>Zhi Zheng</t>
  </si>
  <si>
    <t>W4396723256</t>
  </si>
  <si>
    <t>https://doi.org/10.1145/3589334.3645358</t>
  </si>
  <si>
    <t>NetGPT: An AI-Native Network Architecture for Provisioning Beyond Personalized Generative Services</t>
  </si>
  <si>
    <t>Yuxuan Chen</t>
  </si>
  <si>
    <t>IEEE Network</t>
  </si>
  <si>
    <t>Off-topic: network architecture</t>
  </si>
  <si>
    <t>W4392902389</t>
  </si>
  <si>
    <t>https://doi.org/10.1109/mnet.2024.3376419</t>
  </si>
  <si>
    <t>Differentially Private Low-Rank Adaptation of Large Language Model Using Federated Learning</t>
  </si>
  <si>
    <t>Xiao-Yang Liu</t>
  </si>
  <si>
    <t>ACM Transactions on Management Information Systems</t>
  </si>
  <si>
    <t>Off-topic: privacy-preserving federated fine-tuning</t>
  </si>
  <si>
    <t>W4401545746</t>
  </si>
  <si>
    <t>https://doi.org/10.1145/3682068</t>
  </si>
  <si>
    <t>Exploring Parameter-Efficient Fine-Tuning Techniques for Code Generation with Large Language Models</t>
  </si>
  <si>
    <t>Martin Weyssow</t>
  </si>
  <si>
    <t>ACM TOSEM 34(7)</t>
  </si>
  <si>
    <t>W4406688098</t>
  </si>
  <si>
    <t>https://doi.org/10.1145/3714461</t>
  </si>
  <si>
    <t>BioInstruct: instruction tuning of large language models for biomedical natural language processing</t>
  </si>
  <si>
    <t>Hieu Tran</t>
  </si>
  <si>
    <t>Journal of the American Medical Informatics Association</t>
  </si>
  <si>
    <t>W4399326970</t>
  </si>
  <si>
    <t>https://doi.org/10.1093/jamia/ocae122</t>
  </si>
  <si>
    <t>Qwen2 Technical Report</t>
  </si>
  <si>
    <t>Yang, An</t>
  </si>
  <si>
    <t>W4401660192</t>
  </si>
  <si>
    <t>https://doi.org/10.48550/arxiv.2407.10671</t>
  </si>
  <si>
    <t>Sparse Low-rank Adaptation of Pre-trained Language Models</t>
  </si>
  <si>
    <t>Ning Ding</t>
  </si>
  <si>
    <t>W4389524340</t>
  </si>
  <si>
    <t>https://doi.org/10.18653/v1/2023.emnlp-main.252</t>
  </si>
  <si>
    <t>Vision-Language Models for Edge Networks: A Comprehensive Survey</t>
  </si>
  <si>
    <t>Ahmed Sharshar</t>
  </si>
  <si>
    <t>IEEE Internet of Things Journal</t>
  </si>
  <si>
    <t>W4411232024</t>
  </si>
  <si>
    <t>https://doi.org/10.1109/jiot.2025.3579032</t>
  </si>
  <si>
    <t>OpenVLA: An Open-Source Vision-Language-Action Model</t>
  </si>
  <si>
    <t>Moo Jin Kim</t>
  </si>
  <si>
    <t>Off-topic: robotics</t>
  </si>
  <si>
    <t>W4399695759</t>
  </si>
  <si>
    <t>https://doi.org/10.48550/arxiv.2406.09246</t>
  </si>
  <si>
    <t>Edge-LLM: A Collaborative Framework for Large Language Model Serving in Edge Computing</t>
  </si>
  <si>
    <t>Fenglong Cai</t>
  </si>
  <si>
    <t>IEEE International Conference on Web Services (ICWS)</t>
  </si>
  <si>
    <t>Off-topic: edge serving</t>
  </si>
  <si>
    <t>W4403421327</t>
  </si>
  <si>
    <t>https://doi.org/10.1109/icws62655.2024.00099</t>
  </si>
  <si>
    <t>QUARK: Controllable Text Generation with Reinforced Unlearning</t>
  </si>
  <si>
    <t>Ximing Lu</t>
  </si>
  <si>
    <t>Off-topic: controllable generation with RL</t>
  </si>
  <si>
    <t>W7133216684</t>
  </si>
  <si>
    <t>https://doi.org/10.52202/068431-2001</t>
  </si>
  <si>
    <t>X-LoRA: Mixture of low-rank adapter experts, a flexible framework for large language models with applications in protein mechanics and molecular design</t>
  </si>
  <si>
    <t>Eric L. Buehler</t>
  </si>
  <si>
    <t>APL Machine Learning</t>
  </si>
  <si>
    <t>Domain-specific application outside finance: protein and materials design</t>
  </si>
  <si>
    <t>W4398777692</t>
  </si>
  <si>
    <t>https://doi.org/10.1063/5.0203126</t>
  </si>
  <si>
    <t>Do As I Can, Not As I Say: Grounding Language in Robotic Affordances</t>
  </si>
  <si>
    <t>Ahn, Michael</t>
  </si>
  <si>
    <t>OpenAlex: M2-08</t>
  </si>
  <si>
    <t>W4224912544</t>
  </si>
  <si>
    <t>https://doi.org/10.48550/arxiv.2204.01691</t>
  </si>
  <si>
    <t>Large language models are few-shot clinical information extractors</t>
  </si>
  <si>
    <t>Monica Agrawal</t>
  </si>
  <si>
    <t>Domain-specific application outside finance: clinical extraction</t>
  </si>
  <si>
    <t>W4385573087</t>
  </si>
  <si>
    <t>https://doi.org/10.18653/v1/2022.emnlp-main.130</t>
  </si>
  <si>
    <t>SGLang: Efficient Execution of Structured Language Model Programs</t>
  </si>
  <si>
    <t>Lianmin Zheng</t>
  </si>
  <si>
    <t>Off-topic: serving system</t>
  </si>
  <si>
    <t>W4415797413</t>
  </si>
  <si>
    <t>https://doi.org/10.52202/079017-2000</t>
  </si>
  <si>
    <t>A Survey on Uncertainty Quantification Methods for Deep Learning</t>
  </si>
  <si>
    <t>Wenchong He</t>
  </si>
  <si>
    <t>ACM Computing Surveys</t>
  </si>
  <si>
    <t>Off-topic: uncertainty survey</t>
  </si>
  <si>
    <t>W7116694432</t>
  </si>
  <si>
    <t>https://doi.org/10.1145/3786319</t>
  </si>
  <si>
    <t>"We Need Structured Output": Towards User-centered Constraints on Large Language Model Output</t>
  </si>
  <si>
    <t>Michael Xieyang Liu</t>
  </si>
  <si>
    <t>CHI EA 2024</t>
  </si>
  <si>
    <t>W4394780772</t>
  </si>
  <si>
    <t>https://doi.org/10.1145/3613905.3650756</t>
  </si>
  <si>
    <t>Are LLMs good at structured outputs? A benchmark for evaluating structured output capabilities in LLMs</t>
  </si>
  <si>
    <t>Yu Liu</t>
  </si>
  <si>
    <t>W4399785296</t>
  </si>
  <si>
    <t>https://doi.org/10.1016/j.ipm.2024.103809</t>
  </si>
  <si>
    <t>Grammar-Constrained Decoding for Structured NLP Tasks without Finetuning</t>
  </si>
  <si>
    <t>Saibo Geng</t>
  </si>
  <si>
    <t>W4389520385</t>
  </si>
  <si>
    <t>https://doi.org/10.18653/v1/2023.emnlp-main.674</t>
  </si>
  <si>
    <t>Few-shot Text-to-SQL Translation using Structure and Content Prompt Learning</t>
  </si>
  <si>
    <t>Zihui Gu</t>
  </si>
  <si>
    <t>Proceedings of the ACM on Management of Data</t>
  </si>
  <si>
    <t>W4381326864</t>
  </si>
  <si>
    <t>https://doi.org/10.1145/3589292</t>
  </si>
  <si>
    <t>Let Me Speak Freely? A Study On The Impact Of Format Restrictions On Large Language Model Performance.</t>
  </si>
  <si>
    <t>Zhi Rui Tam</t>
  </si>
  <si>
    <t>EMNLP 2024 (Industry Track)</t>
  </si>
  <si>
    <t>W4404783537</t>
  </si>
  <si>
    <t>https://doi.org/10.18653/v1/2024.emnlp-industry.91</t>
  </si>
  <si>
    <t>Exploiting Asymmetry for Synthetic Training Data Generation: SynthIE and the Case of Information Extraction</t>
  </si>
  <si>
    <t>Martin Josifoski</t>
  </si>
  <si>
    <t>Off-topic: synthetic data for information extraction</t>
  </si>
  <si>
    <t>W4389524085</t>
  </si>
  <si>
    <t>https://doi.org/10.18653/v1/2023.emnlp-main.96</t>
  </si>
  <si>
    <t>Large language models overcome the challenges of unstructured text data in ecology</t>
  </si>
  <si>
    <t>Andry Castro</t>
  </si>
  <si>
    <t>Ecological Informatics</t>
  </si>
  <si>
    <t>Domain-specific application outside finance: ecology</t>
  </si>
  <si>
    <t>W4401268044</t>
  </si>
  <si>
    <t>https://doi.org/10.1016/j.ecoinf.2024.102742</t>
  </si>
  <si>
    <t>COLD Decoding: Energy-Based Constrained Text Generation with Langevin Dynamics</t>
  </si>
  <si>
    <t>Lianhui Qin</t>
  </si>
  <si>
    <t>Constrains content (keywords, context) through energy-based decoding, not output structure</t>
  </si>
  <si>
    <t>W7133199979</t>
  </si>
  <si>
    <t>https://doi.org/10.52202/068431-0693</t>
  </si>
  <si>
    <t>TIARA: Multi-grained Retrieval for Robust Question Answering over Large Knowledge Base</t>
  </si>
  <si>
    <t>Yiheng Shu</t>
  </si>
  <si>
    <t>W4385573529</t>
  </si>
  <si>
    <t>https://doi.org/10.18653/v1/2022.emnlp-main.555</t>
  </si>
  <si>
    <t>Learning Approximate Inference Networks for Structured Prediction</t>
  </si>
  <si>
    <t>Lifu Tu</t>
  </si>
  <si>
    <t>Off-topic: structured prediction networks</t>
  </si>
  <si>
    <t>W2785442381</t>
  </si>
  <si>
    <t>https://doi.org/10.48550/arxiv.1803.03376</t>
  </si>
  <si>
    <t>Investigating students’ programming behaviors, interaction qualities and perceptions through prompt-based learning in ChatGPT</t>
  </si>
  <si>
    <t>Dan Sun</t>
  </si>
  <si>
    <t>Humanities and Social Sciences Communications</t>
  </si>
  <si>
    <t>W4403906927</t>
  </si>
  <si>
    <t>https://doi.org/10.1057/s41599-024-03991-6</t>
  </si>
  <si>
    <t>Data-Efficient Learning of Natural Language to Linear Temporal Logic Translators for Robot Task Specification</t>
  </si>
  <si>
    <t>Jiayi Pan</t>
  </si>
  <si>
    <t>Proceedings - IEEE International Conference on Robotics and Automation/Proceedings</t>
  </si>
  <si>
    <t>W4383108852</t>
  </si>
  <si>
    <t>https://doi.org/10.1109/icra48891.2023.10161125</t>
  </si>
  <si>
    <t>N-best T5: Robust ASR Error Correction using Multiple Input Hypotheses and Constrained Decoding Space</t>
  </si>
  <si>
    <t>Rao Ma</t>
  </si>
  <si>
    <t>Interspeech (USB)</t>
  </si>
  <si>
    <t>Off-topic: speech recognition</t>
  </si>
  <si>
    <t>W4385822949</t>
  </si>
  <si>
    <t>https://doi.org/10.21437/interspeech.2023-1616</t>
  </si>
  <si>
    <t>Prompt-Guided Generation of Structured Chest X-Ray Report Using a Pre-trained LLM</t>
  </si>
  <si>
    <t>Hongzhao Li</t>
  </si>
  <si>
    <t>IEEE International Conference on Multimedia and Expo (ICME)</t>
  </si>
  <si>
    <t>Domain-specific application outside finance: radiology reports</t>
  </si>
  <si>
    <t>W4402979174</t>
  </si>
  <si>
    <t>https://doi.org/10.1109/icme57554.2024.10687707</t>
  </si>
  <si>
    <t>Large Language Models for Biomedical Knowledge Graph Construction: Information extraction from EMR notes</t>
  </si>
  <si>
    <t>Vahan Arsenyan</t>
  </si>
  <si>
    <t>Workshop on Biomedical Natural Language Processing (BioNLP)</t>
  </si>
  <si>
    <t>Domain-specific application outside finance: biomedical knowledge graphs</t>
  </si>
  <si>
    <t>W4402671441</t>
  </si>
  <si>
    <t>https://doi.org/10.18653/v1/2024.bionlp-1.23</t>
  </si>
  <si>
    <t>ASR Error Correction Using Large Language Models</t>
  </si>
  <si>
    <t>IEEE Transactions on Audio Speech and Language Processing</t>
  </si>
  <si>
    <t>W4408565363</t>
  </si>
  <si>
    <t>https://doi.org/10.1109/taslpro.2025.3551083</t>
  </si>
  <si>
    <t>BROS: A Pre-trained Language Model for Understanding Texts in Document</t>
  </si>
  <si>
    <t>Teakgyu Hong</t>
  </si>
  <si>
    <t>Off-topic: document understanding</t>
  </si>
  <si>
    <t>W3123089036</t>
  </si>
  <si>
    <t>Tree-Based Representation and Generation of Natural and Mathematical Language</t>
  </si>
  <si>
    <t>Alexander Scarlatos</t>
  </si>
  <si>
    <t>Off-topic: math language representation</t>
  </si>
  <si>
    <t>W4385571028</t>
  </si>
  <si>
    <t>https://doi.org/10.18653/v1/2023.acl-long.205</t>
  </si>
  <si>
    <t>Efficient Avoidance of Vulnerabilities in Auto-completed Smart Contract Code Using Vulnerability-constrained Decoding</t>
  </si>
  <si>
    <t>André Storhaug</t>
  </si>
  <si>
    <t>IEEE International Symposium on Software Reliability Engineering (ISSRE)</t>
  </si>
  <si>
    <t>W4388212693</t>
  </si>
  <si>
    <t>https://doi.org/10.1109/issre59848.2023.00035</t>
  </si>
  <si>
    <t>N-Best Hypotheses Reranking for Text-to-SQL Systems</t>
  </si>
  <si>
    <t>Lu Zeng</t>
  </si>
  <si>
    <t>IEEE Spoken Language Technology Workshop (SLT)</t>
  </si>
  <si>
    <t>W4319862210</t>
  </si>
  <si>
    <t>https://doi.org/10.1109/slt54892.2023.10023434</t>
  </si>
  <si>
    <t>SELP: Generating Safe and Efficient Task Plans for Robot Agents with Large Language Models</t>
  </si>
  <si>
    <t>Yi Wu</t>
  </si>
  <si>
    <t>W4413917076</t>
  </si>
  <si>
    <t>https://doi.org/10.1109/icra55743.2025.11128420</t>
  </si>
  <si>
    <t>FinQA: A Dataset of Numerical Reasoning over Financial Data</t>
  </si>
  <si>
    <t>Z. Chen</t>
  </si>
  <si>
    <t>EMNLP 2021 (Main)</t>
  </si>
  <si>
    <t>Citation chasing; located with OpenAlex title lookup CC-01</t>
  </si>
  <si>
    <t>Citation chasing</t>
  </si>
  <si>
    <t>Backward: cited by PoT, QRData, FinanceMATH, MultiHiertt, Fatemi 2024 and others. Title and abstract judged relevant before retrieval</t>
  </si>
  <si>
    <t>https://doi.org/10.18653/v1/2021.emnlp-main.300</t>
  </si>
  <si>
    <t>ConvFinQA: Exploring the Chain of Numerical Reasoning in Conversational Finance Question Answering</t>
  </si>
  <si>
    <t>Citation chasing; located with OpenAlex title lookup CC-02</t>
  </si>
  <si>
    <t>Backward: cited by PoT, Yuan 2025 (FinLLMs), Fatemi 2024. Title and abstract judged relevant before retrieval</t>
  </si>
  <si>
    <t>https://doi.org/10.18653/v1/2022.emnlp-main.421</t>
  </si>
  <si>
    <t>RARR: Researching and Revising What Language Models Say, Using Language Models</t>
  </si>
  <si>
    <t>L. Gao</t>
  </si>
  <si>
    <t>Citation chasing; located with OpenAlex title lookup CD-01</t>
  </si>
  <si>
    <t>Backward: cited by Pan 2024, Kamoi 2024, Huang 2024. Title and abstract judged relevant before retrieval</t>
  </si>
  <si>
    <t>https://doi.org/10.18653/v1/2023.acl-long.910</t>
  </si>
  <si>
    <t>CRITIC: Large Language Models Can Self-Correct with Tool-Interactive Critiquing</t>
  </si>
  <si>
    <t>Z. Gou</t>
  </si>
  <si>
    <t>Backward: cited by Pan 2024, Kamoi 2024, Huang 2024, PoT, Fatemi 2024. Title and abstract judged relevant before retrieval</t>
  </si>
  <si>
    <t>https://arxiv.org/pdf/2305.11738</t>
  </si>
  <si>
    <t>Self-Refine: Iterative Refinement with Self-Feedback</t>
  </si>
  <si>
    <t>A. Madaan</t>
  </si>
  <si>
    <t>Backward: cited by Pan 2024, Kamoi 2024, Huang 2024, SatLM, PaD. Title and abstract judged relevant before retrieval</t>
  </si>
  <si>
    <t>https://arxiv.org/pdf/2303.17651</t>
  </si>
  <si>
    <t>Fine-grained Hallucination Detection and Editing for Language Models</t>
  </si>
  <si>
    <t>A. Mishra</t>
  </si>
  <si>
    <t>COLM 2024</t>
  </si>
  <si>
    <t>Backward: cited by Kamoi 2024. Title and abstract judged relevant before retrieval</t>
  </si>
  <si>
    <t>https://arxiv.org/pdf/2401.06855</t>
  </si>
  <si>
    <t>Toolformer: Language Models Can Teach Themselves to Use Tools</t>
  </si>
  <si>
    <t>T. Schick</t>
  </si>
  <si>
    <t>Backward: cited by PoT, CREATOR, SatLM, Wang 2024 (DPO-ST). Title and abstract judged relevant before retrieval</t>
  </si>
  <si>
    <t>https://arxiv.org/pdf/2302.04761</t>
  </si>
  <si>
    <t>Verify-and-Edit: A Knowledge-Enhanced Chain-of-Thought Framework</t>
  </si>
  <si>
    <t>R. Zhao</t>
  </si>
  <si>
    <t>https://doi.org/10.18653/v1/2023.acl-long.320</t>
  </si>
  <si>
    <t>TAT-LLM: A Specialized Language Model for Discrete Reasoning over Financial Tabular and Textual Data</t>
  </si>
  <si>
    <t>F. Zhu</t>
  </si>
  <si>
    <t>Backward: cited by Fatemi 2024. Title and abstract judged relevant before retrieval</t>
  </si>
  <si>
    <t>https://doi.org/10.1145/3677052.3698685</t>
  </si>
  <si>
    <t>03 - Extraction matrix: Repair (included studies)</t>
  </si>
  <si>
    <t>One row per included study, ordered by subtopic. Every figure is taken from the paper itself; 'Limitations / gap' records what the authors state (or 'No limitations section' when they state none). Column O links back to the screening log.</t>
  </si>
  <si>
    <t>Citation (Author, Year)</t>
  </si>
  <si>
    <t>Study type</t>
  </si>
  <si>
    <t>Research focus</t>
  </si>
  <si>
    <t>Data / evaluation setting</t>
  </si>
  <si>
    <t>Method / model</t>
  </si>
  <si>
    <t>Dataset, metrics and key results</t>
  </si>
  <si>
    <t>Limitations / gap stated by authors</t>
  </si>
  <si>
    <t>Member subtopic</t>
  </si>
  <si>
    <t>Free full-text URL</t>
  </si>
  <si>
    <t>Free-access route</t>
  </si>
  <si>
    <t>Screening log #</t>
  </si>
  <si>
    <t>Cao et al., 2020</t>
  </si>
  <si>
    <t>Method (post-editing corrector)</t>
  </si>
  <si>
    <t>Correcting factual errors in generated summaries after the fact</t>
  </si>
  <si>
    <t>Artificial corruption test set and a manually annotated test set</t>
  </si>
  <si>
    <t>Corrector pre-trained on reference summaries corrupted by heuristic transformations</t>
  </si>
  <si>
    <t>Outperforms previous models on the human-annotated test set by wide margins</t>
  </si>
  <si>
    <t>Transfer from artificial to real errors is very hard; low recall and false positives remain</t>
  </si>
  <si>
    <t>https://aclanthology.org/2020.emnlp-main.506.pdf</t>
  </si>
  <si>
    <t>ACL Anthology (open access)</t>
  </si>
  <si>
    <t>Thorne &amp; Vlachos, 2021</t>
  </si>
  <si>
    <t>Task, dataset and method</t>
  </si>
  <si>
    <t>Editing a refuted claim so that evidence supports it</t>
  </si>
  <si>
    <t>65,000 instances derived from FEVER</t>
  </si>
  <si>
    <t>Two-stage distant supervision: mask the parts the evidence does not support, then fill them from evidence</t>
  </si>
  <si>
    <t>Correct corrections for 5 times more instances in human evaluation; +0.125 SARI</t>
  </si>
  <si>
    <t>With retrieved evidence only 24% of claims are corrected (SARI .419) versus 69% for a fully supervised system with gold evidence</t>
  </si>
  <si>
    <t>https://aclanthology.org/2021.acl-long.256.pdf</t>
  </si>
  <si>
    <t>Balachandran et al., 2022</t>
  </si>
  <si>
    <t>Better synthetic training data for correcting factual errors in summaries</t>
  </si>
  <si>
    <t>CNN/DM and XSum summaries</t>
  </si>
  <si>
    <t>FactEdit: infilling LMs create hard non-factual summaries; a model learns to rewrite them correctly</t>
  </si>
  <si>
    <t>Vastly outperforms prior post-editing correctors on factual consistency</t>
  </si>
  <si>
    <t>Relies on an off-the-shelf error detector; often rewrites summaries that were already correct and could introduce new errors</t>
  </si>
  <si>
    <t>https://aclanthology.org/2022.emnlp-main.667.pdf</t>
  </si>
  <si>
    <t>Lee et al., 2022</t>
  </si>
  <si>
    <t>Fast, interpretable correction of entity errors in summaries</t>
  </si>
  <si>
    <t>Two summarisation factual-error-correction benchmarks</t>
  </si>
  <si>
    <t>RFEC: retrieve evidence sentences from the article, detect entity-level errors, substitute the wrong entity with one from the evidence</t>
  </si>
  <si>
    <t>More competitive than baseline correctors at a much faster speed</t>
  </si>
  <si>
    <t>No limitations section; corrects entity-level errors only, by substitution from retrieved evidence</t>
  </si>
  <si>
    <t>https://aclanthology.org/2022.gem-1.41.pdf</t>
  </si>
  <si>
    <t>Chen et al., 2023a</t>
  </si>
  <si>
    <t>Method (constrained editing)</t>
  </si>
  <si>
    <t>Minimal-edit factual error correction without paired data</t>
  </si>
  <si>
    <t>FEVER-based claim correction</t>
  </si>
  <si>
    <t>VENCE: iterative sampling of edit actions under a target density built from an offline verifier's truthfulness score</t>
  </si>
  <si>
    <t>+5.3 SARI over the previous best distantly supervised method</t>
  </si>
  <si>
    <t>Quality depends on the external verifier that scores truthfulness</t>
  </si>
  <si>
    <t>https://ojs.aaai.org/index.php/AAAI/article/download/26485/26257</t>
  </si>
  <si>
    <t>AAAI open-access proceedings</t>
  </si>
  <si>
    <t>Gao et al., 2023a</t>
  </si>
  <si>
    <t>Method (research-and-revise)</t>
  </si>
  <si>
    <t>Adding attribution to any generator's output and fixing unsupported content</t>
  </si>
  <si>
    <t>Outputs of several LMs on diverse generation tasks</t>
  </si>
  <si>
    <t>RARR: generate questions, retrieve web evidence, check agreement, edit minimally</t>
  </si>
  <si>
    <t>Improves attribution while preserving the original text far more than earlier edit models</t>
  </si>
  <si>
    <t>Attribution and preservation may deserve different weights by application; metrics do not capture all of attribution</t>
  </si>
  <si>
    <t>https://aclanthology.org/2023.acl-long.910.pdf</t>
  </si>
  <si>
    <t>Gao et al., 2023c</t>
  </si>
  <si>
    <t>Benchmark and evaluation framework</t>
  </si>
  <si>
    <t>How to evaluate factual error correction reliably, by error category</t>
  </si>
  <si>
    <t>4,000 manually corrected dialogue summaries (SAMSum, DialogSum)</t>
  </si>
  <si>
    <t>FERRANTI: reference-correction-based evaluation that labels and scores corrections per error category</t>
  </si>
  <si>
    <t>Factuality metrics are unreliable for judging correction; existing correctors differ sharply by error category</t>
  </si>
  <si>
    <t>Small dataset (4,000 items); short daily-chat dialogues only; FERRANTI relies on English lexical and syntactic features</t>
  </si>
  <si>
    <t>https://aclanthology.org/2023.acl-long.779.pdf</t>
  </si>
  <si>
    <t>He et al., 2023</t>
  </si>
  <si>
    <t>Method (data synthesis for correction)</t>
  </si>
  <si>
    <t>Getting paired training data for factual error correction by asking an LLM to inject errors</t>
  </si>
  <si>
    <t>FECDATA (FEVER-based claim correction)</t>
  </si>
  <si>
    <t>PivotFEC: few-shot LLM error injection creates (false, correct) pairs that train a corrector</t>
  </si>
  <si>
    <t>+11.3 SARI over the best distantly supervised method and +7.9 SARI over direct few-shot LLM correction</t>
  </si>
  <si>
    <t>Only GPT-series LLMs tested (compute limits); retrieved evidence is not always relevant to the claim</t>
  </si>
  <si>
    <t>https://aclanthology.org/2023.findings-emnlp.667.pdf</t>
  </si>
  <si>
    <t>Huang et al., 2023</t>
  </si>
  <si>
    <t>Method (zero-shot corrector)</t>
  </si>
  <si>
    <t>Faithful factual error correction without training data</t>
  </si>
  <si>
    <t>FEVER and SciFact claims with given evidence</t>
  </si>
  <si>
    <t>Ask questions about the claim, answer them from the evidence, propose corrections, keep those consistent with evidence</t>
  </si>
  <si>
    <t>Outperforms fully supervised correctors; corrections are more faithful in human judgement</t>
  </si>
  <si>
    <t>Cannot fix errors that need domain knowledge; assumes the relevant evidence is provided</t>
  </si>
  <si>
    <t>https://aclanthology.org/2023.acl-long.311.pdf</t>
  </si>
  <si>
    <t>Zhao et al., 2023b</t>
  </si>
  <si>
    <t>Method (post-editing reasoning)</t>
  </si>
  <si>
    <t>Fixing factual errors in chain-of-thought with retrieved knowledge</t>
  </si>
  <si>
    <t>Open-domain multi-hop QA and fact verification with GPT-3</t>
  </si>
  <si>
    <t>Verify-and-Edit: find low-consistency predictions, retrieve facts, edit the rationale, re-answer</t>
  </si>
  <si>
    <t>Accuracy improvements on several open-domain QA tasks</t>
  </si>
  <si>
    <t>Works best on open-domain QA needing complex reasoning; less benefit on simpler or commonsense sets; the calibrator needs provided contexts</t>
  </si>
  <si>
    <t>https://aclanthology.org/2023.acl-long.320.pdf</t>
  </si>
  <si>
    <t>He et al., 2024</t>
  </si>
  <si>
    <t>Learning to inject factual errors so that paired correction data can be made</t>
  </si>
  <si>
    <t>FEVER-based claim correction with human evaluation</t>
  </si>
  <si>
    <t>LIFE: a corruptor injects errors into correct claims; a corrector is trained on the resulting pairs</t>
  </si>
  <si>
    <t>Outperforms few-shot LLM baselines on the corrected rate in human evaluation</t>
  </si>
  <si>
    <t>A gap remains to the fully supervised baseline</t>
  </si>
  <si>
    <t>https://ojs.aaai.org/index.php/AAAI/article/download/29778/31342</t>
  </si>
  <si>
    <t>Mishra et al., 2024</t>
  </si>
  <si>
    <t>Benchmark and method (detect and edit)</t>
  </si>
  <si>
    <t>Editing hallucinated spans by error type after detecting them</t>
  </si>
  <si>
    <t>FavaBench fine-grained human judgements</t>
  </si>
  <si>
    <t>FAVA: retrieval-augmented LM trained on synthetic error insertions to detect and edit</t>
  </si>
  <si>
    <t>Better fine-grained detection than ChatGPT (+23.7%) and higher factuality after editing</t>
  </si>
  <si>
    <t>Large room for improvement remains</t>
  </si>
  <si>
    <t>arXiv author version of the COLM paper</t>
  </si>
  <si>
    <t>Su et al., 2024</t>
  </si>
  <si>
    <t>Method (detect-then-correct)</t>
  </si>
  <si>
    <t>Detecting entity-level hallucinations while generating and correcting them with retrieved knowledge</t>
  </si>
  <si>
    <t>Hallucination detection on LLM passages; retrieval-augmented QA incl. 2WikiMultihopQA</t>
  </si>
  <si>
    <t>DRAD: real-time hallucination detection from the model's uncertainty (RHD) plus self-correction from external knowledge (SEK)</t>
  </si>
  <si>
    <t>Better detection and mitigation than retrieval-augmentation baselines</t>
  </si>
  <si>
    <t>Uncertainty-based detection catches knowledge gaps but misses errors from wrong knowledge learned in pre-training</t>
  </si>
  <si>
    <t>https://arxiv.org/pdf/2407.09417</t>
  </si>
  <si>
    <t>arXiv author version of the ACM paper</t>
  </si>
  <si>
    <t>Woesle et al., 2025</t>
  </si>
  <si>
    <t>Systematic review (PRISMA)</t>
  </si>
  <si>
    <t>Mapping hallucination detection and mitigation by system architecture and application domain</t>
  </si>
  <si>
    <t>125 peer-reviewed papers (2015-Jan 2025) from IEEE Xplore, ACM DL and ScienceDirect</t>
  </si>
  <si>
    <t>PRISMA review with four architecture classes: unaugmented, post-hoc reactive validation, proactive detect-and-mitigate, integrated</t>
  </si>
  <si>
    <t>QA/IR and multimodal work make up 48% of studies and use the most integrated designs; software, education and robotics are underserved</t>
  </si>
  <si>
    <t>Keyword filters may miss relevant work; assigning architecture classes is partly subjective; categories simplify overlapping designs</t>
  </si>
  <si>
    <t>https://ieeexplore.ieee.org/document/11132297</t>
  </si>
  <si>
    <t>IEEE Xplore open access (CC BY)</t>
  </si>
  <si>
    <t>Zhu et al., 2025</t>
  </si>
  <si>
    <t>Correcting factual errors in summaries with a cloze-style model trained on cleaner data</t>
  </si>
  <si>
    <t>Summarisation datasets; new distilled faithful dataset SummDSC; several factual-consistency metrics</t>
  </si>
  <si>
    <t>FactCloze: conditional-generation cloze that fills or abstains on masked factual factors; data distillation by multi-dimensional evaluation</t>
  </si>
  <si>
    <t>Improves several factual-consistency metrics over earlier post-editing correctors</t>
  </si>
  <si>
    <t>No limitations section in the free version; gains are reported on automatic consistency metrics</t>
  </si>
  <si>
    <t>https://arxiv.org/pdf/2402.08581</t>
  </si>
  <si>
    <t>arXiv: earlier author preprint (Li et al., 2024) of the journal article</t>
  </si>
  <si>
    <t>Madaan et al., 2023</t>
  </si>
  <si>
    <t>Method (iterative self-feedback)</t>
  </si>
  <si>
    <t>Improving outputs by letting the same LLM give feedback and refine</t>
  </si>
  <si>
    <t>Seven tasks incl. dialogue, code optimisation and math reasoning with GPT-3.5 and GPT-4</t>
  </si>
  <si>
    <t>Self-Refine: generate, self-feedback, refine, repeat (no training)</t>
  </si>
  <si>
    <t>About 20% absolute improvement on average; preferred by humans and metrics</t>
  </si>
  <si>
    <t>Base models need strong few-shot or instruction-following ability to give useful feedback in context</t>
  </si>
  <si>
    <t>arXiv author version of the NeurIPS paper</t>
  </si>
  <si>
    <t>Gou et al., 2024</t>
  </si>
  <si>
    <t>Method (tool-based critique)</t>
  </si>
  <si>
    <t>Self-correction that checks outputs with external tools</t>
  </si>
  <si>
    <t>Free-form QA, mathematical program synthesis, toxicity reduction</t>
  </si>
  <si>
    <t>CRITIC: verify with tools (search, code interpreter, toxicity API), critique, revise; iterate</t>
  </si>
  <si>
    <t>Consistently improves LLM performance; external feedback is crucial for self-improvement</t>
  </si>
  <si>
    <t>Extra tool calls add inference latency</t>
  </si>
  <si>
    <t>arXiv author version of the ICLR paper</t>
  </si>
  <si>
    <t>Huang et al., 2024</t>
  </si>
  <si>
    <t>Empirical analysis</t>
  </si>
  <si>
    <t>Whether LLMs can fix their reasoning without external feedback</t>
  </si>
  <si>
    <t>Reasoning benchmarks (e.g. GSM8K, CommonsenseQA, HotpotQA) with GPT-3.5 and GPT-4</t>
  </si>
  <si>
    <t>Intrinsic self-correction experiments with fair baselines</t>
  </si>
  <si>
    <t>Without external feedback LLMs struggle to self-correct, and accuracy can even fall</t>
  </si>
  <si>
    <t>Earlier gains often relied on oracle labels or weaker baselines</t>
  </si>
  <si>
    <t>https://arxiv.org/pdf/2310.01798</t>
  </si>
  <si>
    <t>Kamoi et al., 2024</t>
  </si>
  <si>
    <t>Critical survey</t>
  </si>
  <si>
    <t>When LLMs can actually correct their own mistakes</t>
  </si>
  <si>
    <t>Review of self-correction studies and their experimental designs</t>
  </si>
  <si>
    <t>Categorises research questions and frameworks; checklist for sound self-correction experiments</t>
  </si>
  <si>
    <t>Many studies have unclear questions or unfair designs; self-correction works mainly with reliable external feedback</t>
  </si>
  <si>
    <t>Authors stress that intrinsic self-correction from prompting alone has little support</t>
  </si>
  <si>
    <t>https://aclanthology.org/2024.tacl-1.78.pdf</t>
  </si>
  <si>
    <t>Pan et al., 2024</t>
  </si>
  <si>
    <t>Survey</t>
  </si>
  <si>
    <t>Correcting LLM outputs with automated feedback (self- or external)</t>
  </si>
  <si>
    <t>Review of training-time, generation-time and post-hoc correction methods</t>
  </si>
  <si>
    <t>Taxonomy by feedback source, format and correction timing</t>
  </si>
  <si>
    <t>Post-hoc correction with external feedback (retrieval, tools, verifiers) is the most practical family for factual errors</t>
  </si>
  <si>
    <t>Five future directions, including the reliability of LLM-generated feedback and theory of when correction works</t>
  </si>
  <si>
    <t>https://aclanthology.org/2024.tacl-1.27.pdf</t>
  </si>
  <si>
    <t>Tyen et al., 2024</t>
  </si>
  <si>
    <t>Benchmark and analysis</t>
  </si>
  <si>
    <t>Whether self-correction fails at finding errors or at fixing them</t>
  </si>
  <si>
    <t>BIG-Bench Mistake: LLM chain-of-thought traces with the first logical mistake marked</t>
  </si>
  <si>
    <t>Benchmark mistake finding; backtracking given the mistake location; small reward model for locating mistakes</t>
  </si>
  <si>
    <t>LLMs struggle to find logical mistakes but can correct outputs once given the location</t>
  </si>
  <si>
    <t>Mistake finding is the bottleneck; a trained locator helps only partly</t>
  </si>
  <si>
    <t>https://aclanthology.org/2024.findings-acl.826.pdf</t>
  </si>
  <si>
    <t>Li et al., 2025</t>
  </si>
  <si>
    <t>Method (self-reflection training)</t>
  </si>
  <si>
    <t>Teaching small models to reflect on and correct their own reasoning, using self-generated data</t>
  </si>
  <si>
    <t>ReflectEvo-460k self-generated reflection data; BIG-bench and other reasoning tasks</t>
  </si>
  <si>
    <t>Iterative self-reflection generation for self-training, then SFT and DPO</t>
  </si>
  <si>
    <t>Llama-3 52.4% to 71.2% and Mistral 44.4% to 71.1%; rivals larger open models without distillation</t>
  </si>
  <si>
    <t>Reflection quality depends on the model's initial reasoning ability; coding and maths need more specialised critiques</t>
  </si>
  <si>
    <t>https://aclanthology.org/2025.findings-acl.871.pdf</t>
  </si>
  <si>
    <t>Zhou &amp; Chen, 2025</t>
  </si>
  <si>
    <t>Method (multi-agent critique)</t>
  </si>
  <si>
    <t>Correcting reasoning and factual errors through debate between specialised LLM agents</t>
  </si>
  <si>
    <t>Six benchmarks incl. GSM8K, MMLU, arithmetic, factual generation and chess-move validity</t>
  </si>
  <si>
    <t>A-HMAD: role-specialised agents, dynamic debate routing and a learned consensus that weights agents by reliability</t>
  </si>
  <si>
    <t>GSM8K 90.2% (+6.2 over standard debate, +13.2 over self-consistency); MMLU 76.5% (+5.4); up to 6% over standard debate overall</t>
  </si>
  <si>
    <t>Agent roles are hand-defined; consensus is learned offline; external tools and evidence not yet integrated</t>
  </si>
  <si>
    <t>https://link.springer.com/article/10.1007/s44443-025-00353-3</t>
  </si>
  <si>
    <t>Springer open access (publisher)</t>
  </si>
  <si>
    <t>Akhtar et al., 2023</t>
  </si>
  <si>
    <t>Empirical evaluation (probing)</t>
  </si>
  <si>
    <t>Which numerical reasoning skills language models actually have, tested on tables</t>
  </si>
  <si>
    <t>Table NLI with probes for more than ten numerical reasoning types; ten models</t>
  </si>
  <si>
    <t>Hierarchical taxonomy (representation, number sense, manipulation, complex reasoning); semi-automatic probe generation</t>
  </si>
  <si>
    <t>No model excels on all types; FlanT5 and few-shot GPT-3.5 are strongest; label-flip probes show models exploit dataset artefacts</t>
  </si>
  <si>
    <t>Only table NLI evaluated; most probes change the hypothesis, not numbers in the table premise</t>
  </si>
  <si>
    <t>https://aclanthology.org/2023.findings-emnlp.1028.pdf</t>
  </si>
  <si>
    <t>Chen et al., 2023b</t>
  </si>
  <si>
    <t>Method (program-aided reasoning)</t>
  </si>
  <si>
    <t>Separating reasoning (program) from computation (interpreter) for numerical tasks</t>
  </si>
  <si>
    <t>Math word problems and financial QA (FinQA, ConvFinQA, TAT-QA)</t>
  </si>
  <si>
    <t>Program of Thoughts prompting, few-shot and zero-shot, with self-consistency</t>
  </si>
  <si>
    <t>About 12% average gain over chain-of-thought across datasets</t>
  </si>
  <si>
    <t>Executing generated code carries risks; weaker on some sets (58% on AQuA)</t>
  </si>
  <si>
    <t>https://arxiv.org/pdf/2211.12588</t>
  </si>
  <si>
    <t>arXiv author version of the TMLR paper</t>
  </si>
  <si>
    <t>Gao et al., 2023b</t>
  </si>
  <si>
    <t>Offloading calculation to a Python interpreter</t>
  </si>
  <si>
    <t>Math, symbolic and algorithmic reasoning benchmarks (incl. GSM8K)</t>
  </si>
  <si>
    <t>PAL: the LLM writes a program as its reasoning; the interpreter computes the answer</t>
  </si>
  <si>
    <t>With Codex, state of the art on GSM8K, 15% absolute above PaLM-540B with chain-of-thought</t>
  </si>
  <si>
    <t>No limitations section; relies on a code-capable LLM (Codex) to write the programs</t>
  </si>
  <si>
    <t>https://proceedings.mlr.press/v202/gao23f/gao23f.pdf</t>
  </si>
  <si>
    <t>PMLR (open access); found as arXiv record, peer-reviewed version assessed</t>
  </si>
  <si>
    <t>Liu et al., 2023b</t>
  </si>
  <si>
    <t>Method (integrated reasoning)</t>
  </si>
  <si>
    <t>Switching between CoT, PoT and equation-based reasoning with verification and execution feedback</t>
  </si>
  <si>
    <t>10 math reasoning datasets; also logical reasoning</t>
  </si>
  <si>
    <t>XoT: plan the method, execute, verify (active and passive), switch methods when checks fail</t>
  </si>
  <si>
    <t>Methods are complementary (together could solve 92.72% of problems, over 10% above the best single method); XoT improves accuracy across datasets</t>
  </si>
  <si>
    <t>Little gain on easy datasets; depends on diverse prompting methods; works better on larger models</t>
  </si>
  <si>
    <t>https://aclanthology.org/2023.emnlp-main.169.pdf</t>
  </si>
  <si>
    <t>Qian et al., 2023</t>
  </si>
  <si>
    <t>Method (tool creation)</t>
  </si>
  <si>
    <t>Letting the LLM write its own tools (code) before using them, separating planning from execution</t>
  </si>
  <si>
    <t>MATH, TabMWP and a new 2K-question Creation Challenge</t>
  </si>
  <si>
    <t>CREATOR: create a tool (documentation plus code), decide how to use it, execute, then rectify on errors</t>
  </si>
  <si>
    <t>ChatGPT with CREATOR averages 59.7% on MATH and 94.7% on TabMWP, above CoT, PoT and tool-use baselines</t>
  </si>
  <si>
    <t>Only two established benchmarks plus the new set; correctness of more complex created tools is not yet evaluated</t>
  </si>
  <si>
    <t>https://aclanthology.org/2023.findings-emnlp.462.pdf</t>
  </si>
  <si>
    <t>Schick et al., 2023</t>
  </si>
  <si>
    <t>Method (self-taught tool use)</t>
  </si>
  <si>
    <t>Letting an LM learn when and how to call tools such as a calculator</t>
  </si>
  <si>
    <t>GPT-J (6.7B) on maths, QA, multilingual and temporal tasks</t>
  </si>
  <si>
    <t>Self-supervised: sample API calls, keep those that reduce loss, fine-tune</t>
  </si>
  <si>
    <t>Large zero-shot gains, often competitive with much larger models</t>
  </si>
  <si>
    <t>Cannot chain tools (one tool's output into another) or use a tool interactively, e.g. browsing search results</t>
  </si>
  <si>
    <t>Ye et al., 2023</t>
  </si>
  <si>
    <t>Method (solver-aided reasoning)</t>
  </si>
  <si>
    <t>Having the LLM write a declarative specification and letting a solver find the answer</t>
  </si>
  <si>
    <t>8 datasets incl. GSM, LSAT, BoardgameQA</t>
  </si>
  <si>
    <t>SatLM: LLM parses the problem into declarative formulas; an automated theorem prover (SAT/SMT) solves them</t>
  </si>
  <si>
    <t>23% better than program-aided LMs on a hard GSM subset; new state of the art on LSAT and BoardgameQA</t>
  </si>
  <si>
    <t>Less effective when problems suit imperative programs (lags on GSM); inherits solver cost and expressiveness limits</t>
  </si>
  <si>
    <t>https://arxiv.org/pdf/2305.09656</t>
  </si>
  <si>
    <t>Zhao et al., 2023a</t>
  </si>
  <si>
    <t>Method (reasoning-mode selection)</t>
  </si>
  <si>
    <t>Choosing per question between chain-of-thought and program-aided reasoning</t>
  </si>
  <si>
    <t>Eight reasoning datasets with Codex, ChatGPT and GPT-4</t>
  </si>
  <si>
    <t>An LLM selects between the CoT and PAL solutions; theoretical analysis of when selection helps; combined with self-consistency</t>
  </si>
  <si>
    <t>Gains on all eight datasets; new state of the art on GSM8K (96.8%) and SVAMP (93.7%); lower cost with self-consistency</t>
  </si>
  <si>
    <t>Selector is affected by option order (LLM bias); only two base methods combined; reasoning tasks only</t>
  </si>
  <si>
    <t>https://aclanthology.org/2023.findings-emnlp.55.pdf</t>
  </si>
  <si>
    <t>Bi et al., 2024</t>
  </si>
  <si>
    <t>Empirical analysis and data method</t>
  </si>
  <si>
    <t>Which properties of code data make program-of-thought prompting improve reasoning</t>
  </si>
  <si>
    <t>Mathematical reasoning instruction data and code-generation data</t>
  </si>
  <si>
    <t>Complexity-Impacted Reasoning Score (AST structure plus logical and cyclomatic complexity); auto-synthesising and stratifying data</t>
  </si>
  <si>
    <t>Code of an optimal complexity level is learnable and helps most; overly complex code is too hard for LLMs to learn</t>
  </si>
  <si>
    <t>No separate limitations section; the learnable complexity level depends on model size</t>
  </si>
  <si>
    <t>https://ojs.aaai.org/index.php/AAAI/article/download/29721/31237</t>
  </si>
  <si>
    <t>Liu et al., 2024b</t>
  </si>
  <si>
    <t>Benchmark</t>
  </si>
  <si>
    <t>Whether LLMs can do statistical and causal reasoning on real data, by text, programs or agents</t>
  </si>
  <si>
    <t>QRData: 411 questions with data sheets, plus 290 text-only questions (QRText)</t>
  </si>
  <si>
    <t>Compares chain-of-thought, program-of-thoughts, ReAct and code-interpreter agents across many LLMs</t>
  </si>
  <si>
    <t>Best model GPT-4 reaches 58%; best open model (Deepseek-coder-instruct) 37%; models struggle to combine causal knowledge with the data</t>
  </si>
  <si>
    <t>English only; covers statistical and causal reasoning only; not all models and agent frameworks tested</t>
  </si>
  <si>
    <t>https://aclanthology.org/2024.findings-acl.548.pdf</t>
  </si>
  <si>
    <t>Zhu et al., 2024c</t>
  </si>
  <si>
    <t>Method (distillation)</t>
  </si>
  <si>
    <t>Distilling reasoning into small models with programs instead of chain-of-thought</t>
  </si>
  <si>
    <t>Arithmetic and symbolic reasoning; general ability</t>
  </si>
  <si>
    <t>Program-aided Distillation: keep only programs that execute correctly; self-refinement and step-by-step verification</t>
  </si>
  <si>
    <t>Small models outperform some LLMs (e.g. LLaMA-1 13B) with far fewer parameters and data</t>
  </si>
  <si>
    <t>Small models remain limited: distilled models do not perform well across many tasks at once</t>
  </si>
  <si>
    <t>https://aclanthology.org/2024.naacl-long.142.pdf</t>
  </si>
  <si>
    <t>Xiong et al., 2025</t>
  </si>
  <si>
    <t>Method (LLM agent)</t>
  </si>
  <si>
    <t>Table QA on large tables by zooming into the relevant sub-table and computing with programs</t>
  </si>
  <si>
    <t>DataBench (large tables) and TableBench (incl. fact checking) with Qwen3-8B-Instruct</t>
  </si>
  <si>
    <t>TableZoomer: table schema instead of verbalised table, query-aware zooming, Program-of-Thoughts in a ReAct loop</t>
  </si>
  <si>
    <t>+19.34% accuracy over conventional PoT on DataBench and +25% on TableBench fact checking</t>
  </si>
  <si>
    <t>Predefined fixed workflow is a performance bottleneck; authors plan an adaptive agentic scheduler</t>
  </si>
  <si>
    <t>https://link.springer.com/article/10.1007/s44336-025-00016-x</t>
  </si>
  <si>
    <t>Chen et al., 2021</t>
  </si>
  <si>
    <t>Numerical reasoning over financial reports with executable gold programs</t>
  </si>
  <si>
    <t>8,281 QA pairs from S&amp;P 500 earnings reports by finance professionals</t>
  </si>
  <si>
    <t>Retriever-generator: retrieve facts, generate executable reasoning programs</t>
  </si>
  <si>
    <t>65.05% execution accuracy versus 91.16% for experts</t>
  </si>
  <si>
    <t>Large gap to experts in domain knowledge and multi-step reasoning</t>
  </si>
  <si>
    <t>https://aclanthology.org/2021.emnlp-main.300.pdf</t>
  </si>
  <si>
    <t>Zhu et al., 2021</t>
  </si>
  <si>
    <t>Benchmark and method</t>
  </si>
  <si>
    <t>QA needing arithmetic over hybrid tables and text in financial reports</t>
  </si>
  <si>
    <t>TAT-QA: 16,552 questions from real financial reports</t>
  </si>
  <si>
    <t>TAGOP: tag evidence cells and spans, apply symbolic operators</t>
  </si>
  <si>
    <t>TAGOP F1 58.0% versus 90.8% for humans</t>
  </si>
  <si>
    <t>Large gap to humans in numerical reasoning over hybrid data</t>
  </si>
  <si>
    <t>https://aclanthology.org/2021.acl-long.254.pdf</t>
  </si>
  <si>
    <t>ACL Anthology (open access); found as arXiv record, peer-reviewed version assessed</t>
  </si>
  <si>
    <t>Chen et al., 2022</t>
  </si>
  <si>
    <t>Chains of numerical reasoning across conversation turns in finance</t>
  </si>
  <si>
    <t>ConvFinQA: conversations built by decomposing FinQA questions</t>
  </si>
  <si>
    <t>Neural-symbolic models and prompting-based methods</t>
  </si>
  <si>
    <t>Both kinds stay below 70% execution accuracy versus 89.4% for humans</t>
  </si>
  <si>
    <t>Only two conversation-construction mechanisms; does not cover all real conversation patterns</t>
  </si>
  <si>
    <t>https://aclanthology.org/2022.emnlp-main.421.pdf</t>
  </si>
  <si>
    <t>Deng et al., 2022</t>
  </si>
  <si>
    <t>Conversational financial QA that asks clarifying questions and reasons numerically over tables and text</t>
  </si>
  <si>
    <t>PACIFIC dataset built on hybrid table-text financial reports</t>
  </si>
  <si>
    <t>UniPCQA: one Seq2Seq model for all sub-tasks, with numerical reasoning rewritten as code generation and an ensemble over top-k outputs</t>
  </si>
  <si>
    <t>The dataset is very challenging; models must handle hybrid input and output formats and diverse numerical reasoning</t>
  </si>
  <si>
    <t>Questions need only basic arithmetic, counting and comparison; clarification turns are limited in form</t>
  </si>
  <si>
    <t>https://aclanthology.org/2022.emnlp-main.469.pdf</t>
  </si>
  <si>
    <t>Li et al., 2022</t>
  </si>
  <si>
    <t>Method (financial QA model)</t>
  </si>
  <si>
    <t>Multi-step numerical reasoning over financial reports with a tree-structured solver</t>
  </si>
  <si>
    <t>TAT-QA</t>
  </si>
  <si>
    <t>FinMath: evidence extraction, then a tree-structured neural decoder that builds the arithmetic expression top-down</t>
  </si>
  <si>
    <t>Exact Match 50.1% to 58.6% (+8.5) and numeracy-focused F1 58.0% to 64.1% (+6.1) over the previous best</t>
  </si>
  <si>
    <t>No limitations section; evaluated on TAT-QA only</t>
  </si>
  <si>
    <t>http://www.lrec-conf.org/proceedings/lrec2022/pdf/2022.lrec-1.661.pdf</t>
  </si>
  <si>
    <t>LREC proceedings (open access, CC BY-NC)</t>
  </si>
  <si>
    <t>Nararatwong et al., 2022</t>
  </si>
  <si>
    <t>Keeping financial table-text QA accurate when data and compute are limited</t>
  </si>
  <si>
    <t>TAT-QA (TagOp baseline)</t>
  </si>
  <si>
    <t>GNN-based table evidence extraction plus a numerical module that fixes operand order for subtraction and division</t>
  </si>
  <si>
    <t>Graph module helps in low-resource settings; the ordering module improves arithmetic regardless of data or model size</t>
  </si>
  <si>
    <t>No limitations section; built on and evaluated with the TagOp pipeline only</t>
  </si>
  <si>
    <t>https://aclanthology.org/2022.aacl-main.72.pdf</t>
  </si>
  <si>
    <t>Zhao et al., 2022</t>
  </si>
  <si>
    <t>Numerical reasoning across multiple hierarchical tables and text</t>
  </si>
  <si>
    <t>MultiHiertt: QA over financial reports with several hierarchical tables</t>
  </si>
  <si>
    <t>MT2Net: facts retrieval plus a reasoning module</t>
  </si>
  <si>
    <t>MT2Net F1 38.43% versus 87.03% for human experts</t>
  </si>
  <si>
    <t>Models fail on reasoning across tables and on multi-step reasoning</t>
  </si>
  <si>
    <t>https://aclanthology.org/2022.acl-long.454.pdf</t>
  </si>
  <si>
    <t>Liu et al., 2023a</t>
  </si>
  <si>
    <t>Conversational QA over tables from Chinese company financial reports</t>
  </si>
  <si>
    <t>7,041 tables and 109,089 QA pairs (manual and template-generated), incl. unanswerable questions</t>
  </si>
  <si>
    <t>Text-based and operation-based tabular CQA baselines</t>
  </si>
  <si>
    <t>Large gap between human and model performance; 47.7% of QA pairs involve coreference or ellipsis</t>
  </si>
  <si>
    <t>No limitations section; Chinese-language reports only</t>
  </si>
  <si>
    <t>https://aclanthology.org/2023.acl-industry.20.pdf</t>
  </si>
  <si>
    <t>Zhu et al., 2023</t>
  </si>
  <si>
    <t>Better evidence extraction and numerical reasoning over financial tables and text</t>
  </si>
  <si>
    <t>FinQA and TAT-QA</t>
  </si>
  <si>
    <t>SoarGraph: hierarchical graphs over question, cells, paragraphs, quantities and dates</t>
  </si>
  <si>
    <t>Exact Match +3.3 (FinQA) and +1.8 (TAT-QA) over the best baselines on the test sets</t>
  </si>
  <si>
    <t>No limitations section; motivated by models missing supporting evidence</t>
  </si>
  <si>
    <t>https://dl.acm.org/doi/fullHtml/10.1145/3543873.3587598</t>
  </si>
  <si>
    <t>ACM Digital Library (free access)</t>
  </si>
  <si>
    <t>Fatemi &amp; Hu, 2024</t>
  </si>
  <si>
    <t>Method (multi-agent reflection)</t>
  </si>
  <si>
    <t>Critic agents that check extraction and calculation in financial QA</t>
  </si>
  <si>
    <t>FinQA, ConvFinQA and TAT-QA with LLaMA3-8B and 70B</t>
  </si>
  <si>
    <t>Multi-agent framework: an expert answers; critic agents review data extraction and reasoning; answer is revised</t>
  </si>
  <si>
    <t>+15% accuracy for LLaMA3-8B and +5% for LLaMA3-70B over single-agent baselines</t>
  </si>
  <si>
    <t>No limitations section; gains are smaller for the larger model (+5% vs +15%)</t>
  </si>
  <si>
    <t>https://arxiv.org/pdf/2410.21741</t>
  </si>
  <si>
    <t>Zhao et al., 2024</t>
  </si>
  <si>
    <t>Knowledge-intensive financial maths over text and tables, with programs as reference solutions</t>
  </si>
  <si>
    <t>1,200 problems with Python reference solutions; finance knowledge bank; 51 LLMs</t>
  </si>
  <si>
    <t>Evaluates CoT and PoT prompting and knowledge-augmentation strategies</t>
  </si>
  <si>
    <t>Best system (GPT-4o) reaches only 60.9% with CoT; adding knowledge helps (Gemini-1.5-Pro 47.5% to 54.5%)</t>
  </si>
  <si>
    <t>Answer extraction is imperfect (scores are an approximate lower bound, about 2% matching error); tables given as text, not images</t>
  </si>
  <si>
    <t>https://aclanthology.org/2024.acl-long.693.pdf</t>
  </si>
  <si>
    <t>Zhu et al., 2024a</t>
  </si>
  <si>
    <t>Method (specialised small LLM)</t>
  </si>
  <si>
    <t>A 7B model specialised for discrete reasoning over tables and text</t>
  </si>
  <si>
    <t>FinQA, TAT-QA and TAT-DQA</t>
  </si>
  <si>
    <t>Step-wise pipeline (Extractor, Reasoner, Executor) learned by fine-tuning LLaMA-2 7B</t>
  </si>
  <si>
    <t>The 7B TAT-LLM outperforms GPT-4 and other baselines on the three benchmarks</t>
  </si>
  <si>
    <t>Inputs over 100 pages exceed the model's length limit</t>
  </si>
  <si>
    <t>https://arxiv.org/pdf/2401.13223</t>
  </si>
  <si>
    <t>Yuan et al., 2025</t>
  </si>
  <si>
    <t>Method (data synthesis)</t>
  </si>
  <si>
    <t>Generating financial numerical-reasoning QA data from formulas to cut annotation cost</t>
  </si>
  <si>
    <t>Financial table-and-text QA (FinQA, TAT-QA-style) models trained with synthetic data</t>
  </si>
  <si>
    <t>Formula graph built from common financial formulas, augmented by shared variables; GPT-3.5 generates tables, text and QA</t>
  </si>
  <si>
    <t>Synthetic data improve several numerical reasoning models beyond training on human-labelled data alone</t>
  </si>
  <si>
    <t>Retriever statement selection relies on imprecise number matching; LLM data synthesis carries privacy and security risks</t>
  </si>
  <si>
    <t>https://arxiv.org/pdf/2401.10744</t>
  </si>
  <si>
    <t>arXiv author version of the journal article</t>
  </si>
  <si>
    <t>Zelikman et al., 2022</t>
  </si>
  <si>
    <t>Method (self-training)</t>
  </si>
  <si>
    <t>Bootstrapping reasoning from a few rationale examples</t>
  </si>
  <si>
    <t>Arithmetic, CommonsenseQA and GSM8K</t>
  </si>
  <si>
    <t>STaR: generate rationales, keep those reaching correct answers, rationalise failures given the answer, fine-tune, repeat</t>
  </si>
  <si>
    <t>Comparable to fine-tuning a 30 times larger model on CommonsenseQA; beats direct-answer fine-tuning</t>
  </si>
  <si>
    <t>Needs above-chance few-shot performance to start; stalls once the model cannot solve new training problems</t>
  </si>
  <si>
    <t>https://arxiv.org/pdf/2203.14465</t>
  </si>
  <si>
    <t>Singh et al., 2024</t>
  </si>
  <si>
    <t>Self-training with binary feedback instead of human data</t>
  </si>
  <si>
    <t>MATH and APPS with PaLM-2 models</t>
  </si>
  <si>
    <t>ReST-EM: sample, filter by correctness, fine-tune, repeat (expectation-maximisation)</t>
  </si>
  <si>
    <t>Scales with model size and clearly beats fine-tuning on human data only</t>
  </si>
  <si>
    <t>Needs a training set of problems and a reliable reward (correctness) function</t>
  </si>
  <si>
    <t>https://arxiv.org/pdf/2312.06585</t>
  </si>
  <si>
    <t>Wang et al., 2024</t>
  </si>
  <si>
    <t>Improving small models' maths reasoning from their own outputs instead of distilling a large model</t>
  </si>
  <si>
    <t>GSM8K and other math word-problem sets with small models such as Flan-T5-Large</t>
  </si>
  <si>
    <t>DPO-augmented self-training (DPO-ST): self-generated pseudo-labels, with DPO to improve their quality and diversity</t>
  </si>
  <si>
    <t>Outperforms models of comparable size on GSM8K with minimal compute</t>
  </si>
  <si>
    <t>Does not use unlabelled data explicitly; experiments only on math reasoning, for lack of training data in other tasks</t>
  </si>
  <si>
    <t>https://aclanthology.org/2024.acl-long.643.pdf</t>
  </si>
  <si>
    <t>Zhang et al., 2024</t>
  </si>
  <si>
    <t>Better self-training data by inferring per-step process rewards with tree search</t>
  </si>
  <si>
    <t>Math and science reasoning benchmarks with three LLMs</t>
  </si>
  <si>
    <t>ReST-MCTS*: process-reward-guided MCTS infers step values from final answers; trains both policy and reward model</t>
  </si>
  <si>
    <t>Higher accuracy than Best-of-N and Tree-of-Thought at equal search budget; beats ReST-EM and Self-Rewarding over iterations</t>
  </si>
  <si>
    <t>Needs to show transfer beyond maths (coding, agents) and to tasks without ground truth; value model and data filtering need scaling</t>
  </si>
  <si>
    <t>https://arxiv.org/pdf/2406.03816</t>
  </si>
  <si>
    <t>Zhu et al., 2024b</t>
  </si>
  <si>
    <t>Moving an LLM's maths reasoning into sub-billion-parameter models</t>
  </si>
  <si>
    <t>Math word-problem benchmarks with small language models</t>
  </si>
  <si>
    <t>Equation-of-Thought Distillation (EoTD) and Ensemble Thoughts Distillation (CoT, PoT and EoT data together)</t>
  </si>
  <si>
    <t>EoTD boosts small-model reasoning; the ensemble reaches state-of-the-art small-model performance</t>
  </si>
  <si>
    <t>LLMs and SLMs are pre-trained mostly on text and code, so equation-style data are scarcer and benefit SLMs less</t>
  </si>
  <si>
    <t>https://arxiv.org/pdf/2401.11864</t>
  </si>
  <si>
    <t>arXiv author version (accepted manuscript)</t>
  </si>
  <si>
    <t>Deng et al., 2025</t>
  </si>
  <si>
    <t>Whether self-training lets an LLM keep chain-of-thought gains without being prompted for chain-of-thought</t>
  </si>
  <si>
    <t>Vicuna and Llama2 models of several sizes; GSM8K, ReClor, LogiQA 2.0 (1,000 training and 1,000 test items each)</t>
  </si>
  <si>
    <t>CogniDual: self-practice on own CoT answers, then answering directly (System 2 to System 1)</t>
  </si>
  <si>
    <t>After self-training, models retain CoT-level accuracy without CoT prompts; larger models gain more from limited data</t>
  </si>
  <si>
    <t>Small samples (1,000 per dataset); all models run 4-bit quantised for a uniform comparison</t>
  </si>
  <si>
    <t>https://arxiv.org/pdf/2409.03381</t>
  </si>
  <si>
    <t>arXiv author version of the IEEE paper</t>
  </si>
  <si>
    <t>Munkhbat et al., 2025</t>
  </si>
  <si>
    <t>Shortening chain-of-thought without losing accuracy by training on the model's own concise solutions</t>
  </si>
  <si>
    <t>GSM8K and MATH across five model families</t>
  </si>
  <si>
    <t>Fine-tuning on self-generated concise paths from best-of-N sampling and few-shot conditioning (FS-BoN)</t>
  </si>
  <si>
    <t>About 30% fewer output tokens on average while keeping average accuracy</t>
  </si>
  <si>
    <t>Scaling study only up to 8B (Llama 3.x); RL-based schemes and advanced few-shot prompting not explored</t>
  </si>
  <si>
    <t>https://aclanthology.org/2025.findings-acl.1289.pdf</t>
  </si>
  <si>
    <t>Hu et al., 2022</t>
  </si>
  <si>
    <t>Method (PEFT)</t>
  </si>
  <si>
    <t>Fine-tuning large models by training small low-rank updates</t>
  </si>
  <si>
    <t>RoBERTa, DeBERTa, GPT-2 and GPT-3 175B</t>
  </si>
  <si>
    <t>LoRA: freeze weights; inject trainable rank-decomposition matrices</t>
  </si>
  <si>
    <t>10,000 times fewer trainable parameters and 3 times less GPU memory than full fine-tuning of GPT-3, with on-par or better quality</t>
  </si>
  <si>
    <t>Choice of weight matrices to adapt is heuristic; how adaptation works is still unclear</t>
  </si>
  <si>
    <t>https://arxiv.org/pdf/2106.09685</t>
  </si>
  <si>
    <t>arXiv author version of the ICLR paper (OpenAlex record carried a wrong title)</t>
  </si>
  <si>
    <t>Dettmers et al., 2023</t>
  </si>
  <si>
    <t>Method (quantised PEFT)</t>
  </si>
  <si>
    <t>Fine-tuning very large models on one GPU</t>
  </si>
  <si>
    <t>Instruction tuning; Vicuna and other chatbot benchmarks</t>
  </si>
  <si>
    <t>QLoRA: 4-bit NormalFloat base model, double quantisation, paged optimisers, LoRA adapters</t>
  </si>
  <si>
    <t>Fine-tunes a 65B model on a single 48GB GPU with 16-bit quality; Guanaco reaches 99.3% of ChatGPT on Vicuna</t>
  </si>
  <si>
    <t>Parity with full 16-bit fine-tuning not established at 33B and 65B; chatbot benchmarks and human ratings are unreliable (Fleiss kappa 0.42)</t>
  </si>
  <si>
    <t>https://arxiv.org/pdf/2305.14314</t>
  </si>
  <si>
    <t>Ding et al., 2023</t>
  </si>
  <si>
    <t>Letting LoRA's rank adapt during training instead of fixing it</t>
  </si>
  <si>
    <t>Standard NLP fine-tuning benchmarks</t>
  </si>
  <si>
    <t>SoRA: gated low-rank adaptation with a proximal-gradient sparsity gate; sparsifying scheduler</t>
  </si>
  <si>
    <t>Beats PEFT baselines with fewer parameters, with 70% retained parameters and about 30% shorter training</t>
  </si>
  <si>
    <t>Evaluated only on traditional NLP tasks (not instruction tuning or cross-modal); the sparsifying process is hard to explain rigorously</t>
  </si>
  <si>
    <t>https://aclanthology.org/2023.emnlp-main.252.pdf</t>
  </si>
  <si>
    <t>Geng et al., 2023</t>
  </si>
  <si>
    <t>Method (constrained decoding)</t>
  </si>
  <si>
    <t>Guaranteeing well-formed structured output without fine-tuning</t>
  </si>
  <si>
    <t>Information extraction, entity disambiguation and constituency parsing</t>
  </si>
  <si>
    <t>Grammar-constrained decoding with input-dependent formal grammars</t>
  </si>
  <si>
    <t>Boosts few-shot LLM performance on structured tasks, often beating fine-tuned models</t>
  </si>
  <si>
    <t>Needs access to decoding logits (not possible with closed APIs); adds latency</t>
  </si>
  <si>
    <t>https://aclanthology.org/2023.emnlp-main.674.pdf</t>
  </si>
  <si>
    <t>Lee et al., 2024</t>
  </si>
  <si>
    <t>Method (quantisation and tuning)</t>
  </si>
  <si>
    <t>Low-bit weight quantisation that keeps quality and still allows task fine-tuning</t>
  </si>
  <si>
    <t>LLM language-modelling and task benchmarks</t>
  </si>
  <si>
    <t>OWQ: keeps quantisation-sensitive weight columns in high precision; weak column tuning (WCT) for task adaptation</t>
  </si>
  <si>
    <t>3.1-bit OWQ models perform comparably to 4-bit OPTQ models; WCT adapts tasks with minimal memory</t>
  </si>
  <si>
    <t>No limitations section; overhead is described as negligible storage and computation</t>
  </si>
  <si>
    <t>https://ojs.aaai.org/index.php/AAAI/article/download/29237/30335</t>
  </si>
  <si>
    <t>Liu et al., 2024a</t>
  </si>
  <si>
    <t>Survey study (practitioners)</t>
  </si>
  <si>
    <t>Why and how practitioners want to constrain LLM output format and content</t>
  </si>
  <si>
    <t>Survey of 51 experienced industry professionals</t>
  </si>
  <si>
    <t>Inductive thematic analysis; ConstraintMaker prototype GUI</t>
  </si>
  <si>
    <t>134 use cases: low-level (format, length) and high-level (semantic, style, no hallucination) constraints; constraints simplify prompt development</t>
  </si>
  <si>
    <t>Industry professionals from a single corporation only; open-ended questions may have lowered the response rate</t>
  </si>
  <si>
    <t>https://arxiv.org/pdf/2404.07362</t>
  </si>
  <si>
    <t>Tam et al., 2024</t>
  </si>
  <si>
    <t>Empirical evaluation</t>
  </si>
  <si>
    <t>Whether forcing JSON/XML formats hurts LLM reasoning</t>
  </si>
  <si>
    <t>Reasoning and classification tasks under several format restrictions</t>
  </si>
  <si>
    <t>Compare free-form answers, format-following prompts and constrained decoding (JSON mode)</t>
  </si>
  <si>
    <t>Strict format constraints degrade reasoning but can help classification; looser formats work better for reasoning</t>
  </si>
  <si>
    <t>Cost prevented testing stronger models (LLaMA 70B, GPT-4o); evaluation tasks are limited in scope</t>
  </si>
  <si>
    <t>https://aclanthology.org/2024.emnlp-industry.91.pdf</t>
  </si>
  <si>
    <t>Mao et al., 2025</t>
  </si>
  <si>
    <t>State of LoRA research for LLMs</t>
  </si>
  <si>
    <t>Review of LoRA variants, multi-LoRA generalisation, efficiency methods, federated learning and applications</t>
  </si>
  <si>
    <t>Narrative survey organised in five perspectives</t>
  </si>
  <si>
    <t>LoRA is parameter-efficient, pluggable and composable, which makes it central to LLM applications</t>
  </si>
  <si>
    <t>Future directions: LoRA for generative-AI-as-a-service, continued pre-training and further scenarios</t>
  </si>
  <si>
    <t>https://arxiv.org/pdf/2407.11046</t>
  </si>
  <si>
    <t>Weyssow et al., 2025</t>
  </si>
  <si>
    <t>Empirical study</t>
  </si>
  <si>
    <t>How LoRA, QLoRA and other PEFT methods compare with in-context learning and RAG</t>
  </si>
  <si>
    <t>Conala, CodeAlpacaPy and APPS code generation; small and large code LLMs</t>
  </si>
  <si>
    <t>Systematic comparison of PEFT techniques (incl. LoRA, QLoRA) against ICL and RAG</t>
  </si>
  <si>
    <t>PEFT beats ICL and RAG across LLMs; combining PEFT with quantisation lets larger models be tuned with much less memory</t>
  </si>
  <si>
    <t>Code generation only; authors call for study of efficient techniques in other fine-tuning settings, at inference, and other SE tasks</t>
  </si>
  <si>
    <t>https://arxiv.org/pdf/2308.10462</t>
  </si>
  <si>
    <t>04 - PRISMA counts: Repair</t>
  </si>
  <si>
    <t>Every count is a formula over sheets 01 and 02, so it updates when a decision changes.</t>
  </si>
  <si>
    <t>Stage</t>
  </si>
  <si>
    <t>Count</t>
  </si>
  <si>
    <t>Where it comes from</t>
  </si>
  <si>
    <t>Identification (databases)</t>
  </si>
  <si>
    <t>Records identified from database searches (all hits)</t>
  </si>
  <si>
    <t>Sum of total hits, sheet 01</t>
  </si>
  <si>
    <t>Records not exported (beyond the 25 most-cited per search)</t>
  </si>
  <si>
    <t>Hits minus exported records</t>
  </si>
  <si>
    <t>Sum of exported records, sheet 01</t>
  </si>
  <si>
    <t>Duplicate records removed (same record found by more than one search)</t>
  </si>
  <si>
    <t>Exported minus unique records</t>
  </si>
  <si>
    <t>Records screened (unique)</t>
  </si>
  <si>
    <t>Database rows in sheet 02</t>
  </si>
  <si>
    <t>Records excluded at title (P1)</t>
  </si>
  <si>
    <t>P1 = DROP</t>
  </si>
  <si>
    <t>Records excluded at abstract (P2)</t>
  </si>
  <si>
    <t>P2 = DROP</t>
  </si>
  <si>
    <t>Full texts assessed for eligibility</t>
  </si>
  <si>
    <t>Screened minus P1 and P2 exclusions</t>
  </si>
  <si>
    <t>Full texts excluded (P3)</t>
  </si>
  <si>
    <t>P3 = DROP; reasons below</t>
  </si>
  <si>
    <t>Studies included from databases</t>
  </si>
  <si>
    <t>Assessed minus excluded</t>
  </si>
  <si>
    <t>Identification (other methods)</t>
  </si>
  <si>
    <t>Records identified by citation chasing</t>
  </si>
  <si>
    <t>Citation-chasing rows in sheet 02</t>
  </si>
  <si>
    <t>P3 = DROP</t>
  </si>
  <si>
    <t>Studies included by citation chasing</t>
  </si>
  <si>
    <t>Identified minus excluded</t>
  </si>
  <si>
    <t>Total studies included</t>
  </si>
  <si>
    <t>Databases plus citation chasing</t>
  </si>
  <si>
    <t>Check: INCLUDED = YES in sheet 02</t>
  </si>
  <si>
    <t>Must equal the total above</t>
  </si>
  <si>
    <t>Full-text exclusion reasons (all routes)</t>
  </si>
  <si>
    <t>Reason</t>
  </si>
  <si>
    <t>Definition</t>
  </si>
  <si>
    <t>preprints and technical reports with no archival version found, non-archival workshop papers, and journals whose peer review cannot be verified (open-access journals not listed in DOAJ).</t>
  </si>
  <si>
    <t>Outside date range</t>
  </si>
  <si>
    <t>published before 2017.</t>
  </si>
  <si>
    <t>Outside scope</t>
  </si>
  <si>
    <t>fails the member's scope at full-text stage.</t>
  </si>
  <si>
    <t>subscription-only and no author version found (arXiv searched by title).</t>
  </si>
  <si>
    <t>another version (e.g. arXiv copy) of a paper already in the log.</t>
  </si>
  <si>
    <t>Total</t>
  </si>
  <si>
    <t>Must equal P3 exclusions from both routes</t>
  </si>
  <si>
    <t>Included studies by subtopic</t>
  </si>
  <si>
    <t>Subtopic</t>
  </si>
  <si>
    <t>Label</t>
  </si>
  <si>
    <t>A</t>
  </si>
  <si>
    <t>Post-hoc revision and factual error correction</t>
  </si>
  <si>
    <t>B</t>
  </si>
  <si>
    <t>Self-correction and critique</t>
  </si>
  <si>
    <t>C</t>
  </si>
  <si>
    <t>Program- and tool-aided numerical reasoning</t>
  </si>
  <si>
    <t>D</t>
  </si>
  <si>
    <t>Financial numerical reasoning</t>
  </si>
  <si>
    <t>E</t>
  </si>
  <si>
    <t>Self-training, rejection sampling and distillation</t>
  </si>
  <si>
    <t>F</t>
  </si>
  <si>
    <t>Efficient fine-tuning and structured output</t>
  </si>
  <si>
    <t>05 - Gaps register: Repair</t>
  </si>
  <si>
    <t>Gaps as the authors state them (see sheet 03), and whether FaithGuard closes them. 'Not addressed' marks honest future work.</t>
  </si>
  <si>
    <t>Gap as stated by the authors</t>
  </si>
  <si>
    <t>Source (Author, Year)</t>
  </si>
  <si>
    <t>Theme</t>
  </si>
  <si>
    <t>Your note / how it would be closed</t>
  </si>
  <si>
    <t>Correctors trained on artificial corruptions transfer poorly to real model errors; low recall and false positives remain.</t>
  </si>
  <si>
    <t>Training data realism</t>
  </si>
  <si>
    <t>Not closed: stage B self-trains on the repairer's own outputs on controlled-track (template) items, not real answers, filtered by the hard gate (D-079), and it is not the frozen repairer v1 (D-101), which adds natural-like arithmetic slips to stage A's planted errors (D-088, D-095). (Corrected 30 Oct 2026; see sheet 00.)</t>
  </si>
  <si>
    <t>Post-editors often rewrite summaries that were already correct and can introduce new errors.</t>
  </si>
  <si>
    <t>Collateral damage</t>
  </si>
  <si>
    <t>Edit programs KEEP unflagged text; the hard gate rejects repairs that add new errors, and damage is counted.</t>
  </si>
  <si>
    <t>LLMs cannot find reasoning errors but can correct them once given the location.</t>
  </si>
  <si>
    <t>Error localisation</t>
  </si>
  <si>
    <t>The repair prompt lists the claims the detector flagged, so the model is told where the errors are.</t>
  </si>
  <si>
    <t>Without external feedback, LLMs struggle to self-correct reasoning and may get worse.</t>
  </si>
  <si>
    <t>Feedback source</t>
  </si>
  <si>
    <t>Repair uses external checks (rule checker, recheck in the gate), not intrinsic self-correction.</t>
  </si>
  <si>
    <t>Zero-shot correction cannot fix errors that need domain knowledge and assumes evidence is given.</t>
  </si>
  <si>
    <t>Evidence</t>
  </si>
  <si>
    <t>COPY and CALCULATE take values only from the source filing (provenance check).</t>
  </si>
  <si>
    <t>Retrieved evidence is not always relevant to the claim.</t>
  </si>
  <si>
    <t>Evidence is the filing itself; the gate's relevance check covers it.</t>
  </si>
  <si>
    <t>Executing generated code carries risks; some sets remain weak (58% on AQuA).</t>
  </si>
  <si>
    <t>Safe computation</t>
  </si>
  <si>
    <t>A restricted expression language is parsed and evaluated with Decimal; nothing is passed to eval.</t>
  </si>
  <si>
    <t>Distilled small models still do not perform well across many tasks.</t>
  </si>
  <si>
    <t>Small models</t>
  </si>
  <si>
    <t>The task is narrowed to short edit programs that a 2B model can learn.</t>
  </si>
  <si>
    <t>Self-training needs a set of training problems and a reliable reward function.</t>
  </si>
  <si>
    <t>Reward</t>
  </si>
  <si>
    <t>The hard gate serves as the binary reward for rejection sampling.</t>
  </si>
  <si>
    <t>Strict format restrictions (JSON mode) degrade reasoning.</t>
  </si>
  <si>
    <t>Output format</t>
  </si>
  <si>
    <t>Edit programs are short JSON objects parsed after generation.</t>
  </si>
  <si>
    <t>Grammar-constrained decoding needs access to decoding and adds latency.</t>
  </si>
  <si>
    <t>FaithGuard runs an open model locally, so constrained decoding remains an option.</t>
  </si>
  <si>
    <t>Multi-table numerical reasoning stays far below experts (F1 38.43 vs 87.03).</t>
  </si>
  <si>
    <t>Financial reasoning</t>
  </si>
  <si>
    <t>Repair targets the specific wrong number instead of answering the whole question again.</t>
  </si>
  <si>
    <t>Answer extraction from free text is imperfect (about 2% matching error).</t>
  </si>
  <si>
    <t>Evaluation</t>
  </si>
  <si>
    <t>Typed edit programs are parsed exactly; numbers are compared with Decimal.</t>
  </si>
  <si>
    <t>Parity of 4-bit QLoRA with full 16-bit fine-tuning is not established at 33B-65B.</t>
  </si>
  <si>
    <t>Efficiency</t>
  </si>
  <si>
    <t>FaithGuard trains a 2B model with LoRA in fp16 on one T4; full fine-tuning is outside the budget.</t>
  </si>
  <si>
    <t>06 - Technology comparison evidence</t>
  </si>
  <si>
    <t>Alternatives compared for each design choice, the criteria used, and the provisional decision recorded in the FaithGuard architecture and decision log. Preprints appear here only as background; they are excluded from the review.</t>
  </si>
  <si>
    <t>Research / technology area</t>
  </si>
  <si>
    <t>Alternatives compared</t>
  </si>
  <si>
    <t>Selection criteria and provisional decision</t>
  </si>
  <si>
    <t>Source (citation or URL)</t>
  </si>
  <si>
    <t>Repair strategy</t>
  </si>
  <si>
    <t>Regenerate the answer; free-text post-editing (FactEdit, RARR); research-and-revise; typed edit programs</t>
  </si>
  <si>
    <t>Need minimal, checkable changes that never break correct text. Decision: typed edit programs (KEEP, COPY, CALCULATE, CANNOT_FIX) applied by a deterministic executor.</t>
  </si>
  <si>
    <t>Balachandran et al., 2022; Gao et al., 2023a; Thorne &amp; Vlachos, 2021; Huang et al., 2023</t>
  </si>
  <si>
    <t>Arithmetic</t>
  </si>
  <si>
    <t>Chain-of-thought; program-of-thoughts and PAL; tool calls (Toolformer); declarative solvers (SatLM)</t>
  </si>
  <si>
    <t>Need exact financial arithmetic. Decision: CALCULATE operations evaluated with Python Decimal through a restricted parser.</t>
  </si>
  <si>
    <t>Gao et al., 2023b; Chen et al., 2023b; Schick et al., 2023; Ye et al., 2023</t>
  </si>
  <si>
    <t>Correction signal</t>
  </si>
  <si>
    <t>Intrinsic self-correction (Self-Refine); tool-based critique (CRITIC); given error location (Tyen et al.)</t>
  </si>
  <si>
    <t>Evidence shows correction works with external feedback and known locations. Decision: flagged claims as input; the hard gate rechecks the result, with one retry given the gate's reason.</t>
  </si>
  <si>
    <t>Huang et al., 2024; Kamoi et al., 2024; Gou et al., 2024; Tyen et al., 2024</t>
  </si>
  <si>
    <t>Training scheme</t>
  </si>
  <si>
    <t>Supervised fine-tuning; rejection-sampling self-training (STaR, ReST-EM); DPO self-training; process-reward RL (ReST-MCTS*)</t>
  </si>
  <si>
    <t>Need improvement without more human labels and within T4 limits. Decision: stage A SFT, then stage B rejection-sampling self-training filtered by the hard gate, with stage A data mixed in.</t>
  </si>
  <si>
    <t>Zelikman et al., 2022; Singh et al., 2024; Wang et al., 2024; Zhang et al., 2024</t>
  </si>
  <si>
    <t>Parameter efficiency</t>
  </si>
  <si>
    <t>Full fine-tuning; LoRA; QLoRA; outlier-aware quantisation (OWQ); SoRA</t>
  </si>
  <si>
    <t>Must fit one free T4 GPU. Decision: LoRA (rank 16) on Qwen3.5-2B in fp16.</t>
  </si>
  <si>
    <t>Hu et al., 2022; Dettmers et al., 2023; Lee et al., 2024; Ding et al., 2023; Mao et al., 2025</t>
  </si>
  <si>
    <t>Free text plus parser; JSON mode; grammar-constrained decoding</t>
  </si>
  <si>
    <t>Need reliably parseable programs without hurting reasoning. Decision: short JSON edit programs validated by a parser; constrained decoding kept as an option.</t>
  </si>
  <si>
    <t>Geng et al., 2023; Tam et al., 2024; Liu et al., 2024a</t>
  </si>
  <si>
    <t>Background preprints (not included)</t>
  </si>
  <si>
    <t>Qwen2.5 and Qwen2 technical reports (arXiv); PURR; CoNLI</t>
  </si>
  <si>
    <t>Model cards and preprints used only as engineering references; excluded in sheet 02 as not peer-reviewed.</t>
  </si>
  <si>
    <t>arXiv preprints</t>
  </si>
  <si>
    <t>07 - Reference list: Repair (64 included studies)</t>
  </si>
  <si>
    <t>APA 7 style, alphabetical. Venue, volume and pages checked against Crossref or the proceedings page; free full-text link given for each.</t>
  </si>
  <si>
    <t>Citation</t>
  </si>
  <si>
    <t>Full reference</t>
  </si>
  <si>
    <t>Akhtar, M., Shankarampeta, A., Gupta, V., Patil, A., Cocarascu, O., &amp; Simperl, E. (2023). Exploring the numerical reasoning capabilities of language models: A comprehensive analysis on tabular data. In Findings of the Association for Computational Linguistics: EMNLP 2023 (pp. 15391-15405). ACL. https://doi.org/10.18653/v1/2023.findings-emnlp.1028</t>
  </si>
  <si>
    <t>Balachandran, V., Hajishirzi, H., Cohen, W., &amp; Tsvetkov, Y. (2022). Correcting diverse factual errors in abstractive summarization via post-editing and language model infilling. In Proceedings of the 2022 Conference on Empirical Methods in Natural Language Processing (pp. 9818-9830). ACL. https://doi.org/10.18653/v1/2022.emnlp-main.667</t>
  </si>
  <si>
    <t>Bi, Z., Zhang, N., Jiang, Y., Deng, S., Zheng, G., &amp; Chen, H. (2024). When do program-of-thought works for reasoning? In Proceedings of the AAAI Conference on Artificial Intelligence, 38(16), 17691-17699. https://doi.org/10.1609/aaai.v38i16.29721</t>
  </si>
  <si>
    <t>Cao, M., Dong, Y., Wu, J., &amp; Cheung, J. C. K. (2020). Factual error correction for abstractive summarization models. In Proceedings of the 2020 Conference on Empirical Methods in Natural Language Processing (EMNLP) (pp. 6251-6258). ACL. https://doi.org/10.18653/v1/2020.emnlp-main.506</t>
  </si>
  <si>
    <t>Chen, J., Xu, R., Zeng, W., Sun, C., Li, L., &amp; Xiao, Y. (2023a). Converge to the truth: Factual error correction via iterative constrained editing. In Proceedings of the AAAI Conference on Artificial Intelligence, 37(11), 12616-12625. https://doi.org/10.1609/aaai.v37i11.26485</t>
  </si>
  <si>
    <t>Chen, W., Ma, X., Wang, X., &amp; Cohen, W. W. (2023b). Program of thoughts prompting: Disentangling computation from reasoning for numerical reasoning tasks. Transactions on Machine Learning Research.</t>
  </si>
  <si>
    <t>Chen, Z., Chen, W., Smiley, C., Shah, S., Borova, I., Langdon, D., Moussa, R., Beane, M., Huang, T.-H., Routledge, B., &amp; Wang, W. Y. (2021). FinQA: A dataset of numerical reasoning over financial data. In Proceedings of the 2021 Conference on Empirical Methods in Natural Language Processing (pp. 3697-3711). ACL. https://doi.org/10.18653/v1/2021.emnlp-main.300</t>
  </si>
  <si>
    <t>Chen, Z., Li, S., Smiley, C., Ma, Z., Shah, S., &amp; Wang, W. Y. (2022). ConvFinQA: Exploring the chain of numerical reasoning in conversational finance question answering. In Proceedings of the 2022 Conference on Empirical Methods in Natural Language Processing (pp. 6279-6292). ACL. https://doi.org/10.18653/v1/2022.emnlp-main.421</t>
  </si>
  <si>
    <t>Deng, Y., Lei, W., Zhang, W., Lam, W., &amp; Chua, T.-S. (2022). PACIFIC: Towards proactive conversational question answering over tabular and textual data in finance. In Proceedings of the 2022 Conference on Empirical Methods in Natural Language Processing (pp. 6970-6984). ACL. https://doi.org/10.18653/v1/2022.emnlp-main.469</t>
  </si>
  <si>
    <t>Deng, Y., Qiu, X., Tan, X., Qu, C., Pan, J., Cheng, Y., Xu, Y., &amp; Chu, W. (2025). CogniDual framework: Self-training large language models within a dual-system theoretical framework for improving cognitive tasks. In ICASSP 2025 - IEEE International Conference on Acoustics, Speech and Signal Processing (pp. 1-5). IEEE. https://doi.org/10.1109/ICASSP49660.2025.10887899</t>
  </si>
  <si>
    <t>Dettmers, T., Pagnoni, A., Holtzman, A., &amp; Zettlemoyer, L. (2023). QLoRA: Efficient finetuning of quantized LLMs. In Advances in Neural Information Processing Systems 36 (NeurIPS 2023).</t>
  </si>
  <si>
    <t>Ding, N., Lv, X., Wang, Q., Chen, Y., Zhou, B., Liu, Z., &amp; Sun, M. (2023). Sparse low-rank adaptation of pre-trained language models. In Proceedings of the 2023 Conference on Empirical Methods in Natural Language Processing (pp. 4133-4145). ACL. https://doi.org/10.18653/v1/2023.emnlp-main.252</t>
  </si>
  <si>
    <t>Fatemi, S., &amp; Hu, Y. (2024). Enhancing financial question answering with a multi-agent reflection framework. In Proceedings of the 5th ACM International Conference on AI in Finance (ICAIF '24) (pp. 530-537). ACM. https://doi.org/10.1145/3677052.3698686</t>
  </si>
  <si>
    <t>Gao, L., Dai, Z., Pasupat, P., Chen, A., Chaganty, A. T., Fan, Y., Zhao, V., Lao, N., Lee, H., Juan, D.-C., &amp; Guu, K. (2023a). RARR: Researching and revising what language models say, using language models. In Proceedings of the 61st Annual Meeting of the Association for Computational Linguistics (Volume 1: Long Papers) (pp. 16477-16508). ACL. https://doi.org/10.18653/v1/2023.acl-long.910</t>
  </si>
  <si>
    <t>Gao, L., Madaan, A., Zhou, S., Alon, U., Liu, P., Yang, Y., Callan, J., &amp; Neubig, G. (2023b). PAL: Program-aided language models. In Proceedings of the 40th International Conference on Machine Learning (PMLR 202, pp. 10764-10799).</t>
  </si>
  <si>
    <t>Gao, M., Wan, X., Su, J., Wang, Z., &amp; Huai, B. (2023c). Reference matters: Benchmarking factual error correction for dialogue summarization with fine-grained evaluation framework. In Proceedings of the 61st Annual Meeting of the Association for Computational Linguistics (Volume 1: Long Papers) (pp. 13932-13959). ACL. https://doi.org/10.18653/v1/2023.acl-long.779</t>
  </si>
  <si>
    <t>Geng, S., Josifoski, M., Peyrard, M., &amp; West, R. (2023). Grammar-constrained decoding for structured NLP tasks without finetuning. In Proceedings of the 2023 Conference on Empirical Methods in Natural Language Processing (pp. 10932-10952). ACL. https://doi.org/10.18653/v1/2023.emnlp-main.674</t>
  </si>
  <si>
    <t>Gou, Z., Shao, Z., Gong, Y., Shen, Y., Yang, Y., Duan, N., &amp; Chen, W. (2024). CRITIC: Large language models can self-correct with tool-interactive critiquing. In International Conference on Learning Representations (ICLR 2024).</t>
  </si>
  <si>
    <t>He, X., Jin, A.-L., Ma, J., Yuan, Y., &amp; Yiu, S. M. (2023). PivotFEC: Enhancing few-shot factual error correction with a pivot task approach using large language models. In Findings of the Association for Computational Linguistics: EMNLP 2023 (pp. 9960-9976). ACL. https://doi.org/10.18653/v1/2023.findings-emnlp.667</t>
  </si>
  <si>
    <t>He, X., Zhang, Q., Jin, A.-L., Ma, J., Yuan, Y., &amp; Yiu, S. M. (2024). Improving factual error correction by learning to inject factual errors. In Proceedings of the AAAI Conference on Artificial Intelligence, 38(16), 18197-18205. https://doi.org/10.1609/aaai.v38i16.29778</t>
  </si>
  <si>
    <t>Hu, E. J., Shen, Y., Wallis, P., Allen-Zhu, Z., Li, Y., Wang, S., Wang, L., &amp; Chen, W. (2022). LoRA: Low-rank adaptation of large language models. In International Conference on Learning Representations (ICLR 2022).</t>
  </si>
  <si>
    <t>Huang, J., Chen, X., Mishra, S., Zheng, H. S., Yu, A. W., Song, X., &amp; Zhou, D. (2024). Large language models cannot self-correct reasoning yet. In International Conference on Learning Representations (ICLR 2024).</t>
  </si>
  <si>
    <t>Huang, K.-H., Chan, H. P., &amp; Ji, H. (2023). Zero-shot faithful factual error correction. In Proceedings of the 61st Annual Meeting of the Association for Computational Linguistics (Volume 1: Long Papers) (pp. 5660-5676). ACL. https://doi.org/10.18653/v1/2023.acl-long.311</t>
  </si>
  <si>
    <t>Kamoi, R., Zhang, Y., Zhang, N., Han, J., &amp; Zhang, R. (2024). When can LLMs actually correct their own mistakes? A critical survey of self-correction of LLMs. Transactions of the Association for Computational Linguistics, 12, 1417-1440. https://doi.org/10.1162/tacl_a_00713</t>
  </si>
  <si>
    <t>Lee, C., Jin, J., Kim, T., Kim, H., &amp; Park, E. (2024). OWQ: Outlier-aware weight quantization for efficient fine-tuning and inference of large language models. In Proceedings of the AAAI Conference on Artificial Intelligence, 38(12), 13355-13364. https://doi.org/10.1609/aaai.v38i12.29237</t>
  </si>
  <si>
    <t>Lee, H., Park, C., Yoon, S., Bui, T., Dernoncourt, F., Kim, J., &amp; Jung, K. (2022). Factual error correction for abstractive summaries using entity retrieval. In Proceedings of the 2nd Workshop on Natural Language Generation, Evaluation, and Metrics (GEM) (pp. 439-444). ACL. https://doi.org/10.18653/v1/2022.gem-1.41</t>
  </si>
  <si>
    <t>Li, C., Ye, W., &amp; Zhao, Y. (2022). FinMath: Injecting a tree-structured solver for question answering over financial reports. In Proceedings of the Thirteenth Language Resources and Evaluation Conference (LREC 2022) (pp. 6147-6152). ELRA.</t>
  </si>
  <si>
    <t>Li, J., Dong, X., Liu, Y., Yang, Z., Wang, Q., Wang, X., Zhu, S., Jia, Z., &amp; Zheng, Z. (2025). ReflectEvo: Improving meta introspection of small LLMs by learning self-reflection. In Findings of the Association for Computational Linguistics: ACL 2025 (pp. 16948-16966). ACL. https://doi.org/10.18653/v1/2025.findings-acl.871</t>
  </si>
  <si>
    <t>Liu, C., Li, J., &amp; Xiong, D. (2023a). Tab-CQA: A tabular conversational question answering dataset on financial reports. In Proceedings of the 61st Annual Meeting of the Association for Computational Linguistics (Volume 5: Industry Track) (pp. 196-207). ACL. https://doi.org/10.18653/v1/2023.acl-industry.20</t>
  </si>
  <si>
    <t>Liu, M. X., Liu, F., Fiannaca, A. J., Koo, T., Dixon, L., Terry, M., &amp; Cai, C. J. (2024a). "We need structured output": Towards user-centered constraints on large language model output. In Extended Abstracts of the CHI Conference on Human Factors in Computing Systems (CHI EA '24) (pp. 1-9). ACM. https://doi.org/10.1145/3613905.3650756</t>
  </si>
  <si>
    <t>Liu, T., Guo, Q., Yang, Y., Hu, X., Zhang, Y., Qiu, X., &amp; Zhang, Z. (2023b). Plan, verify and switch: Integrated reasoning with diverse X-of-thoughts. In Proceedings of the 2023 Conference on Empirical Methods in Natural Language Processing (pp. 2807-2822). ACL. https://doi.org/10.18653/v1/2023.emnlp-main.169</t>
  </si>
  <si>
    <t>Liu, X., Wu, Z., Wu, X., Lu, P., Chang, K.-W., &amp; Feng, Y. (2024b). Are LLMs capable of data-based statistical and causal reasoning? Benchmarking advanced quantitative reasoning with data. In Findings of the Association for Computational Linguistics: ACL 2024 (pp. 9215-9235). ACL. https://doi.org/10.18653/v1/2024.findings-acl.548</t>
  </si>
  <si>
    <t>Madaan, A., Tandon, N., Gupta, P., Hallinan, S., Gao, L., Wiegreffe, S., Alon, U., Dziri, N., Prabhumoye, S., Yang, Y., Gupta, S., Majumder, B. P., Hermann, K., Welleck, S., Yazdanbakhsh, A., &amp; Clark, P. (2023). Self-Refine: Iterative refinement with self-feedback. In Advances in Neural Information Processing Systems 36 (NeurIPS 2023).</t>
  </si>
  <si>
    <t>Mao, Y., Ge, Y., Fan, Y., Xu, W., Mi, Y., Hu, Z., &amp; Gao, Y. (2025). A survey on LoRA of large language models. Frontiers of Computer Science, 19(7), 197605. https://doi.org/10.1007/s11704-024-40663-9</t>
  </si>
  <si>
    <t>Mishra, A., Asai, A., Balachandran, V., Wang, Y., Tsvetkov, Y., Neubig, G., &amp; Hajishirzi, H. (2024). Fine-grained hallucination detection and editing for language models. In Proceedings of the First Conference on Language Modeling (COLM 2024).</t>
  </si>
  <si>
    <t>Munkhbat, T., Ho, N., Kim, S. H., Yang, Y., Kim, Y., &amp; Yun, S.-Y. (2025). Self-training elicits concise reasoning in large language models. In Findings of the Association for Computational Linguistics: ACL 2025 (pp. 25127-25152). ACL. https://doi.org/10.18653/v1/2025.findings-acl.1289</t>
  </si>
  <si>
    <t>Nararatwong, R., Kertkeidkachorn, N., &amp; Ichise, R. (2022). Enhancing financial table and text question answering with tabular graph and numerical reasoning. In Proceedings of the 2nd Conference of the Asia-Pacific Chapter of the ACL and the 12th IJCNLP (Volume 1: Long Papers) (pp. 991-1000). ACL. https://doi.org/10.18653/v1/2022.aacl-main.72</t>
  </si>
  <si>
    <t>Pan, L., Saxon, M., Xu, W., Nathani, D., Wang, X., &amp; Wang, W. Y. (2024). Automatically correcting large language models: Surveying the landscape of diverse automated correction strategies. Transactions of the Association for Computational Linguistics, 12, 484-506. https://doi.org/10.1162/tacl_a_00660</t>
  </si>
  <si>
    <t>Qian, C., Han, C., Fung, Y., Qin, Y., Liu, Z., &amp; Ji, H. (2023). CREATOR: Tool creation for disentangling abstract and concrete reasoning of large language models. In Findings of the Association for Computational Linguistics: EMNLP 2023 (pp. 6922-6939). ACL. https://doi.org/10.18653/v1/2023.findings-emnlp.462</t>
  </si>
  <si>
    <t>Schick, T., Dwivedi-Yu, J., Dessì, R., Raileanu, R., Lomeli, M., Hambro, E., Zettlemoyer, L., Cancedda, N., &amp; Scialom, T. (2023). Toolformer: Language models can teach themselves to use tools. In Advances in Neural Information Processing Systems 36 (NeurIPS 2023).</t>
  </si>
  <si>
    <t>Singh, A., Co-Reyes, J. D., Agarwal, R., et al. (2024). Beyond human data: Scaling self-training for problem-solving with language models. Transactions on Machine Learning Research.</t>
  </si>
  <si>
    <t>Su, W., Tang, Y., Ai, Q., Wang, C., Wu, Z., &amp; Liu, Y. (2024). Mitigating entity-level hallucination in large language models. In Proceedings of the 2024 Annual International ACM SIGIR Conference on Research and Development in Information Retrieval in the Asia Pacific Region (SIGIR-AP '24) (pp. 23-31). ACM. https://doi.org/10.1145/3673791.3698403</t>
  </si>
  <si>
    <t>Tam, Z. R., Wu, C.-K., Tsai, Y.-L., Lin, C.-Y., Lee, H.-y., &amp; Chen, Y.-N. (2024). Let me speak freely? A study on the impact of format restrictions on large language model performance. In Proceedings of the 2024 Conference on Empirical Methods in Natural Language Processing: Industry Track (pp. 1218-1236). ACL. https://doi.org/10.18653/v1/2024.emnlp-industry.91</t>
  </si>
  <si>
    <t>Thorne, J., &amp; Vlachos, A. (2021). Evidence-based factual error correction. In Proceedings of the 59th Annual Meeting of the ACL and the 11th IJCNLP (Volume 1: Long Papers) (pp. 3298-3309). ACL. https://doi.org/10.18653/v1/2021.acl-long.256</t>
  </si>
  <si>
    <t>Tyen, G., Mansoor, H., Carbune, V., Chen, P., &amp; Mak, T. (2024). LLMs cannot find reasoning errors, but can correct them given the error location. In Findings of the Association for Computational Linguistics: ACL 2024 (pp. 13894-13908). ACL. https://doi.org/10.18653/v1/2024.findings-acl.826</t>
  </si>
  <si>
    <t>Wang, T., Li, S., &amp; Lu, W. (2024). Self-training with direct preference optimization improves chain-of-thought reasoning. In Proceedings of the 62nd Annual Meeting of the Association for Computational Linguistics (Volume 1: Long Papers) (pp. 11917-11928). ACL. https://doi.org/10.18653/v1/2024.acl-long.643</t>
  </si>
  <si>
    <t>Weyssow, M., Zhou, X., Kim, K., Lo, D., &amp; Sahraoui, H. (2025). Exploring parameter-efficient fine-tuning techniques for code generation with large language models. ACM Transactions on Software Engineering and Methodology, 34(7), 1-25. https://doi.org/10.1145/3714461</t>
  </si>
  <si>
    <t>Woesle, C., Fischer-Brandies, L., &amp; Buettner, R. (2025). A systematic literature review of hallucinations in large language models. IEEE Access, 13, 148231-148253. https://doi.org/10.1109/ACCESS.2025.3601206</t>
  </si>
  <si>
    <t>Xiong, S., He, Z., He, Z., Zhao, Y., Pan, C., Zhang, J., Song, S., &amp; Li, Y. (2025). TableZoomer: A collaborative agent framework for large-scale table question answering. Vicinagearth, 2(1), Article 11. https://doi.org/10.1007/s44336-025-00016-x</t>
  </si>
  <si>
    <t>Ye, X., Chen, Q., Dillig, I., &amp; Durrett, G. (2023). SatLM: Satisfiability-aided language models using declarative prompting. In Advances in Neural Information Processing Systems 36 (NeurIPS 2023).</t>
  </si>
  <si>
    <t>Yuan, Z., Wang, K., Zhu, S., Yuan, Y., Zhou, J., Zhu, Y., &amp; Wei, W. (2025). FinLLMs: A framework for financial reasoning dataset generation with large language models. IEEE Transactions on Big Data, 11(5), 2264-2277. https://doi.org/10.1109/TBDATA.2024.3524083</t>
  </si>
  <si>
    <t>Zelikman, E., Wu, Y., Mu, J., &amp; Goodman, N. D. (2022). STaR: Bootstrapping reasoning with reasoning. In Advances in Neural Information Processing Systems 35 (NeurIPS 2022).</t>
  </si>
  <si>
    <t>Zhang, D., Zhoubian, S., Hu, Z., Yue, Y., Dong, Y., &amp; Tang, J. (2024). ReST-MCTS*: LLM self-training via process reward guided tree search. In Advances in Neural Information Processing Systems 37 (NeurIPS 2024).</t>
  </si>
  <si>
    <t>Zhao, J. X., Xie, Y., Kawaguchi, K., He, J., &amp; Xie, M. Q. (2023a). Automatic model selection with large language models for reasoning. In Findings of the Association for Computational Linguistics: EMNLP 2023 (pp. 758-783). ACL. https://doi.org/10.18653/v1/2023.findings-emnlp.55</t>
  </si>
  <si>
    <t>Zhao, R., Li, X., Joty, S., Qin, C., &amp; Bing, L. (2023b). Verify-and-edit: A knowledge-enhanced chain-of-thought framework. In Proceedings of the 61st Annual Meeting of the Association for Computational Linguistics (Volume 1: Long Papers) (pp. 5823-5840). ACL. https://doi.org/10.18653/v1/2023.acl-long.320</t>
  </si>
  <si>
    <t>Zhao, Y., Li, Y., Li, C., &amp; Zhang, R. (2022). MultiHiertt: Numerical reasoning over multi hierarchical tabular and textual data. In Proceedings of the 60th Annual Meeting of the Association for Computational Linguistics (Volume 1: Long Papers) (pp. 6588-6600). ACL. https://doi.org/10.18653/v1/2022.acl-long.454</t>
  </si>
  <si>
    <t>Zhao, Y., Liu, H., Long, Y., Zhang, R., Zhao, C., &amp; Cohan, A. (2024). FinanceMATH: Knowledge-intensive math reasoning in finance domains. In Proceedings of the 62nd Annual Meeting of the Association for Computational Linguistics (Volume 1: Long Papers) (pp. 12841-12858). ACL. https://doi.org/10.18653/v1/2024.acl-long.693</t>
  </si>
  <si>
    <t>Zhou, Y., &amp; Chen, Y. (2025). Adaptive heterogeneous multi-agent debate for enhanced educational and factual reasoning in large language models. Journal of King Saud University - Computer and Information Sciences, 37(10), Article 330. https://doi.org/10.1007/s44443-025-00353-3</t>
  </si>
  <si>
    <t>Zhu, F., Lei, W., Huang, Y., Wang, C., Zhang, S., Lv, J., Feng, F., &amp; Chua, T.-S. (2021). TAT-QA: A question answering benchmark on a hybrid of tabular and textual content in finance. In Proceedings of the 59th Annual Meeting of the ACL and the 11th IJCNLP (Volume 1: Long Papers) (pp. 3277-3287). ACL. https://doi.org/10.18653/v1/2021.acl-long.254</t>
  </si>
  <si>
    <t>Zhu, F., Li, M., Xiao, J., Feng, F., Wang, C., &amp; Chua, T. S. (2023). SoarGraph: Numerical reasoning over financial table-text data via semantic-oriented hierarchical graphs. In Companion Proceedings of the ACM Web Conference 2023 (WWW '23 Companion) (pp. 1236-1244). ACM. https://doi.org/10.1145/3543873.3587598</t>
  </si>
  <si>
    <t>Zhu, F., Liu, Z., Feng, F., Wang, C., Li, M., &amp; Chua, T. S. (2024a). TAT-LLM: A specialized language model for discrete reasoning over financial tabular and textual data. In Proceedings of the 5th ACM International Conference on AI in Finance (ICAIF '24) (pp. 310-318). ACM. https://doi.org/10.1145/3677052.3698685</t>
  </si>
  <si>
    <t>Zhu, X., Li, J., Liu, Y., Ma, C., &amp; Wang, W. (2024b). Distilling mathematical reasoning capabilities into small language models. Neural Networks, 179, 106594. https://doi.org/10.1016/j.neunet.2024.106594</t>
  </si>
  <si>
    <t>Zhu, X., Qi, B., Zhang, K., Long, X., Lin, Z., &amp; Zhou, B. (2024c). PaD: Program-aided distillation can teach small models reasoning better than chain-of-thought fine-tuning. In Proceedings of the 2024 Conference of the North American Chapter of the ACL: Human Language Technologies (Volume 1: Long Papers) (pp. 2571-2597). ACL. https://doi.org/10.18653/v1/2024.naacl-long.142</t>
  </si>
  <si>
    <t>Zhu, Y., Li, Y., Li, L., Hu, D., Hao, X., Chen, D., Zhang, X., Zhang, Z., Zhou, Y., Litvak, M., &amp; Vanetik, N. (2025). Improving factual error correction for abstractive summarization via data distillation and conditional-generation cloze. IEEE/ACM Transactions on Audio, Speech, and Language Processing, 33, 2021-2031. https://doi.org/10.1109/TASLPRO.2025.3567744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</si>
</sst>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b/>
      <sz val="14"/>
      <color rgb="FF1C4F8B"/>
      <name val="Arial"/>
    </font>
    <font>
      <sz val="9"/>
      <color rgb="FF6B727C"/>
      <name val="Arial"/>
    </font>
    <font>
      <b/>
      <sz val="10"/>
      <color rgb="FFFFFFFF"/>
      <name val="Arial"/>
    </font>
    <font>
      <sz val="9"/>
      <name val="Arial"/>
    </font>
    <font>
      <b/>
      <sz val="10"/>
      <name val="Arial"/>
    </font>
    <font>
      <b/>
      <sz val="9"/>
      <name val="Arial"/>
    </font>
    <font>
      <sz val="10"/>
      <name val="Arial"/>
    </font>
    <font>
      <b/>
      <sz val="18"/>
      <color rgb="FF1C4F8B"/>
      <name val="Arial"/>
    </font>
    <font>
      <sz val="10"/>
      <color rgb="FF6B727C"/>
      <name val="Arial"/>
    </font>
  </fonts>
  <fills count="6">
    <fill>
      <patternFill patternType="none"/>
    </fill>
    <fill>
      <patternFill patternType="gray125"/>
    </fill>
    <fill>
      <patternFill patternType="solid">
        <fgColor rgb="FF1C4F8B"/>
      </patternFill>
    </fill>
    <fill>
      <patternFill patternType="solid">
        <fgColor rgb="FFFFFDE7"/>
      </patternFill>
    </fill>
    <fill>
      <patternFill patternType="solid">
        <fgColor rgb="FF275D95"/>
      </patternFill>
    </fill>
    <fill>
      <patternFill patternType="solid">
        <fgColor rgb="FFE2F0D9"/>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28">
    <xf numFmtId="0" fontId="0" fillId="0" borderId="0" xfId="0"/>
    <xf numFmtId="0" fontId="8" fillId="0" borderId="0" xfId="0" applyFont="1"/>
    <xf numFmtId="0" fontId="9" fillId="0" borderId="0" xfId="0" applyFont="1"/>
    <xf numFmtId="0" fontId="3" fillId="2" borderId="1" xfId="0" applyFont="1" applyFill="1" applyBorder="1" applyAlignment="1">
      <alignment horizontal="left" vertical="center" wrapText="1"/>
    </xf>
    <xf numFmtId="0" fontId="7" fillId="0" borderId="1" xfId="0" applyFont="1" applyBorder="1" applyAlignment="1">
      <alignment vertical="top" wrapText="1"/>
    </xf>
    <xf numFmtId="0" fontId="5" fillId="0" borderId="0" xfId="0" applyFont="1"/>
    <xf numFmtId="0" fontId="7" fillId="3" borderId="1" xfId="0" applyFont="1" applyFill="1" applyBorder="1"/>
    <xf numFmtId="0" fontId="7" fillId="0" borderId="1" xfId="0" applyFont="1" applyBorder="1"/>
    <xf numFmtId="0" fontId="7" fillId="5" borderId="1" xfId="0" applyFont="1" applyFill="1" applyBorder="1"/>
    <xf numFmtId="0" fontId="7" fillId="0" borderId="0" xfId="0" applyFont="1"/>
    <xf numFmtId="0" fontId="1" fillId="0" borderId="0" xfId="0" applyFont="1"/>
    <xf numFmtId="0" fontId="4" fillId="3" borderId="1" xfId="0" applyFont="1" applyFill="1" applyBorder="1" applyAlignment="1">
      <alignment horizontal="center" vertical="top" wrapText="1"/>
    </xf>
    <xf numFmtId="0" fontId="4" fillId="3" borderId="1" xfId="0" applyFont="1" applyFill="1" applyBorder="1" applyAlignment="1">
      <alignment vertical="top" wrapText="1"/>
    </xf>
    <xf numFmtId="0" fontId="5" fillId="0" borderId="0" xfId="0" applyFont="1" applyAlignment="1">
      <alignment horizontal="center"/>
    </xf>
    <xf numFmtId="0" fontId="6" fillId="0" borderId="1" xfId="0" applyFont="1" applyBorder="1" applyAlignment="1">
      <alignment horizontal="center" vertical="top" wrapText="1"/>
    </xf>
    <xf numFmtId="0" fontId="6" fillId="3" borderId="1" xfId="0" applyFont="1" applyFill="1" applyBorder="1" applyAlignment="1">
      <alignment horizontal="center" vertical="top" wrapText="1"/>
    </xf>
    <xf numFmtId="0" fontId="3" fillId="4" borderId="1" xfId="0" applyFont="1" applyFill="1" applyBorder="1" applyAlignment="1">
      <alignment horizontal="left" vertical="center" wrapText="1"/>
    </xf>
    <xf numFmtId="0" fontId="2" fillId="0" borderId="0" xfId="0" applyFont="1"/>
    <xf numFmtId="0" fontId="5" fillId="0" borderId="1" xfId="0" applyFont="1" applyBorder="1" applyAlignment="1">
      <alignment horizontal="center" vertical="top"/>
    </xf>
    <xf numFmtId="0" fontId="2" fillId="0" borderId="1" xfId="0" applyFont="1" applyBorder="1" applyAlignment="1">
      <alignment vertical="top" wrapText="1"/>
    </xf>
    <xf numFmtId="0" fontId="5" fillId="0" borderId="1" xfId="0" applyFont="1" applyBorder="1" applyAlignment="1">
      <alignment horizontal="center"/>
    </xf>
    <xf numFmtId="0" fontId="7" fillId="0" borderId="1" xfId="0" applyFont="1" applyBorder="1" applyAlignment="1">
      <alignment horizontal="center"/>
    </xf>
    <xf numFmtId="0" fontId="4" fillId="0" borderId="1" xfId="0" applyFont="1" applyBorder="1" applyAlignment="1">
      <alignment horizontal="center" vertical="top" wrapText="1"/>
    </xf>
    <xf numFmtId="0" fontId="4" fillId="0" borderId="1" xfId="0" applyFont="1" applyBorder="1" applyAlignment="1">
      <alignment vertical="top" wrapText="1"/>
    </xf>
    <xf numFmtId="0" fontId="7" fillId="0" borderId="0" xfId="0" applyFont="1" applyAlignment="1">
      <alignment vertical="top" wrapText="1"/>
    </xf>
    <xf numFmtId="0" fontId="0" fillId="0" borderId="0" xfId="0"/>
    <xf numFmtId="0" fontId="5" fillId="0" borderId="0" xfId="0" applyFont="1" applyAlignment="1">
      <alignment vertical="top" wrapText="1"/>
    </xf>
    <xf numFmtId="0" fontId="2" fillId="0" borderId="0" xfId="0" applyFont="1" applyAlignment="1">
      <alignment vertical="top" wrapText="1"/>
    </xf>
  </cellXfs>
  <cellStyles count="1">
    <cellStyle name="Normal" xfId="0" builtinId="0"/>
  </cellStyles>
  <dxfs count="1">
    <dxf>
      <fill>
        <patternFill patternType="solid">
          <fgColor rgb="FFE2F0D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D62"/>
  <sheetViews>
    <sheetView tabSelected="1" workbookViewId="0"/>
  </sheetViews>
  <sheetFormatPr defaultRowHeight="14.5" x14ac:dyDescent="0.35"/>
  <cols>
    <col min="1" max="1" width="4" customWidth="1"/>
    <col min="2" max="2" width="30" customWidth="1"/>
    <col min="3" max="3" width="80" customWidth="1"/>
    <col min="4" max="4" width="26" customWidth="1"/>
  </cols>
  <sheetData>
    <row r="2" spans="2:4" ht="23" customHeight="1" x14ac:dyDescent="0.5">
      <c r="B2" s="1" t="s">
        <v>0</v>
      </c>
    </row>
    <row r="3" spans="2:4" x14ac:dyDescent="0.35">
      <c r="B3" s="2" t="s">
        <v>1</v>
      </c>
    </row>
    <row r="4" spans="2:4" ht="44" customHeight="1" x14ac:dyDescent="0.35">
      <c r="B4" s="24" t="s">
        <v>2</v>
      </c>
      <c r="C4" s="25"/>
      <c r="D4" s="25"/>
    </row>
    <row r="5" spans="2:4" ht="30" customHeight="1" x14ac:dyDescent="0.35">
      <c r="B5" s="26" t="s">
        <v>3</v>
      </c>
      <c r="C5" s="25"/>
      <c r="D5" s="25"/>
    </row>
    <row r="6" spans="2:4" x14ac:dyDescent="0.35">
      <c r="B6" s="3" t="s">
        <v>4</v>
      </c>
      <c r="C6" s="3" t="s">
        <v>5</v>
      </c>
      <c r="D6" s="3" t="s">
        <v>6</v>
      </c>
    </row>
    <row r="7" spans="2:4" ht="30" customHeight="1" x14ac:dyDescent="0.35">
      <c r="B7" s="4" t="s">
        <v>7</v>
      </c>
      <c r="C7" s="4" t="s">
        <v>8</v>
      </c>
      <c r="D7" s="4" t="s">
        <v>9</v>
      </c>
    </row>
    <row r="8" spans="2:4" ht="30" customHeight="1" x14ac:dyDescent="0.35">
      <c r="B8" s="4" t="s">
        <v>10</v>
      </c>
      <c r="C8" s="4" t="s">
        <v>11</v>
      </c>
      <c r="D8" s="4" t="s">
        <v>12</v>
      </c>
    </row>
    <row r="9" spans="2:4" ht="30" customHeight="1" x14ac:dyDescent="0.35">
      <c r="B9" s="4" t="s">
        <v>13</v>
      </c>
      <c r="C9" s="4" t="s">
        <v>14</v>
      </c>
      <c r="D9" s="4" t="s">
        <v>15</v>
      </c>
    </row>
    <row r="10" spans="2:4" ht="30" customHeight="1" x14ac:dyDescent="0.35">
      <c r="B10" s="4" t="s">
        <v>9</v>
      </c>
      <c r="C10" s="4" t="s">
        <v>16</v>
      </c>
      <c r="D10" s="4" t="s">
        <v>17</v>
      </c>
    </row>
    <row r="11" spans="2:4" ht="30" customHeight="1" x14ac:dyDescent="0.35">
      <c r="B11" s="4" t="s">
        <v>18</v>
      </c>
      <c r="C11" s="4" t="s">
        <v>19</v>
      </c>
      <c r="D11" s="4" t="s">
        <v>20</v>
      </c>
    </row>
    <row r="12" spans="2:4" ht="30" customHeight="1" x14ac:dyDescent="0.35">
      <c r="B12" s="4" t="s">
        <v>21</v>
      </c>
      <c r="C12" s="4" t="s">
        <v>22</v>
      </c>
      <c r="D12" s="4" t="s">
        <v>23</v>
      </c>
    </row>
    <row r="13" spans="2:4" ht="30" customHeight="1" x14ac:dyDescent="0.35">
      <c r="B13" s="4" t="s">
        <v>24</v>
      </c>
      <c r="C13" s="4" t="s">
        <v>25</v>
      </c>
      <c r="D13" s="4" t="s">
        <v>26</v>
      </c>
    </row>
    <row r="15" spans="2:4" x14ac:dyDescent="0.35">
      <c r="B15" s="5" t="s">
        <v>27</v>
      </c>
    </row>
    <row r="16" spans="2:4" x14ac:dyDescent="0.35">
      <c r="B16" s="6" t="s">
        <v>28</v>
      </c>
    </row>
    <row r="17" spans="2:4" x14ac:dyDescent="0.35">
      <c r="B17" s="7" t="s">
        <v>29</v>
      </c>
    </row>
    <row r="18" spans="2:4" x14ac:dyDescent="0.35">
      <c r="B18" s="8" t="s">
        <v>30</v>
      </c>
    </row>
    <row r="20" spans="2:4" ht="34" customHeight="1" x14ac:dyDescent="0.35">
      <c r="B20" s="26" t="str">
        <f>"Completed bounded review: "&amp;'04 PRISMA counts'!C11&amp;" unique records screened from "&amp;'04 PRISMA counts'!C7&amp;" database hits ("&amp;'04 PRISMA counts'!C9&amp;" exported), "&amp;'04 PRISMA counts'!C16&amp;" included from databases and "&amp;'04 PRISMA counts'!C20&amp;" by citation chasing: "&amp;'04 PRISMA counts'!C21&amp;" studies in total."</f>
        <v>Completed bounded review: 194 unique records screened from 6496 database hits (197 exported), 55 included from databases and 9 by citation chasing: 64 studies in total.</v>
      </c>
      <c r="C20" s="25"/>
      <c r="D20" s="25"/>
    </row>
    <row r="22" spans="2:4" x14ac:dyDescent="0.35">
      <c r="B22" s="5" t="s">
        <v>31</v>
      </c>
    </row>
    <row r="23" spans="2:4" ht="32" customHeight="1" x14ac:dyDescent="0.35">
      <c r="B23" s="24" t="s">
        <v>32</v>
      </c>
      <c r="C23" s="25"/>
      <c r="D23" s="25"/>
    </row>
    <row r="25" spans="2:4" x14ac:dyDescent="0.35">
      <c r="B25" s="5" t="s">
        <v>33</v>
      </c>
    </row>
    <row r="26" spans="2:4" x14ac:dyDescent="0.35">
      <c r="B26" s="5" t="s">
        <v>34</v>
      </c>
    </row>
    <row r="27" spans="2:4" ht="28" customHeight="1" x14ac:dyDescent="0.35">
      <c r="B27" s="24" t="s">
        <v>35</v>
      </c>
      <c r="C27" s="25"/>
      <c r="D27" s="25"/>
    </row>
    <row r="28" spans="2:4" ht="28" customHeight="1" x14ac:dyDescent="0.35">
      <c r="B28" s="24" t="s">
        <v>36</v>
      </c>
      <c r="C28" s="25"/>
      <c r="D28" s="25"/>
    </row>
    <row r="29" spans="2:4" ht="28" customHeight="1" x14ac:dyDescent="0.35">
      <c r="B29" s="24" t="s">
        <v>37</v>
      </c>
      <c r="C29" s="25"/>
      <c r="D29" s="25"/>
    </row>
    <row r="30" spans="2:4" ht="28" customHeight="1" x14ac:dyDescent="0.35">
      <c r="B30" s="24" t="s">
        <v>38</v>
      </c>
      <c r="C30" s="25"/>
      <c r="D30" s="25"/>
    </row>
    <row r="31" spans="2:4" ht="28" customHeight="1" x14ac:dyDescent="0.35">
      <c r="B31" s="24" t="s">
        <v>39</v>
      </c>
      <c r="C31" s="25"/>
      <c r="D31" s="25"/>
    </row>
    <row r="32" spans="2:4" ht="58" customHeight="1" x14ac:dyDescent="0.35">
      <c r="B32" s="24" t="s">
        <v>40</v>
      </c>
      <c r="C32" s="25"/>
      <c r="D32" s="25"/>
    </row>
    <row r="33" spans="2:4" ht="58" customHeight="1" x14ac:dyDescent="0.35">
      <c r="B33" s="24" t="s">
        <v>41</v>
      </c>
      <c r="C33" s="25"/>
      <c r="D33" s="25"/>
    </row>
    <row r="35" spans="2:4" x14ac:dyDescent="0.35">
      <c r="B35" s="5" t="s">
        <v>42</v>
      </c>
    </row>
    <row r="36" spans="2:4" ht="30" customHeight="1" x14ac:dyDescent="0.35">
      <c r="B36" s="24" t="s">
        <v>43</v>
      </c>
      <c r="C36" s="25"/>
      <c r="D36" s="25"/>
    </row>
    <row r="37" spans="2:4" ht="30" customHeight="1" x14ac:dyDescent="0.35">
      <c r="B37" s="24" t="s">
        <v>44</v>
      </c>
      <c r="C37" s="25"/>
      <c r="D37" s="25"/>
    </row>
    <row r="38" spans="2:4" ht="30" customHeight="1" x14ac:dyDescent="0.35">
      <c r="B38" s="24" t="s">
        <v>45</v>
      </c>
      <c r="C38" s="25"/>
      <c r="D38" s="25"/>
    </row>
    <row r="39" spans="2:4" ht="30" customHeight="1" x14ac:dyDescent="0.35">
      <c r="B39" s="24" t="s">
        <v>46</v>
      </c>
      <c r="C39" s="25"/>
      <c r="D39" s="25"/>
    </row>
    <row r="40" spans="2:4" ht="30" customHeight="1" x14ac:dyDescent="0.35">
      <c r="B40" s="24" t="s">
        <v>47</v>
      </c>
      <c r="C40" s="25"/>
      <c r="D40" s="25"/>
    </row>
    <row r="42" spans="2:4" x14ac:dyDescent="0.35">
      <c r="B42" s="5" t="s">
        <v>48</v>
      </c>
    </row>
    <row r="43" spans="2:4" x14ac:dyDescent="0.35">
      <c r="B43" s="9" t="s">
        <v>49</v>
      </c>
    </row>
    <row r="44" spans="2:4" x14ac:dyDescent="0.35">
      <c r="B44" s="9" t="s">
        <v>50</v>
      </c>
    </row>
    <row r="45" spans="2:4" x14ac:dyDescent="0.35">
      <c r="B45" s="9" t="s">
        <v>51</v>
      </c>
    </row>
    <row r="46" spans="2:4" x14ac:dyDescent="0.35">
      <c r="B46" s="9" t="s">
        <v>52</v>
      </c>
    </row>
    <row r="47" spans="2:4" x14ac:dyDescent="0.35">
      <c r="B47" s="9" t="s">
        <v>53</v>
      </c>
    </row>
    <row r="48" spans="2:4" x14ac:dyDescent="0.35">
      <c r="B48" s="9" t="s">
        <v>54</v>
      </c>
    </row>
    <row r="50" spans="2:4" x14ac:dyDescent="0.35">
      <c r="B50" s="5" t="s">
        <v>55</v>
      </c>
    </row>
    <row r="51" spans="2:4" ht="32" customHeight="1" x14ac:dyDescent="0.35">
      <c r="B51" s="24" t="s">
        <v>56</v>
      </c>
      <c r="C51" s="25"/>
      <c r="D51" s="25"/>
    </row>
    <row r="52" spans="2:4" ht="32" customHeight="1" x14ac:dyDescent="0.35">
      <c r="B52" s="24" t="s">
        <v>57</v>
      </c>
      <c r="C52" s="25"/>
      <c r="D52" s="25"/>
    </row>
    <row r="53" spans="2:4" ht="32" customHeight="1" x14ac:dyDescent="0.35">
      <c r="B53" s="24" t="s">
        <v>58</v>
      </c>
      <c r="C53" s="25"/>
      <c r="D53" s="25"/>
    </row>
    <row r="54" spans="2:4" ht="32" customHeight="1" x14ac:dyDescent="0.35">
      <c r="B54" s="24" t="s">
        <v>59</v>
      </c>
      <c r="C54" s="25"/>
      <c r="D54" s="25"/>
    </row>
    <row r="55" spans="2:4" ht="32" customHeight="1" x14ac:dyDescent="0.35">
      <c r="B55" s="24" t="s">
        <v>60</v>
      </c>
      <c r="C55" s="25"/>
      <c r="D55" s="25"/>
    </row>
    <row r="56" spans="2:4" ht="32" customHeight="1" x14ac:dyDescent="0.35">
      <c r="B56" s="24" t="s">
        <v>61</v>
      </c>
      <c r="C56" s="25"/>
      <c r="D56" s="25"/>
    </row>
    <row r="58" spans="2:4" x14ac:dyDescent="0.35">
      <c r="B58" s="5" t="s">
        <v>62</v>
      </c>
    </row>
    <row r="59" spans="2:4" ht="58" customHeight="1" x14ac:dyDescent="0.35">
      <c r="B59" s="24" t="s">
        <v>63</v>
      </c>
      <c r="C59" s="25"/>
      <c r="D59" s="25"/>
    </row>
    <row r="60" spans="2:4" ht="31" customHeight="1" x14ac:dyDescent="0.35">
      <c r="B60" s="24" t="s">
        <v>64</v>
      </c>
      <c r="C60" s="25"/>
      <c r="D60" s="25"/>
    </row>
    <row r="61" spans="2:4" ht="44.5" customHeight="1" x14ac:dyDescent="0.35">
      <c r="B61" s="24" t="s">
        <v>65</v>
      </c>
      <c r="C61" s="25"/>
      <c r="D61" s="25"/>
    </row>
    <row r="62" spans="2:4" ht="71.5" customHeight="1" x14ac:dyDescent="0.35">
      <c r="B62" s="24" t="s">
        <v>66</v>
      </c>
      <c r="C62" s="25"/>
      <c r="D62" s="25"/>
    </row>
  </sheetData>
  <mergeCells count="26">
    <mergeCell ref="B4:D4"/>
    <mergeCell ref="B62:D62"/>
    <mergeCell ref="B54:D54"/>
    <mergeCell ref="B59:D59"/>
    <mergeCell ref="B31:D31"/>
    <mergeCell ref="B27:D27"/>
    <mergeCell ref="B56:D56"/>
    <mergeCell ref="B52:D52"/>
    <mergeCell ref="B39:D39"/>
    <mergeCell ref="B20:D20"/>
    <mergeCell ref="B33:D33"/>
    <mergeCell ref="B36:D36"/>
    <mergeCell ref="B5:D5"/>
    <mergeCell ref="B32:D32"/>
    <mergeCell ref="B60:D60"/>
    <mergeCell ref="B23:D23"/>
    <mergeCell ref="B61:D61"/>
    <mergeCell ref="B53:D53"/>
    <mergeCell ref="B29:D29"/>
    <mergeCell ref="B38:D38"/>
    <mergeCell ref="B28:D28"/>
    <mergeCell ref="B37:D37"/>
    <mergeCell ref="B40:D40"/>
    <mergeCell ref="B30:D30"/>
    <mergeCell ref="B55:D55"/>
    <mergeCell ref="B51:D5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4"/>
  <sheetViews>
    <sheetView workbookViewId="0">
      <pane ySplit="4" topLeftCell="A5" activePane="bottomLeft" state="frozen"/>
      <selection pane="bottomLeft"/>
    </sheetView>
  </sheetViews>
  <sheetFormatPr defaultRowHeight="14.5" x14ac:dyDescent="0.35"/>
  <cols>
    <col min="1" max="1" width="8" customWidth="1"/>
    <col min="2" max="2" width="20" customWidth="1"/>
    <col min="3" max="3" width="52" customWidth="1"/>
    <col min="4" max="4" width="14" customWidth="1"/>
    <col min="5" max="5" width="12" customWidth="1"/>
    <col min="6" max="6" width="14" customWidth="1"/>
    <col min="7" max="7" width="40" customWidth="1"/>
  </cols>
  <sheetData>
    <row r="1" spans="1:7" ht="18" customHeight="1" x14ac:dyDescent="0.4">
      <c r="A1" s="10" t="s">
        <v>67</v>
      </c>
    </row>
    <row r="2" spans="1:7" ht="52" customHeight="1" x14ac:dyDescent="0.35">
      <c r="A2" s="27" t="s">
        <v>68</v>
      </c>
      <c r="B2" s="25"/>
      <c r="C2" s="25"/>
      <c r="D2" s="25"/>
      <c r="E2" s="25"/>
      <c r="F2" s="25"/>
      <c r="G2" s="25"/>
    </row>
    <row r="4" spans="1:7" ht="30" customHeight="1" x14ac:dyDescent="0.35">
      <c r="A4" s="3" t="s">
        <v>69</v>
      </c>
      <c r="B4" s="3" t="s">
        <v>70</v>
      </c>
      <c r="C4" s="3" t="s">
        <v>71</v>
      </c>
      <c r="D4" s="3" t="s">
        <v>72</v>
      </c>
      <c r="E4" s="3" t="s">
        <v>73</v>
      </c>
      <c r="F4" s="3" t="s">
        <v>74</v>
      </c>
      <c r="G4" s="3" t="s">
        <v>75</v>
      </c>
    </row>
    <row r="6" spans="1:7" ht="29" customHeight="1" x14ac:dyDescent="0.35">
      <c r="A6" s="11" t="s">
        <v>76</v>
      </c>
      <c r="B6" s="12" t="s">
        <v>77</v>
      </c>
      <c r="C6" s="12" t="s">
        <v>78</v>
      </c>
      <c r="D6" s="11" t="s">
        <v>79</v>
      </c>
      <c r="E6" s="11">
        <v>432</v>
      </c>
      <c r="F6" s="11">
        <v>25</v>
      </c>
      <c r="G6" s="12" t="s">
        <v>80</v>
      </c>
    </row>
    <row r="7" spans="1:7" ht="28" customHeight="1" x14ac:dyDescent="0.35">
      <c r="A7" s="11" t="s">
        <v>81</v>
      </c>
      <c r="B7" s="12" t="s">
        <v>77</v>
      </c>
      <c r="C7" s="12" t="s">
        <v>82</v>
      </c>
      <c r="D7" s="11" t="s">
        <v>79</v>
      </c>
      <c r="E7" s="11">
        <v>22</v>
      </c>
      <c r="F7" s="11">
        <v>22</v>
      </c>
      <c r="G7" s="12" t="s">
        <v>80</v>
      </c>
    </row>
    <row r="8" spans="1:7" ht="28" customHeight="1" x14ac:dyDescent="0.35">
      <c r="A8" s="11" t="s">
        <v>83</v>
      </c>
      <c r="B8" s="12" t="s">
        <v>77</v>
      </c>
      <c r="C8" s="12" t="s">
        <v>84</v>
      </c>
      <c r="D8" s="11" t="s">
        <v>79</v>
      </c>
      <c r="E8" s="11">
        <v>1015</v>
      </c>
      <c r="F8" s="11">
        <v>25</v>
      </c>
      <c r="G8" s="12" t="s">
        <v>80</v>
      </c>
    </row>
    <row r="9" spans="1:7" ht="29" customHeight="1" x14ac:dyDescent="0.35">
      <c r="A9" s="11" t="s">
        <v>85</v>
      </c>
      <c r="B9" s="12" t="s">
        <v>77</v>
      </c>
      <c r="C9" s="12" t="s">
        <v>86</v>
      </c>
      <c r="D9" s="11" t="s">
        <v>79</v>
      </c>
      <c r="E9" s="11">
        <v>123</v>
      </c>
      <c r="F9" s="11">
        <v>25</v>
      </c>
      <c r="G9" s="12" t="s">
        <v>80</v>
      </c>
    </row>
    <row r="10" spans="1:7" ht="29" customHeight="1" x14ac:dyDescent="0.35">
      <c r="A10" s="11" t="s">
        <v>87</v>
      </c>
      <c r="B10" s="12" t="s">
        <v>77</v>
      </c>
      <c r="C10" s="12" t="s">
        <v>88</v>
      </c>
      <c r="D10" s="11" t="s">
        <v>79</v>
      </c>
      <c r="E10" s="11">
        <v>50</v>
      </c>
      <c r="F10" s="11">
        <v>25</v>
      </c>
      <c r="G10" s="12" t="s">
        <v>80</v>
      </c>
    </row>
    <row r="11" spans="1:7" ht="29" customHeight="1" x14ac:dyDescent="0.35">
      <c r="A11" s="11" t="s">
        <v>89</v>
      </c>
      <c r="B11" s="12" t="s">
        <v>77</v>
      </c>
      <c r="C11" s="12" t="s">
        <v>90</v>
      </c>
      <c r="D11" s="11" t="s">
        <v>79</v>
      </c>
      <c r="E11" s="11">
        <v>225</v>
      </c>
      <c r="F11" s="11">
        <v>25</v>
      </c>
      <c r="G11" s="12" t="s">
        <v>80</v>
      </c>
    </row>
    <row r="12" spans="1:7" ht="29" customHeight="1" x14ac:dyDescent="0.35">
      <c r="A12" s="11" t="s">
        <v>91</v>
      </c>
      <c r="B12" s="12" t="s">
        <v>77</v>
      </c>
      <c r="C12" s="12" t="s">
        <v>92</v>
      </c>
      <c r="D12" s="11" t="s">
        <v>79</v>
      </c>
      <c r="E12" s="11">
        <v>3462</v>
      </c>
      <c r="F12" s="11">
        <v>25</v>
      </c>
      <c r="G12" s="12" t="s">
        <v>80</v>
      </c>
    </row>
    <row r="13" spans="1:7" ht="41.5" customHeight="1" x14ac:dyDescent="0.35">
      <c r="A13" s="11" t="s">
        <v>93</v>
      </c>
      <c r="B13" s="12" t="s">
        <v>77</v>
      </c>
      <c r="C13" s="12" t="s">
        <v>94</v>
      </c>
      <c r="D13" s="11" t="s">
        <v>79</v>
      </c>
      <c r="E13" s="11">
        <v>1167</v>
      </c>
      <c r="F13" s="11">
        <v>25</v>
      </c>
      <c r="G13" s="12" t="s">
        <v>80</v>
      </c>
    </row>
    <row r="14" spans="1:7" x14ac:dyDescent="0.35">
      <c r="A14" s="12"/>
      <c r="B14" s="12"/>
      <c r="C14" s="12"/>
      <c r="D14" s="12"/>
      <c r="E14" s="12"/>
      <c r="F14" s="12"/>
      <c r="G14" s="12"/>
    </row>
    <row r="15" spans="1:7" x14ac:dyDescent="0.35">
      <c r="A15" s="12"/>
      <c r="B15" s="12"/>
      <c r="C15" s="12"/>
      <c r="D15" s="12"/>
      <c r="E15" s="12"/>
      <c r="F15" s="12"/>
      <c r="G15" s="12"/>
    </row>
    <row r="16" spans="1:7" x14ac:dyDescent="0.35">
      <c r="A16" s="12"/>
      <c r="B16" s="12"/>
      <c r="C16" s="12"/>
      <c r="D16" s="12"/>
      <c r="E16" s="12"/>
      <c r="F16" s="12"/>
      <c r="G16" s="12"/>
    </row>
    <row r="17" spans="1:7" x14ac:dyDescent="0.35">
      <c r="A17" s="12"/>
      <c r="B17" s="12"/>
      <c r="C17" s="12"/>
      <c r="D17" s="12"/>
      <c r="E17" s="12"/>
      <c r="F17" s="12"/>
      <c r="G17" s="12"/>
    </row>
    <row r="18" spans="1:7" x14ac:dyDescent="0.35">
      <c r="A18" s="12"/>
      <c r="B18" s="12"/>
      <c r="C18" s="12"/>
      <c r="D18" s="12"/>
      <c r="E18" s="12"/>
      <c r="F18" s="12"/>
      <c r="G18" s="12"/>
    </row>
    <row r="19" spans="1:7" x14ac:dyDescent="0.35">
      <c r="A19" s="12"/>
      <c r="B19" s="12"/>
      <c r="C19" s="12"/>
      <c r="D19" s="12"/>
      <c r="E19" s="12"/>
      <c r="F19" s="12"/>
      <c r="G19" s="12"/>
    </row>
    <row r="20" spans="1:7" x14ac:dyDescent="0.35">
      <c r="A20" s="12"/>
      <c r="B20" s="12"/>
      <c r="C20" s="12"/>
      <c r="D20" s="12"/>
      <c r="E20" s="12"/>
      <c r="F20" s="12"/>
      <c r="G20" s="12"/>
    </row>
    <row r="21" spans="1:7" x14ac:dyDescent="0.35">
      <c r="A21" s="12"/>
      <c r="B21" s="12"/>
      <c r="C21" s="12"/>
      <c r="D21" s="12"/>
      <c r="E21" s="12"/>
      <c r="F21" s="12"/>
      <c r="G21" s="12"/>
    </row>
    <row r="22" spans="1:7" x14ac:dyDescent="0.35">
      <c r="A22" s="12"/>
      <c r="B22" s="12"/>
      <c r="C22" s="12"/>
      <c r="D22" s="12"/>
      <c r="E22" s="12"/>
      <c r="F22" s="12"/>
      <c r="G22" s="12"/>
    </row>
    <row r="23" spans="1:7" x14ac:dyDescent="0.35">
      <c r="A23" s="12"/>
      <c r="B23" s="12"/>
      <c r="C23" s="12"/>
      <c r="D23" s="12"/>
      <c r="E23" s="12"/>
      <c r="F23" s="12"/>
      <c r="G23" s="12"/>
    </row>
    <row r="24" spans="1:7" x14ac:dyDescent="0.35">
      <c r="A24" s="12"/>
      <c r="B24" s="12"/>
      <c r="C24" s="12"/>
      <c r="D24" s="12"/>
      <c r="E24" s="12"/>
      <c r="F24" s="12"/>
      <c r="G24" s="12"/>
    </row>
    <row r="25" spans="1:7" x14ac:dyDescent="0.35">
      <c r="A25" s="12"/>
      <c r="B25" s="12"/>
      <c r="C25" s="12"/>
      <c r="D25" s="12"/>
      <c r="E25" s="12"/>
      <c r="F25" s="12"/>
      <c r="G25" s="12"/>
    </row>
    <row r="26" spans="1:7" x14ac:dyDescent="0.35">
      <c r="A26" s="12"/>
      <c r="B26" s="12"/>
      <c r="C26" s="12"/>
      <c r="D26" s="12"/>
      <c r="E26" s="12"/>
      <c r="F26" s="12"/>
      <c r="G26" s="12"/>
    </row>
    <row r="28" spans="1:7" x14ac:dyDescent="0.35">
      <c r="D28" s="5" t="s">
        <v>95</v>
      </c>
      <c r="E28" s="13">
        <f>SUM(E6:E26)</f>
        <v>6496</v>
      </c>
      <c r="F28" s="13">
        <f>SUM(F6:F26)</f>
        <v>197</v>
      </c>
    </row>
    <row r="30" spans="1:7" x14ac:dyDescent="0.35">
      <c r="A30" s="5" t="s">
        <v>96</v>
      </c>
    </row>
    <row r="31" spans="1:7" ht="30" customHeight="1" x14ac:dyDescent="0.35">
      <c r="A31" s="3" t="s">
        <v>69</v>
      </c>
      <c r="B31" s="3" t="s">
        <v>70</v>
      </c>
      <c r="C31" s="3" t="s">
        <v>71</v>
      </c>
      <c r="D31" s="3" t="s">
        <v>72</v>
      </c>
      <c r="E31" s="3" t="s">
        <v>73</v>
      </c>
      <c r="F31" s="3" t="s">
        <v>97</v>
      </c>
      <c r="G31" s="3" t="s">
        <v>98</v>
      </c>
    </row>
    <row r="32" spans="1:7" ht="66.5" customHeight="1" x14ac:dyDescent="0.35">
      <c r="A32" s="11" t="s">
        <v>99</v>
      </c>
      <c r="B32" s="12" t="s">
        <v>77</v>
      </c>
      <c r="C32" s="12" t="s">
        <v>100</v>
      </c>
      <c r="D32" s="11" t="s">
        <v>79</v>
      </c>
      <c r="E32" s="11">
        <v>337</v>
      </c>
      <c r="F32" s="11">
        <v>50</v>
      </c>
      <c r="G32" s="12" t="s">
        <v>101</v>
      </c>
    </row>
    <row r="33" spans="1:7" ht="54" customHeight="1" x14ac:dyDescent="0.35">
      <c r="A33" s="11" t="s">
        <v>102</v>
      </c>
      <c r="B33" s="12" t="s">
        <v>77</v>
      </c>
      <c r="C33" s="12" t="s">
        <v>103</v>
      </c>
      <c r="D33" s="11" t="s">
        <v>79</v>
      </c>
      <c r="E33" s="11">
        <v>102</v>
      </c>
      <c r="F33" s="11">
        <v>50</v>
      </c>
      <c r="G33" s="12" t="s">
        <v>104</v>
      </c>
    </row>
    <row r="34" spans="1:7" ht="54" customHeight="1" x14ac:dyDescent="0.35">
      <c r="A34" s="11" t="s">
        <v>105</v>
      </c>
      <c r="B34" s="12" t="s">
        <v>77</v>
      </c>
      <c r="C34" s="12" t="s">
        <v>106</v>
      </c>
      <c r="D34" s="11" t="s">
        <v>79</v>
      </c>
      <c r="E34" s="11">
        <v>36</v>
      </c>
      <c r="F34" s="11">
        <v>36</v>
      </c>
      <c r="G34" s="12" t="s">
        <v>104</v>
      </c>
    </row>
  </sheetData>
  <mergeCells count="1">
    <mergeCell ref="A2:G2"/>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228"/>
  <sheetViews>
    <sheetView workbookViewId="0">
      <pane xSplit="2" ySplit="4" topLeftCell="C5" activePane="bottomRight" state="frozen"/>
      <selection pane="topRight"/>
      <selection pane="bottomLeft"/>
      <selection pane="bottomRight"/>
    </sheetView>
  </sheetViews>
  <sheetFormatPr defaultRowHeight="14.5" x14ac:dyDescent="0.35"/>
  <cols>
    <col min="1" max="1" width="6" customWidth="1"/>
    <col min="2" max="2" width="40" customWidth="1"/>
    <col min="3" max="3" width="20" customWidth="1"/>
    <col min="4" max="4" width="8" customWidth="1"/>
    <col min="5" max="5" width="26" customWidth="1"/>
    <col min="6" max="6" width="18" customWidth="1"/>
    <col min="7" max="9" width="11" customWidth="1"/>
    <col min="10" max="10" width="22" customWidth="1"/>
    <col min="11" max="11" width="11" customWidth="1"/>
    <col min="12" max="12" width="15" customWidth="1"/>
    <col min="13" max="13" width="46" customWidth="1"/>
    <col min="14" max="14" width="14" customWidth="1"/>
    <col min="15" max="15" width="30" customWidth="1"/>
  </cols>
  <sheetData>
    <row r="1" spans="1:15" ht="18" customHeight="1" x14ac:dyDescent="0.4">
      <c r="A1" s="10" t="s">
        <v>107</v>
      </c>
    </row>
    <row r="2" spans="1:15" ht="30" customHeight="1" x14ac:dyDescent="0.35">
      <c r="A2" s="27" t="s">
        <v>108</v>
      </c>
      <c r="B2" s="25"/>
      <c r="C2" s="25"/>
      <c r="D2" s="25"/>
      <c r="E2" s="25"/>
      <c r="F2" s="25"/>
      <c r="G2" s="25"/>
      <c r="H2" s="25"/>
      <c r="I2" s="25"/>
      <c r="J2" s="25"/>
      <c r="K2" s="25"/>
      <c r="L2" s="25"/>
    </row>
    <row r="4" spans="1:15" ht="32" customHeight="1" x14ac:dyDescent="0.35">
      <c r="A4" s="3" t="s">
        <v>69</v>
      </c>
      <c r="B4" s="3" t="s">
        <v>109</v>
      </c>
      <c r="C4" s="3" t="s">
        <v>110</v>
      </c>
      <c r="D4" s="3" t="s">
        <v>111</v>
      </c>
      <c r="E4" s="3" t="s">
        <v>112</v>
      </c>
      <c r="F4" s="3" t="s">
        <v>113</v>
      </c>
      <c r="G4" s="3" t="s">
        <v>114</v>
      </c>
      <c r="H4" s="3" t="s">
        <v>115</v>
      </c>
      <c r="I4" s="3" t="s">
        <v>116</v>
      </c>
      <c r="J4" s="3" t="s">
        <v>117</v>
      </c>
      <c r="K4" s="3" t="s">
        <v>118</v>
      </c>
      <c r="L4" s="3" t="s">
        <v>119</v>
      </c>
      <c r="M4" s="3" t="s">
        <v>120</v>
      </c>
      <c r="N4" s="3" t="s">
        <v>121</v>
      </c>
      <c r="O4" s="3" t="s">
        <v>122</v>
      </c>
    </row>
    <row r="6" spans="1:15" ht="29" customHeight="1" x14ac:dyDescent="0.35">
      <c r="A6" s="11">
        <v>1</v>
      </c>
      <c r="B6" s="12" t="s">
        <v>123</v>
      </c>
      <c r="C6" s="12" t="s">
        <v>124</v>
      </c>
      <c r="D6" s="11">
        <v>2023</v>
      </c>
      <c r="E6" s="12" t="s">
        <v>125</v>
      </c>
      <c r="F6" s="12" t="s">
        <v>126</v>
      </c>
      <c r="G6" s="11" t="s">
        <v>127</v>
      </c>
      <c r="H6" s="11"/>
      <c r="I6" s="11"/>
      <c r="J6" s="12"/>
      <c r="K6" s="14" t="str">
        <f t="shared" ref="K6:K69" si="0">IF(AND(G6="KEEP",H6="KEEP",I6="KEEP"),"YES",IF(OR(G6="DROP",H6="DROP",I6="DROP"),"NO",""))</f>
        <v>NO</v>
      </c>
      <c r="L6" s="12" t="s">
        <v>128</v>
      </c>
      <c r="M6" s="12" t="s">
        <v>129</v>
      </c>
      <c r="N6" s="12" t="s">
        <v>130</v>
      </c>
      <c r="O6" s="12" t="s">
        <v>131</v>
      </c>
    </row>
    <row r="7" spans="1:15" ht="29" customHeight="1" x14ac:dyDescent="0.35">
      <c r="A7" s="11">
        <v>2</v>
      </c>
      <c r="B7" s="12" t="s">
        <v>132</v>
      </c>
      <c r="C7" s="12" t="s">
        <v>133</v>
      </c>
      <c r="D7" s="11">
        <v>2024</v>
      </c>
      <c r="E7" s="12" t="s">
        <v>134</v>
      </c>
      <c r="F7" s="12" t="s">
        <v>126</v>
      </c>
      <c r="G7" s="11" t="s">
        <v>127</v>
      </c>
      <c r="H7" s="11"/>
      <c r="I7" s="11"/>
      <c r="J7" s="12"/>
      <c r="K7" s="14" t="str">
        <f t="shared" si="0"/>
        <v>NO</v>
      </c>
      <c r="L7" s="12" t="s">
        <v>128</v>
      </c>
      <c r="M7" s="12" t="s">
        <v>135</v>
      </c>
      <c r="N7" s="12" t="s">
        <v>136</v>
      </c>
      <c r="O7" s="12" t="s">
        <v>137</v>
      </c>
    </row>
    <row r="8" spans="1:15" ht="41.5" customHeight="1" x14ac:dyDescent="0.35">
      <c r="A8" s="11">
        <v>3</v>
      </c>
      <c r="B8" s="12" t="s">
        <v>138</v>
      </c>
      <c r="C8" s="12" t="s">
        <v>139</v>
      </c>
      <c r="D8" s="11">
        <v>2024</v>
      </c>
      <c r="E8" s="12" t="s">
        <v>140</v>
      </c>
      <c r="F8" s="12" t="s">
        <v>141</v>
      </c>
      <c r="G8" s="11" t="s">
        <v>142</v>
      </c>
      <c r="H8" s="11" t="s">
        <v>142</v>
      </c>
      <c r="I8" s="11" t="s">
        <v>142</v>
      </c>
      <c r="J8" s="12"/>
      <c r="K8" s="14" t="str">
        <f t="shared" si="0"/>
        <v>YES</v>
      </c>
      <c r="L8" s="12" t="s">
        <v>128</v>
      </c>
      <c r="M8" s="12"/>
      <c r="N8" s="12" t="s">
        <v>143</v>
      </c>
      <c r="O8" s="12" t="s">
        <v>144</v>
      </c>
    </row>
    <row r="9" spans="1:15" ht="29" customHeight="1" x14ac:dyDescent="0.35">
      <c r="A9" s="11">
        <v>4</v>
      </c>
      <c r="B9" s="12" t="s">
        <v>145</v>
      </c>
      <c r="C9" s="12" t="s">
        <v>146</v>
      </c>
      <c r="D9" s="11">
        <v>2023</v>
      </c>
      <c r="E9" s="12" t="s">
        <v>147</v>
      </c>
      <c r="F9" s="12" t="s">
        <v>126</v>
      </c>
      <c r="G9" s="11" t="s">
        <v>127</v>
      </c>
      <c r="H9" s="11"/>
      <c r="I9" s="11"/>
      <c r="J9" s="12"/>
      <c r="K9" s="14" t="str">
        <f t="shared" si="0"/>
        <v>NO</v>
      </c>
      <c r="L9" s="12" t="s">
        <v>128</v>
      </c>
      <c r="M9" s="12" t="s">
        <v>148</v>
      </c>
      <c r="N9" s="12" t="s">
        <v>149</v>
      </c>
      <c r="O9" s="12" t="s">
        <v>150</v>
      </c>
    </row>
    <row r="10" spans="1:15" ht="29" customHeight="1" x14ac:dyDescent="0.35">
      <c r="A10" s="11">
        <v>5</v>
      </c>
      <c r="B10" s="12" t="s">
        <v>151</v>
      </c>
      <c r="C10" s="12" t="s">
        <v>152</v>
      </c>
      <c r="D10" s="11">
        <v>2023</v>
      </c>
      <c r="E10" s="12" t="s">
        <v>153</v>
      </c>
      <c r="F10" s="12" t="s">
        <v>126</v>
      </c>
      <c r="G10" s="11" t="s">
        <v>127</v>
      </c>
      <c r="H10" s="11"/>
      <c r="I10" s="11"/>
      <c r="J10" s="12"/>
      <c r="K10" s="14" t="str">
        <f t="shared" si="0"/>
        <v>NO</v>
      </c>
      <c r="L10" s="12" t="s">
        <v>128</v>
      </c>
      <c r="M10" s="12" t="s">
        <v>154</v>
      </c>
      <c r="N10" s="12" t="s">
        <v>155</v>
      </c>
      <c r="O10" s="12" t="s">
        <v>156</v>
      </c>
    </row>
    <row r="11" spans="1:15" ht="41.5" customHeight="1" x14ac:dyDescent="0.35">
      <c r="A11" s="11">
        <v>6</v>
      </c>
      <c r="B11" s="12" t="s">
        <v>157</v>
      </c>
      <c r="C11" s="12" t="s">
        <v>158</v>
      </c>
      <c r="D11" s="11">
        <v>2022</v>
      </c>
      <c r="E11" s="12" t="s">
        <v>159</v>
      </c>
      <c r="F11" s="12" t="s">
        <v>126</v>
      </c>
      <c r="G11" s="11" t="s">
        <v>142</v>
      </c>
      <c r="H11" s="11" t="s">
        <v>142</v>
      </c>
      <c r="I11" s="11" t="s">
        <v>142</v>
      </c>
      <c r="J11" s="12"/>
      <c r="K11" s="14" t="str">
        <f t="shared" si="0"/>
        <v>YES</v>
      </c>
      <c r="L11" s="12" t="s">
        <v>128</v>
      </c>
      <c r="M11" s="12"/>
      <c r="N11" s="12" t="s">
        <v>160</v>
      </c>
      <c r="O11" s="12" t="s">
        <v>161</v>
      </c>
    </row>
    <row r="12" spans="1:15" ht="41.5" customHeight="1" x14ac:dyDescent="0.35">
      <c r="A12" s="11">
        <v>7</v>
      </c>
      <c r="B12" s="12" t="s">
        <v>162</v>
      </c>
      <c r="C12" s="12" t="s">
        <v>163</v>
      </c>
      <c r="D12" s="11">
        <v>2024</v>
      </c>
      <c r="E12" s="12" t="s">
        <v>164</v>
      </c>
      <c r="F12" s="12" t="s">
        <v>126</v>
      </c>
      <c r="G12" s="11" t="s">
        <v>127</v>
      </c>
      <c r="H12" s="11"/>
      <c r="I12" s="11"/>
      <c r="J12" s="12"/>
      <c r="K12" s="14" t="str">
        <f t="shared" si="0"/>
        <v>NO</v>
      </c>
      <c r="L12" s="12" t="s">
        <v>128</v>
      </c>
      <c r="M12" s="12" t="s">
        <v>148</v>
      </c>
      <c r="N12" s="12" t="s">
        <v>165</v>
      </c>
      <c r="O12" s="12" t="s">
        <v>166</v>
      </c>
    </row>
    <row r="13" spans="1:15" ht="41.5" customHeight="1" x14ac:dyDescent="0.35">
      <c r="A13" s="11">
        <v>8</v>
      </c>
      <c r="B13" s="12" t="s">
        <v>167</v>
      </c>
      <c r="C13" s="12" t="s">
        <v>139</v>
      </c>
      <c r="D13" s="11">
        <v>2023</v>
      </c>
      <c r="E13" s="12" t="s">
        <v>153</v>
      </c>
      <c r="F13" s="12" t="s">
        <v>141</v>
      </c>
      <c r="G13" s="11" t="s">
        <v>142</v>
      </c>
      <c r="H13" s="11" t="s">
        <v>142</v>
      </c>
      <c r="I13" s="11" t="s">
        <v>127</v>
      </c>
      <c r="J13" s="12" t="s">
        <v>168</v>
      </c>
      <c r="K13" s="14" t="str">
        <f t="shared" si="0"/>
        <v>NO</v>
      </c>
      <c r="L13" s="12" t="s">
        <v>128</v>
      </c>
      <c r="M13" s="12" t="s">
        <v>169</v>
      </c>
      <c r="N13" s="12" t="s">
        <v>170</v>
      </c>
      <c r="O13" s="12" t="s">
        <v>171</v>
      </c>
    </row>
    <row r="14" spans="1:15" ht="29" customHeight="1" x14ac:dyDescent="0.35">
      <c r="A14" s="11">
        <v>9</v>
      </c>
      <c r="B14" s="12" t="s">
        <v>172</v>
      </c>
      <c r="C14" s="12" t="s">
        <v>173</v>
      </c>
      <c r="D14" s="11">
        <v>2025</v>
      </c>
      <c r="E14" s="12" t="s">
        <v>174</v>
      </c>
      <c r="F14" s="12" t="s">
        <v>126</v>
      </c>
      <c r="G14" s="11" t="s">
        <v>142</v>
      </c>
      <c r="H14" s="11" t="s">
        <v>142</v>
      </c>
      <c r="I14" s="11" t="s">
        <v>142</v>
      </c>
      <c r="J14" s="12"/>
      <c r="K14" s="14" t="str">
        <f t="shared" si="0"/>
        <v>YES</v>
      </c>
      <c r="L14" s="12" t="s">
        <v>128</v>
      </c>
      <c r="M14" s="12"/>
      <c r="N14" s="12" t="s">
        <v>175</v>
      </c>
      <c r="O14" s="12" t="s">
        <v>176</v>
      </c>
    </row>
    <row r="15" spans="1:15" ht="41.5" customHeight="1" x14ac:dyDescent="0.35">
      <c r="A15" s="11">
        <v>10</v>
      </c>
      <c r="B15" s="12" t="s">
        <v>177</v>
      </c>
      <c r="C15" s="12" t="s">
        <v>178</v>
      </c>
      <c r="D15" s="11">
        <v>2024</v>
      </c>
      <c r="E15" s="12" t="s">
        <v>179</v>
      </c>
      <c r="F15" s="12" t="s">
        <v>126</v>
      </c>
      <c r="G15" s="11" t="s">
        <v>127</v>
      </c>
      <c r="H15" s="11"/>
      <c r="I15" s="11"/>
      <c r="J15" s="12"/>
      <c r="K15" s="14" t="str">
        <f t="shared" si="0"/>
        <v>NO</v>
      </c>
      <c r="L15" s="12" t="s">
        <v>128</v>
      </c>
      <c r="M15" s="12" t="s">
        <v>180</v>
      </c>
      <c r="N15" s="12" t="s">
        <v>181</v>
      </c>
      <c r="O15" s="12" t="s">
        <v>182</v>
      </c>
    </row>
    <row r="16" spans="1:15" ht="41.5" customHeight="1" x14ac:dyDescent="0.35">
      <c r="A16" s="11">
        <v>11</v>
      </c>
      <c r="B16" s="12" t="s">
        <v>183</v>
      </c>
      <c r="C16" s="12" t="s">
        <v>184</v>
      </c>
      <c r="D16" s="11">
        <v>2025</v>
      </c>
      <c r="E16" s="12" t="s">
        <v>185</v>
      </c>
      <c r="F16" s="12" t="s">
        <v>126</v>
      </c>
      <c r="G16" s="11" t="s">
        <v>127</v>
      </c>
      <c r="H16" s="11"/>
      <c r="I16" s="11"/>
      <c r="J16" s="12"/>
      <c r="K16" s="14" t="str">
        <f t="shared" si="0"/>
        <v>NO</v>
      </c>
      <c r="L16" s="12" t="s">
        <v>128</v>
      </c>
      <c r="M16" s="12" t="s">
        <v>186</v>
      </c>
      <c r="N16" s="12" t="s">
        <v>187</v>
      </c>
      <c r="O16" s="12" t="s">
        <v>188</v>
      </c>
    </row>
    <row r="17" spans="1:15" ht="41.5" customHeight="1" x14ac:dyDescent="0.35">
      <c r="A17" s="11">
        <v>12</v>
      </c>
      <c r="B17" s="12" t="s">
        <v>189</v>
      </c>
      <c r="C17" s="12" t="s">
        <v>190</v>
      </c>
      <c r="D17" s="11">
        <v>2025</v>
      </c>
      <c r="E17" s="12" t="s">
        <v>191</v>
      </c>
      <c r="F17" s="12" t="s">
        <v>126</v>
      </c>
      <c r="G17" s="11" t="s">
        <v>127</v>
      </c>
      <c r="H17" s="11"/>
      <c r="I17" s="11"/>
      <c r="J17" s="12"/>
      <c r="K17" s="14" t="str">
        <f t="shared" si="0"/>
        <v>NO</v>
      </c>
      <c r="L17" s="12" t="s">
        <v>128</v>
      </c>
      <c r="M17" s="12" t="s">
        <v>192</v>
      </c>
      <c r="N17" s="12" t="s">
        <v>193</v>
      </c>
      <c r="O17" s="12" t="s">
        <v>194</v>
      </c>
    </row>
    <row r="18" spans="1:15" ht="41.5" customHeight="1" x14ac:dyDescent="0.35">
      <c r="A18" s="11">
        <v>13</v>
      </c>
      <c r="B18" s="12" t="s">
        <v>195</v>
      </c>
      <c r="C18" s="12" t="s">
        <v>196</v>
      </c>
      <c r="D18" s="11">
        <v>2025</v>
      </c>
      <c r="E18" s="12" t="s">
        <v>197</v>
      </c>
      <c r="F18" s="12" t="s">
        <v>126</v>
      </c>
      <c r="G18" s="11" t="s">
        <v>127</v>
      </c>
      <c r="H18" s="11"/>
      <c r="I18" s="11"/>
      <c r="J18" s="12"/>
      <c r="K18" s="14" t="str">
        <f t="shared" si="0"/>
        <v>NO</v>
      </c>
      <c r="L18" s="12" t="s">
        <v>128</v>
      </c>
      <c r="M18" s="12" t="s">
        <v>198</v>
      </c>
      <c r="N18" s="12" t="s">
        <v>199</v>
      </c>
      <c r="O18" s="12" t="s">
        <v>200</v>
      </c>
    </row>
    <row r="19" spans="1:15" ht="41.5" customHeight="1" x14ac:dyDescent="0.35">
      <c r="A19" s="11">
        <v>14</v>
      </c>
      <c r="B19" s="12" t="s">
        <v>201</v>
      </c>
      <c r="C19" s="12" t="s">
        <v>202</v>
      </c>
      <c r="D19" s="11">
        <v>2023</v>
      </c>
      <c r="E19" s="12" t="s">
        <v>153</v>
      </c>
      <c r="F19" s="12" t="s">
        <v>126</v>
      </c>
      <c r="G19" s="11" t="s">
        <v>142</v>
      </c>
      <c r="H19" s="11" t="s">
        <v>142</v>
      </c>
      <c r="I19" s="11" t="s">
        <v>127</v>
      </c>
      <c r="J19" s="12" t="s">
        <v>203</v>
      </c>
      <c r="K19" s="14" t="str">
        <f t="shared" si="0"/>
        <v>NO</v>
      </c>
      <c r="L19" s="12" t="s">
        <v>128</v>
      </c>
      <c r="M19" s="12" t="s">
        <v>204</v>
      </c>
      <c r="N19" s="12" t="s">
        <v>205</v>
      </c>
      <c r="O19" s="12" t="s">
        <v>206</v>
      </c>
    </row>
    <row r="20" spans="1:15" ht="41.5" customHeight="1" x14ac:dyDescent="0.35">
      <c r="A20" s="11">
        <v>15</v>
      </c>
      <c r="B20" s="12" t="s">
        <v>207</v>
      </c>
      <c r="C20" s="12" t="s">
        <v>208</v>
      </c>
      <c r="D20" s="11">
        <v>2023</v>
      </c>
      <c r="E20" s="12" t="s">
        <v>209</v>
      </c>
      <c r="F20" s="12" t="s">
        <v>126</v>
      </c>
      <c r="G20" s="11" t="s">
        <v>127</v>
      </c>
      <c r="H20" s="11"/>
      <c r="I20" s="11"/>
      <c r="J20" s="12"/>
      <c r="K20" s="14" t="str">
        <f t="shared" si="0"/>
        <v>NO</v>
      </c>
      <c r="L20" s="12" t="s">
        <v>128</v>
      </c>
      <c r="M20" s="12" t="s">
        <v>210</v>
      </c>
      <c r="N20" s="12" t="s">
        <v>211</v>
      </c>
      <c r="O20" s="12" t="s">
        <v>212</v>
      </c>
    </row>
    <row r="21" spans="1:15" ht="29" customHeight="1" x14ac:dyDescent="0.35">
      <c r="A21" s="11">
        <v>16</v>
      </c>
      <c r="B21" s="12" t="s">
        <v>213</v>
      </c>
      <c r="C21" s="12" t="s">
        <v>214</v>
      </c>
      <c r="D21" s="11">
        <v>2022</v>
      </c>
      <c r="E21" s="12" t="s">
        <v>215</v>
      </c>
      <c r="F21" s="12" t="s">
        <v>216</v>
      </c>
      <c r="G21" s="11" t="s">
        <v>142</v>
      </c>
      <c r="H21" s="11" t="s">
        <v>142</v>
      </c>
      <c r="I21" s="11" t="s">
        <v>142</v>
      </c>
      <c r="J21" s="12"/>
      <c r="K21" s="14" t="str">
        <f t="shared" si="0"/>
        <v>YES</v>
      </c>
      <c r="L21" s="12" t="s">
        <v>128</v>
      </c>
      <c r="M21" s="12"/>
      <c r="N21" s="12" t="s">
        <v>217</v>
      </c>
      <c r="O21" s="12" t="s">
        <v>218</v>
      </c>
    </row>
    <row r="22" spans="1:15" ht="41.5" customHeight="1" x14ac:dyDescent="0.35">
      <c r="A22" s="11">
        <v>17</v>
      </c>
      <c r="B22" s="12" t="s">
        <v>219</v>
      </c>
      <c r="C22" s="12" t="s">
        <v>220</v>
      </c>
      <c r="D22" s="11">
        <v>2025</v>
      </c>
      <c r="E22" s="12" t="s">
        <v>221</v>
      </c>
      <c r="F22" s="12" t="s">
        <v>126</v>
      </c>
      <c r="G22" s="11" t="s">
        <v>127</v>
      </c>
      <c r="H22" s="11"/>
      <c r="I22" s="11"/>
      <c r="J22" s="12"/>
      <c r="K22" s="14" t="str">
        <f t="shared" si="0"/>
        <v>NO</v>
      </c>
      <c r="L22" s="12" t="s">
        <v>128</v>
      </c>
      <c r="M22" s="12" t="s">
        <v>222</v>
      </c>
      <c r="N22" s="12" t="s">
        <v>223</v>
      </c>
      <c r="O22" s="12" t="s">
        <v>224</v>
      </c>
    </row>
    <row r="23" spans="1:15" ht="41.5" customHeight="1" x14ac:dyDescent="0.35">
      <c r="A23" s="11">
        <v>18</v>
      </c>
      <c r="B23" s="12" t="s">
        <v>225</v>
      </c>
      <c r="C23" s="12" t="s">
        <v>226</v>
      </c>
      <c r="D23" s="11">
        <v>2025</v>
      </c>
      <c r="E23" s="12" t="s">
        <v>227</v>
      </c>
      <c r="F23" s="12" t="s">
        <v>126</v>
      </c>
      <c r="G23" s="11" t="s">
        <v>127</v>
      </c>
      <c r="H23" s="11"/>
      <c r="I23" s="11"/>
      <c r="J23" s="12"/>
      <c r="K23" s="14" t="str">
        <f t="shared" si="0"/>
        <v>NO</v>
      </c>
      <c r="L23" s="12" t="s">
        <v>128</v>
      </c>
      <c r="M23" s="12" t="s">
        <v>228</v>
      </c>
      <c r="N23" s="12" t="s">
        <v>229</v>
      </c>
      <c r="O23" s="12" t="s">
        <v>230</v>
      </c>
    </row>
    <row r="24" spans="1:15" ht="41.5" customHeight="1" x14ac:dyDescent="0.35">
      <c r="A24" s="11">
        <v>19</v>
      </c>
      <c r="B24" s="12" t="s">
        <v>231</v>
      </c>
      <c r="C24" s="12" t="s">
        <v>232</v>
      </c>
      <c r="D24" s="11">
        <v>2026</v>
      </c>
      <c r="E24" s="12" t="s">
        <v>233</v>
      </c>
      <c r="F24" s="12" t="s">
        <v>126</v>
      </c>
      <c r="G24" s="11" t="s">
        <v>127</v>
      </c>
      <c r="H24" s="11"/>
      <c r="I24" s="11"/>
      <c r="J24" s="12"/>
      <c r="K24" s="14" t="str">
        <f t="shared" si="0"/>
        <v>NO</v>
      </c>
      <c r="L24" s="12" t="s">
        <v>128</v>
      </c>
      <c r="M24" s="12" t="s">
        <v>234</v>
      </c>
      <c r="N24" s="12" t="s">
        <v>235</v>
      </c>
      <c r="O24" s="12" t="s">
        <v>236</v>
      </c>
    </row>
    <row r="25" spans="1:15" ht="141.5" customHeight="1" x14ac:dyDescent="0.35">
      <c r="A25" s="11">
        <v>20</v>
      </c>
      <c r="B25" s="12" t="s">
        <v>237</v>
      </c>
      <c r="C25" s="12" t="s">
        <v>238</v>
      </c>
      <c r="D25" s="11">
        <v>2026</v>
      </c>
      <c r="E25" s="12" t="s">
        <v>233</v>
      </c>
      <c r="F25" s="12" t="s">
        <v>126</v>
      </c>
      <c r="G25" s="11" t="s">
        <v>127</v>
      </c>
      <c r="H25" s="11"/>
      <c r="I25" s="11"/>
      <c r="J25" s="12"/>
      <c r="K25" s="14" t="str">
        <f t="shared" si="0"/>
        <v>NO</v>
      </c>
      <c r="L25" s="12" t="s">
        <v>128</v>
      </c>
      <c r="M25" s="12" t="s">
        <v>239</v>
      </c>
      <c r="N25" s="12" t="s">
        <v>240</v>
      </c>
      <c r="O25" s="12" t="s">
        <v>241</v>
      </c>
    </row>
    <row r="26" spans="1:15" ht="29" customHeight="1" x14ac:dyDescent="0.35">
      <c r="A26" s="11">
        <v>21</v>
      </c>
      <c r="B26" s="12" t="s">
        <v>242</v>
      </c>
      <c r="C26" s="12" t="s">
        <v>243</v>
      </c>
      <c r="D26" s="11">
        <v>2025</v>
      </c>
      <c r="E26" s="12" t="s">
        <v>244</v>
      </c>
      <c r="F26" s="12" t="s">
        <v>126</v>
      </c>
      <c r="G26" s="11" t="s">
        <v>127</v>
      </c>
      <c r="H26" s="11"/>
      <c r="I26" s="11"/>
      <c r="J26" s="12"/>
      <c r="K26" s="14" t="str">
        <f t="shared" si="0"/>
        <v>NO</v>
      </c>
      <c r="L26" s="12" t="s">
        <v>128</v>
      </c>
      <c r="M26" s="12" t="s">
        <v>245</v>
      </c>
      <c r="N26" s="12" t="s">
        <v>246</v>
      </c>
      <c r="O26" s="12" t="s">
        <v>247</v>
      </c>
    </row>
    <row r="27" spans="1:15" ht="41.5" customHeight="1" x14ac:dyDescent="0.35">
      <c r="A27" s="11">
        <v>22</v>
      </c>
      <c r="B27" s="12" t="s">
        <v>248</v>
      </c>
      <c r="C27" s="12" t="s">
        <v>249</v>
      </c>
      <c r="D27" s="11">
        <v>2024</v>
      </c>
      <c r="E27" s="12" t="s">
        <v>250</v>
      </c>
      <c r="F27" s="12" t="s">
        <v>126</v>
      </c>
      <c r="G27" s="11" t="s">
        <v>127</v>
      </c>
      <c r="H27" s="11"/>
      <c r="I27" s="11"/>
      <c r="J27" s="12"/>
      <c r="K27" s="14" t="str">
        <f t="shared" si="0"/>
        <v>NO</v>
      </c>
      <c r="L27" s="12" t="s">
        <v>128</v>
      </c>
      <c r="M27" s="12" t="s">
        <v>251</v>
      </c>
      <c r="N27" s="12" t="s">
        <v>252</v>
      </c>
      <c r="O27" s="12" t="s">
        <v>253</v>
      </c>
    </row>
    <row r="28" spans="1:15" ht="29" customHeight="1" x14ac:dyDescent="0.35">
      <c r="A28" s="11">
        <v>23</v>
      </c>
      <c r="B28" s="12" t="s">
        <v>254</v>
      </c>
      <c r="C28" s="12" t="s">
        <v>255</v>
      </c>
      <c r="D28" s="11">
        <v>2024</v>
      </c>
      <c r="E28" s="12" t="s">
        <v>256</v>
      </c>
      <c r="F28" s="12" t="s">
        <v>126</v>
      </c>
      <c r="G28" s="11" t="s">
        <v>127</v>
      </c>
      <c r="H28" s="11"/>
      <c r="I28" s="11"/>
      <c r="J28" s="12"/>
      <c r="K28" s="14" t="str">
        <f t="shared" si="0"/>
        <v>NO</v>
      </c>
      <c r="L28" s="12" t="s">
        <v>128</v>
      </c>
      <c r="M28" s="12" t="s">
        <v>257</v>
      </c>
      <c r="N28" s="12" t="s">
        <v>258</v>
      </c>
      <c r="O28" s="12" t="s">
        <v>259</v>
      </c>
    </row>
    <row r="29" spans="1:15" ht="41.5" customHeight="1" x14ac:dyDescent="0.35">
      <c r="A29" s="11">
        <v>24</v>
      </c>
      <c r="B29" s="12" t="s">
        <v>260</v>
      </c>
      <c r="C29" s="12" t="s">
        <v>261</v>
      </c>
      <c r="D29" s="11">
        <v>2025</v>
      </c>
      <c r="E29" s="12" t="s">
        <v>262</v>
      </c>
      <c r="F29" s="12" t="s">
        <v>126</v>
      </c>
      <c r="G29" s="11" t="s">
        <v>142</v>
      </c>
      <c r="H29" s="11" t="s">
        <v>142</v>
      </c>
      <c r="I29" s="11" t="s">
        <v>142</v>
      </c>
      <c r="J29" s="12"/>
      <c r="K29" s="14" t="str">
        <f t="shared" si="0"/>
        <v>YES</v>
      </c>
      <c r="L29" s="12" t="s">
        <v>128</v>
      </c>
      <c r="M29" s="12"/>
      <c r="N29" s="12" t="s">
        <v>263</v>
      </c>
      <c r="O29" s="12" t="s">
        <v>264</v>
      </c>
    </row>
    <row r="30" spans="1:15" ht="41.5" customHeight="1" x14ac:dyDescent="0.35">
      <c r="A30" s="11">
        <v>25</v>
      </c>
      <c r="B30" s="12" t="s">
        <v>265</v>
      </c>
      <c r="C30" s="12" t="s">
        <v>266</v>
      </c>
      <c r="D30" s="11">
        <v>2023</v>
      </c>
      <c r="E30" s="12" t="s">
        <v>153</v>
      </c>
      <c r="F30" s="12" t="s">
        <v>126</v>
      </c>
      <c r="G30" s="11" t="s">
        <v>142</v>
      </c>
      <c r="H30" s="11" t="s">
        <v>142</v>
      </c>
      <c r="I30" s="11" t="s">
        <v>127</v>
      </c>
      <c r="J30" s="12" t="s">
        <v>203</v>
      </c>
      <c r="K30" s="14" t="str">
        <f t="shared" si="0"/>
        <v>NO</v>
      </c>
      <c r="L30" s="12" t="s">
        <v>128</v>
      </c>
      <c r="M30" s="12" t="s">
        <v>204</v>
      </c>
      <c r="N30" s="12" t="s">
        <v>267</v>
      </c>
      <c r="O30" s="12" t="s">
        <v>268</v>
      </c>
    </row>
    <row r="31" spans="1:15" ht="29" customHeight="1" x14ac:dyDescent="0.35">
      <c r="A31" s="11">
        <v>26</v>
      </c>
      <c r="B31" s="12" t="s">
        <v>269</v>
      </c>
      <c r="C31" s="12" t="s">
        <v>270</v>
      </c>
      <c r="D31" s="11">
        <v>2020</v>
      </c>
      <c r="E31" s="12" t="s">
        <v>271</v>
      </c>
      <c r="F31" s="12" t="s">
        <v>272</v>
      </c>
      <c r="G31" s="11" t="s">
        <v>142</v>
      </c>
      <c r="H31" s="11" t="s">
        <v>142</v>
      </c>
      <c r="I31" s="11" t="s">
        <v>142</v>
      </c>
      <c r="J31" s="12"/>
      <c r="K31" s="14" t="str">
        <f t="shared" si="0"/>
        <v>YES</v>
      </c>
      <c r="L31" s="12" t="s">
        <v>128</v>
      </c>
      <c r="M31" s="12"/>
      <c r="N31" s="12" t="s">
        <v>273</v>
      </c>
      <c r="O31" s="12" t="s">
        <v>274</v>
      </c>
    </row>
    <row r="32" spans="1:15" ht="29" customHeight="1" x14ac:dyDescent="0.35">
      <c r="A32" s="11">
        <v>27</v>
      </c>
      <c r="B32" s="12" t="s">
        <v>275</v>
      </c>
      <c r="C32" s="12" t="s">
        <v>276</v>
      </c>
      <c r="D32" s="11">
        <v>2021</v>
      </c>
      <c r="E32" s="12" t="s">
        <v>277</v>
      </c>
      <c r="F32" s="12" t="s">
        <v>272</v>
      </c>
      <c r="G32" s="11" t="s">
        <v>142</v>
      </c>
      <c r="H32" s="11" t="s">
        <v>142</v>
      </c>
      <c r="I32" s="11" t="s">
        <v>142</v>
      </c>
      <c r="J32" s="12"/>
      <c r="K32" s="14" t="str">
        <f t="shared" si="0"/>
        <v>YES</v>
      </c>
      <c r="L32" s="12" t="s">
        <v>128</v>
      </c>
      <c r="M32" s="12"/>
      <c r="N32" s="12" t="s">
        <v>278</v>
      </c>
      <c r="O32" s="12" t="s">
        <v>279</v>
      </c>
    </row>
    <row r="33" spans="1:15" ht="24" customHeight="1" x14ac:dyDescent="0.35">
      <c r="A33" s="11">
        <v>28</v>
      </c>
      <c r="B33" s="12" t="s">
        <v>280</v>
      </c>
      <c r="C33" s="12" t="s">
        <v>281</v>
      </c>
      <c r="D33" s="11">
        <v>2023</v>
      </c>
      <c r="E33" s="12" t="s">
        <v>282</v>
      </c>
      <c r="F33" s="12" t="s">
        <v>272</v>
      </c>
      <c r="G33" s="11" t="s">
        <v>142</v>
      </c>
      <c r="H33" s="11" t="s">
        <v>142</v>
      </c>
      <c r="I33" s="11" t="s">
        <v>142</v>
      </c>
      <c r="J33" s="12"/>
      <c r="K33" s="14" t="str">
        <f t="shared" si="0"/>
        <v>YES</v>
      </c>
      <c r="L33" s="12" t="s">
        <v>128</v>
      </c>
      <c r="M33" s="12"/>
      <c r="N33" s="12" t="s">
        <v>283</v>
      </c>
      <c r="O33" s="12" t="s">
        <v>284</v>
      </c>
    </row>
    <row r="34" spans="1:15" ht="29" customHeight="1" x14ac:dyDescent="0.35">
      <c r="A34" s="11">
        <v>29</v>
      </c>
      <c r="B34" s="12" t="s">
        <v>285</v>
      </c>
      <c r="C34" s="12" t="s">
        <v>281</v>
      </c>
      <c r="D34" s="11">
        <v>2024</v>
      </c>
      <c r="E34" s="12" t="s">
        <v>227</v>
      </c>
      <c r="F34" s="12" t="s">
        <v>272</v>
      </c>
      <c r="G34" s="11" t="s">
        <v>127</v>
      </c>
      <c r="H34" s="11"/>
      <c r="I34" s="11"/>
      <c r="J34" s="12"/>
      <c r="K34" s="14" t="str">
        <f t="shared" si="0"/>
        <v>NO</v>
      </c>
      <c r="L34" s="12" t="s">
        <v>128</v>
      </c>
      <c r="M34" s="12" t="s">
        <v>286</v>
      </c>
      <c r="N34" s="12" t="s">
        <v>287</v>
      </c>
      <c r="O34" s="12" t="s">
        <v>288</v>
      </c>
    </row>
    <row r="35" spans="1:15" ht="29" customHeight="1" x14ac:dyDescent="0.35">
      <c r="A35" s="11">
        <v>30</v>
      </c>
      <c r="B35" s="12" t="s">
        <v>269</v>
      </c>
      <c r="C35" s="12" t="s">
        <v>270</v>
      </c>
      <c r="D35" s="11">
        <v>2020</v>
      </c>
      <c r="E35" s="12" t="s">
        <v>153</v>
      </c>
      <c r="F35" s="12" t="s">
        <v>272</v>
      </c>
      <c r="G35" s="11" t="s">
        <v>142</v>
      </c>
      <c r="H35" s="11" t="s">
        <v>142</v>
      </c>
      <c r="I35" s="11" t="s">
        <v>127</v>
      </c>
      <c r="J35" s="12" t="s">
        <v>168</v>
      </c>
      <c r="K35" s="14" t="str">
        <f t="shared" si="0"/>
        <v>NO</v>
      </c>
      <c r="L35" s="12" t="s">
        <v>128</v>
      </c>
      <c r="M35" s="12" t="s">
        <v>289</v>
      </c>
      <c r="N35" s="12" t="s">
        <v>290</v>
      </c>
      <c r="O35" s="12" t="s">
        <v>291</v>
      </c>
    </row>
    <row r="36" spans="1:15" ht="29" customHeight="1" x14ac:dyDescent="0.35">
      <c r="A36" s="11">
        <v>31</v>
      </c>
      <c r="B36" s="12" t="s">
        <v>292</v>
      </c>
      <c r="C36" s="12" t="s">
        <v>293</v>
      </c>
      <c r="D36" s="11">
        <v>2023</v>
      </c>
      <c r="E36" s="12" t="s">
        <v>294</v>
      </c>
      <c r="F36" s="12" t="s">
        <v>272</v>
      </c>
      <c r="G36" s="11" t="s">
        <v>142</v>
      </c>
      <c r="H36" s="11" t="s">
        <v>142</v>
      </c>
      <c r="I36" s="11" t="s">
        <v>142</v>
      </c>
      <c r="J36" s="12"/>
      <c r="K36" s="14" t="str">
        <f t="shared" si="0"/>
        <v>YES</v>
      </c>
      <c r="L36" s="12" t="s">
        <v>128</v>
      </c>
      <c r="M36" s="12"/>
      <c r="N36" s="12" t="s">
        <v>295</v>
      </c>
      <c r="O36" s="12" t="s">
        <v>296</v>
      </c>
    </row>
    <row r="37" spans="1:15" ht="29" customHeight="1" x14ac:dyDescent="0.35">
      <c r="A37" s="11">
        <v>32</v>
      </c>
      <c r="B37" s="12" t="s">
        <v>297</v>
      </c>
      <c r="C37" s="12" t="s">
        <v>298</v>
      </c>
      <c r="D37" s="11">
        <v>2024</v>
      </c>
      <c r="E37" s="12" t="s">
        <v>299</v>
      </c>
      <c r="F37" s="12" t="s">
        <v>272</v>
      </c>
      <c r="G37" s="11" t="s">
        <v>142</v>
      </c>
      <c r="H37" s="11" t="s">
        <v>142</v>
      </c>
      <c r="I37" s="11" t="s">
        <v>142</v>
      </c>
      <c r="J37" s="12"/>
      <c r="K37" s="14" t="str">
        <f t="shared" si="0"/>
        <v>YES</v>
      </c>
      <c r="L37" s="12" t="s">
        <v>128</v>
      </c>
      <c r="M37" s="12"/>
      <c r="N37" s="12" t="s">
        <v>300</v>
      </c>
      <c r="O37" s="12" t="s">
        <v>301</v>
      </c>
    </row>
    <row r="38" spans="1:15" ht="41.5" customHeight="1" x14ac:dyDescent="0.35">
      <c r="A38" s="11">
        <v>33</v>
      </c>
      <c r="B38" s="12" t="s">
        <v>302</v>
      </c>
      <c r="C38" s="12" t="s">
        <v>303</v>
      </c>
      <c r="D38" s="11">
        <v>2023</v>
      </c>
      <c r="E38" s="12" t="s">
        <v>282</v>
      </c>
      <c r="F38" s="12" t="s">
        <v>272</v>
      </c>
      <c r="G38" s="11" t="s">
        <v>142</v>
      </c>
      <c r="H38" s="11" t="s">
        <v>142</v>
      </c>
      <c r="I38" s="11" t="s">
        <v>142</v>
      </c>
      <c r="J38" s="12"/>
      <c r="K38" s="14" t="str">
        <f t="shared" si="0"/>
        <v>YES</v>
      </c>
      <c r="L38" s="12" t="s">
        <v>128</v>
      </c>
      <c r="M38" s="12"/>
      <c r="N38" s="12" t="s">
        <v>304</v>
      </c>
      <c r="O38" s="12" t="s">
        <v>305</v>
      </c>
    </row>
    <row r="39" spans="1:15" ht="41.5" customHeight="1" x14ac:dyDescent="0.35">
      <c r="A39" s="11">
        <v>34</v>
      </c>
      <c r="B39" s="12" t="s">
        <v>306</v>
      </c>
      <c r="C39" s="12" t="s">
        <v>307</v>
      </c>
      <c r="D39" s="11">
        <v>2025</v>
      </c>
      <c r="E39" s="12" t="s">
        <v>308</v>
      </c>
      <c r="F39" s="12" t="s">
        <v>272</v>
      </c>
      <c r="G39" s="11" t="s">
        <v>142</v>
      </c>
      <c r="H39" s="11" t="s">
        <v>142</v>
      </c>
      <c r="I39" s="11" t="s">
        <v>142</v>
      </c>
      <c r="J39" s="12"/>
      <c r="K39" s="14" t="str">
        <f t="shared" si="0"/>
        <v>YES</v>
      </c>
      <c r="L39" s="12" t="s">
        <v>128</v>
      </c>
      <c r="M39" s="12"/>
      <c r="N39" s="12" t="s">
        <v>309</v>
      </c>
      <c r="O39" s="12" t="s">
        <v>310</v>
      </c>
    </row>
    <row r="40" spans="1:15" ht="29" customHeight="1" x14ac:dyDescent="0.35">
      <c r="A40" s="11">
        <v>35</v>
      </c>
      <c r="B40" s="12" t="s">
        <v>311</v>
      </c>
      <c r="C40" s="12" t="s">
        <v>312</v>
      </c>
      <c r="D40" s="11">
        <v>2024</v>
      </c>
      <c r="E40" s="12" t="s">
        <v>227</v>
      </c>
      <c r="F40" s="12" t="s">
        <v>272</v>
      </c>
      <c r="G40" s="11" t="s">
        <v>142</v>
      </c>
      <c r="H40" s="11" t="s">
        <v>142</v>
      </c>
      <c r="I40" s="11" t="s">
        <v>127</v>
      </c>
      <c r="J40" s="12" t="s">
        <v>313</v>
      </c>
      <c r="K40" s="14" t="str">
        <f t="shared" si="0"/>
        <v>NO</v>
      </c>
      <c r="L40" s="12" t="s">
        <v>128</v>
      </c>
      <c r="M40" s="12" t="s">
        <v>314</v>
      </c>
      <c r="N40" s="12" t="s">
        <v>315</v>
      </c>
      <c r="O40" s="12" t="s">
        <v>316</v>
      </c>
    </row>
    <row r="41" spans="1:15" ht="41.5" customHeight="1" x14ac:dyDescent="0.35">
      <c r="A41" s="11">
        <v>36</v>
      </c>
      <c r="B41" s="12" t="s">
        <v>317</v>
      </c>
      <c r="C41" s="12" t="s">
        <v>298</v>
      </c>
      <c r="D41" s="11">
        <v>2023</v>
      </c>
      <c r="E41" s="12" t="s">
        <v>318</v>
      </c>
      <c r="F41" s="12" t="s">
        <v>272</v>
      </c>
      <c r="G41" s="11" t="s">
        <v>142</v>
      </c>
      <c r="H41" s="11" t="s">
        <v>142</v>
      </c>
      <c r="I41" s="11" t="s">
        <v>142</v>
      </c>
      <c r="J41" s="12"/>
      <c r="K41" s="14" t="str">
        <f t="shared" si="0"/>
        <v>YES</v>
      </c>
      <c r="L41" s="12" t="s">
        <v>128</v>
      </c>
      <c r="M41" s="12"/>
      <c r="N41" s="12" t="s">
        <v>319</v>
      </c>
      <c r="O41" s="12" t="s">
        <v>320</v>
      </c>
    </row>
    <row r="42" spans="1:15" ht="54" customHeight="1" x14ac:dyDescent="0.35">
      <c r="A42" s="11">
        <v>37</v>
      </c>
      <c r="B42" s="12" t="s">
        <v>321</v>
      </c>
      <c r="C42" s="12" t="s">
        <v>322</v>
      </c>
      <c r="D42" s="11">
        <v>2026</v>
      </c>
      <c r="E42" s="12" t="s">
        <v>323</v>
      </c>
      <c r="F42" s="12" t="s">
        <v>272</v>
      </c>
      <c r="G42" s="11" t="s">
        <v>142</v>
      </c>
      <c r="H42" s="11" t="s">
        <v>142</v>
      </c>
      <c r="I42" s="11" t="s">
        <v>127</v>
      </c>
      <c r="J42" s="12" t="s">
        <v>313</v>
      </c>
      <c r="K42" s="14" t="str">
        <f t="shared" si="0"/>
        <v>NO</v>
      </c>
      <c r="L42" s="12" t="s">
        <v>128</v>
      </c>
      <c r="M42" s="12" t="s">
        <v>314</v>
      </c>
      <c r="N42" s="12" t="s">
        <v>324</v>
      </c>
      <c r="O42" s="12" t="s">
        <v>325</v>
      </c>
    </row>
    <row r="43" spans="1:15" ht="29" customHeight="1" x14ac:dyDescent="0.35">
      <c r="A43" s="11">
        <v>38</v>
      </c>
      <c r="B43" s="12" t="s">
        <v>326</v>
      </c>
      <c r="C43" s="12" t="s">
        <v>327</v>
      </c>
      <c r="D43" s="11">
        <v>2026</v>
      </c>
      <c r="E43" s="12" t="s">
        <v>153</v>
      </c>
      <c r="F43" s="12" t="s">
        <v>272</v>
      </c>
      <c r="G43" s="11" t="s">
        <v>142</v>
      </c>
      <c r="H43" s="11" t="s">
        <v>142</v>
      </c>
      <c r="I43" s="11" t="s">
        <v>127</v>
      </c>
      <c r="J43" s="12" t="s">
        <v>203</v>
      </c>
      <c r="K43" s="14" t="str">
        <f t="shared" si="0"/>
        <v>NO</v>
      </c>
      <c r="L43" s="12" t="s">
        <v>128</v>
      </c>
      <c r="M43" s="12" t="s">
        <v>328</v>
      </c>
      <c r="N43" s="12" t="s">
        <v>329</v>
      </c>
      <c r="O43" s="12" t="s">
        <v>330</v>
      </c>
    </row>
    <row r="44" spans="1:15" ht="41.5" customHeight="1" x14ac:dyDescent="0.35">
      <c r="A44" s="11">
        <v>39</v>
      </c>
      <c r="B44" s="12" t="s">
        <v>331</v>
      </c>
      <c r="C44" s="12" t="s">
        <v>332</v>
      </c>
      <c r="D44" s="11">
        <v>2026</v>
      </c>
      <c r="E44" s="12" t="s">
        <v>153</v>
      </c>
      <c r="F44" s="12" t="s">
        <v>272</v>
      </c>
      <c r="G44" s="11" t="s">
        <v>142</v>
      </c>
      <c r="H44" s="11" t="s">
        <v>142</v>
      </c>
      <c r="I44" s="11" t="s">
        <v>127</v>
      </c>
      <c r="J44" s="12" t="s">
        <v>203</v>
      </c>
      <c r="K44" s="14" t="str">
        <f t="shared" si="0"/>
        <v>NO</v>
      </c>
      <c r="L44" s="12" t="s">
        <v>128</v>
      </c>
      <c r="M44" s="12" t="s">
        <v>328</v>
      </c>
      <c r="N44" s="12" t="s">
        <v>333</v>
      </c>
      <c r="O44" s="12" t="s">
        <v>334</v>
      </c>
    </row>
    <row r="45" spans="1:15" ht="41.5" customHeight="1" x14ac:dyDescent="0.35">
      <c r="A45" s="11">
        <v>40</v>
      </c>
      <c r="B45" s="12" t="s">
        <v>335</v>
      </c>
      <c r="C45" s="12" t="s">
        <v>336</v>
      </c>
      <c r="D45" s="11">
        <v>2025</v>
      </c>
      <c r="E45" s="12" t="s">
        <v>337</v>
      </c>
      <c r="F45" s="12" t="s">
        <v>272</v>
      </c>
      <c r="G45" s="11" t="s">
        <v>142</v>
      </c>
      <c r="H45" s="11" t="s">
        <v>142</v>
      </c>
      <c r="I45" s="11" t="s">
        <v>127</v>
      </c>
      <c r="J45" s="12" t="s">
        <v>313</v>
      </c>
      <c r="K45" s="14" t="str">
        <f t="shared" si="0"/>
        <v>NO</v>
      </c>
      <c r="L45" s="12" t="s">
        <v>128</v>
      </c>
      <c r="M45" s="12" t="s">
        <v>314</v>
      </c>
      <c r="N45" s="12" t="s">
        <v>338</v>
      </c>
      <c r="O45" s="12" t="s">
        <v>339</v>
      </c>
    </row>
    <row r="46" spans="1:15" ht="41.5" customHeight="1" x14ac:dyDescent="0.35">
      <c r="A46" s="11">
        <v>41</v>
      </c>
      <c r="B46" s="12" t="s">
        <v>340</v>
      </c>
      <c r="C46" s="12" t="s">
        <v>341</v>
      </c>
      <c r="D46" s="11">
        <v>2024</v>
      </c>
      <c r="E46" s="12" t="s">
        <v>153</v>
      </c>
      <c r="F46" s="12" t="s">
        <v>272</v>
      </c>
      <c r="G46" s="11" t="s">
        <v>142</v>
      </c>
      <c r="H46" s="11" t="s">
        <v>142</v>
      </c>
      <c r="I46" s="11" t="s">
        <v>127</v>
      </c>
      <c r="J46" s="12" t="s">
        <v>168</v>
      </c>
      <c r="K46" s="14" t="str">
        <f t="shared" si="0"/>
        <v>NO</v>
      </c>
      <c r="L46" s="12" t="s">
        <v>128</v>
      </c>
      <c r="M46" s="12" t="s">
        <v>342</v>
      </c>
      <c r="N46" s="12" t="s">
        <v>343</v>
      </c>
      <c r="O46" s="12" t="s">
        <v>344</v>
      </c>
    </row>
    <row r="47" spans="1:15" ht="41.5" customHeight="1" x14ac:dyDescent="0.35">
      <c r="A47" s="11">
        <v>42</v>
      </c>
      <c r="B47" s="12" t="s">
        <v>302</v>
      </c>
      <c r="C47" s="12" t="s">
        <v>303</v>
      </c>
      <c r="D47" s="11">
        <v>2023</v>
      </c>
      <c r="E47" s="12" t="s">
        <v>153</v>
      </c>
      <c r="F47" s="12" t="s">
        <v>272</v>
      </c>
      <c r="G47" s="11" t="s">
        <v>142</v>
      </c>
      <c r="H47" s="11" t="s">
        <v>142</v>
      </c>
      <c r="I47" s="11" t="s">
        <v>127</v>
      </c>
      <c r="J47" s="12" t="s">
        <v>168</v>
      </c>
      <c r="K47" s="14" t="str">
        <f t="shared" si="0"/>
        <v>NO</v>
      </c>
      <c r="L47" s="12" t="s">
        <v>128</v>
      </c>
      <c r="M47" s="12" t="s">
        <v>345</v>
      </c>
      <c r="N47" s="12" t="s">
        <v>346</v>
      </c>
      <c r="O47" s="12" t="s">
        <v>347</v>
      </c>
    </row>
    <row r="48" spans="1:15" ht="29" customHeight="1" x14ac:dyDescent="0.35">
      <c r="A48" s="11">
        <v>43</v>
      </c>
      <c r="B48" s="12" t="s">
        <v>348</v>
      </c>
      <c r="C48" s="12" t="s">
        <v>349</v>
      </c>
      <c r="D48" s="11">
        <v>2023</v>
      </c>
      <c r="E48" s="12" t="s">
        <v>153</v>
      </c>
      <c r="F48" s="12" t="s">
        <v>272</v>
      </c>
      <c r="G48" s="11" t="s">
        <v>142</v>
      </c>
      <c r="H48" s="11" t="s">
        <v>127</v>
      </c>
      <c r="I48" s="11"/>
      <c r="J48" s="12"/>
      <c r="K48" s="14" t="str">
        <f t="shared" si="0"/>
        <v>NO</v>
      </c>
      <c r="L48" s="12" t="s">
        <v>128</v>
      </c>
      <c r="M48" s="12" t="s">
        <v>350</v>
      </c>
      <c r="N48" s="12" t="s">
        <v>351</v>
      </c>
      <c r="O48" s="12" t="s">
        <v>352</v>
      </c>
    </row>
    <row r="49" spans="1:15" ht="29" customHeight="1" x14ac:dyDescent="0.35">
      <c r="A49" s="11">
        <v>44</v>
      </c>
      <c r="B49" s="12" t="s">
        <v>353</v>
      </c>
      <c r="C49" s="12" t="s">
        <v>354</v>
      </c>
      <c r="D49" s="11">
        <v>2023</v>
      </c>
      <c r="E49" s="12" t="s">
        <v>355</v>
      </c>
      <c r="F49" s="12" t="s">
        <v>272</v>
      </c>
      <c r="G49" s="11" t="s">
        <v>142</v>
      </c>
      <c r="H49" s="11" t="s">
        <v>142</v>
      </c>
      <c r="I49" s="11" t="s">
        <v>127</v>
      </c>
      <c r="J49" s="12" t="s">
        <v>313</v>
      </c>
      <c r="K49" s="14" t="str">
        <f t="shared" si="0"/>
        <v>NO</v>
      </c>
      <c r="L49" s="12" t="s">
        <v>128</v>
      </c>
      <c r="M49" s="12" t="s">
        <v>356</v>
      </c>
      <c r="N49" s="12" t="s">
        <v>357</v>
      </c>
      <c r="O49" s="12" t="s">
        <v>358</v>
      </c>
    </row>
    <row r="50" spans="1:15" ht="29" customHeight="1" x14ac:dyDescent="0.35">
      <c r="A50" s="11">
        <v>45</v>
      </c>
      <c r="B50" s="12" t="s">
        <v>359</v>
      </c>
      <c r="C50" s="12" t="s">
        <v>349</v>
      </c>
      <c r="D50" s="11">
        <v>2023</v>
      </c>
      <c r="E50" s="12" t="s">
        <v>227</v>
      </c>
      <c r="F50" s="12" t="s">
        <v>272</v>
      </c>
      <c r="G50" s="11" t="s">
        <v>142</v>
      </c>
      <c r="H50" s="11" t="s">
        <v>127</v>
      </c>
      <c r="I50" s="11"/>
      <c r="J50" s="12"/>
      <c r="K50" s="14" t="str">
        <f t="shared" si="0"/>
        <v>NO</v>
      </c>
      <c r="L50" s="12" t="s">
        <v>128</v>
      </c>
      <c r="M50" s="12" t="s">
        <v>350</v>
      </c>
      <c r="N50" s="12" t="s">
        <v>360</v>
      </c>
      <c r="O50" s="12" t="s">
        <v>361</v>
      </c>
    </row>
    <row r="51" spans="1:15" ht="29" customHeight="1" x14ac:dyDescent="0.35">
      <c r="A51" s="11">
        <v>46</v>
      </c>
      <c r="B51" s="12" t="s">
        <v>362</v>
      </c>
      <c r="C51" s="12" t="s">
        <v>276</v>
      </c>
      <c r="D51" s="11">
        <v>2020</v>
      </c>
      <c r="E51" s="12" t="s">
        <v>363</v>
      </c>
      <c r="F51" s="12" t="s">
        <v>272</v>
      </c>
      <c r="G51" s="11" t="s">
        <v>142</v>
      </c>
      <c r="H51" s="11" t="s">
        <v>142</v>
      </c>
      <c r="I51" s="11" t="s">
        <v>127</v>
      </c>
      <c r="J51" s="12" t="s">
        <v>168</v>
      </c>
      <c r="K51" s="14" t="str">
        <f t="shared" si="0"/>
        <v>NO</v>
      </c>
      <c r="L51" s="12" t="s">
        <v>128</v>
      </c>
      <c r="M51" s="12" t="s">
        <v>364</v>
      </c>
      <c r="N51" s="12" t="s">
        <v>365</v>
      </c>
      <c r="O51" s="12"/>
    </row>
    <row r="52" spans="1:15" ht="41.5" customHeight="1" x14ac:dyDescent="0.35">
      <c r="A52" s="11">
        <v>47</v>
      </c>
      <c r="B52" s="12" t="s">
        <v>366</v>
      </c>
      <c r="C52" s="12" t="s">
        <v>367</v>
      </c>
      <c r="D52" s="11">
        <v>2023</v>
      </c>
      <c r="E52" s="12" t="s">
        <v>368</v>
      </c>
      <c r="F52" s="12" t="s">
        <v>369</v>
      </c>
      <c r="G52" s="11" t="s">
        <v>127</v>
      </c>
      <c r="H52" s="11"/>
      <c r="I52" s="11"/>
      <c r="J52" s="12"/>
      <c r="K52" s="14" t="str">
        <f t="shared" si="0"/>
        <v>NO</v>
      </c>
      <c r="L52" s="12" t="s">
        <v>128</v>
      </c>
      <c r="M52" s="12" t="s">
        <v>370</v>
      </c>
      <c r="N52" s="12" t="s">
        <v>371</v>
      </c>
      <c r="O52" s="12" t="s">
        <v>372</v>
      </c>
    </row>
    <row r="53" spans="1:15" ht="29" customHeight="1" x14ac:dyDescent="0.35">
      <c r="A53" s="11">
        <v>48</v>
      </c>
      <c r="B53" s="12" t="s">
        <v>373</v>
      </c>
      <c r="C53" s="12" t="s">
        <v>374</v>
      </c>
      <c r="D53" s="11">
        <v>2023</v>
      </c>
      <c r="E53" s="12" t="s">
        <v>375</v>
      </c>
      <c r="F53" s="12" t="s">
        <v>369</v>
      </c>
      <c r="G53" s="11" t="s">
        <v>127</v>
      </c>
      <c r="H53" s="11"/>
      <c r="I53" s="11"/>
      <c r="J53" s="12"/>
      <c r="K53" s="14" t="str">
        <f t="shared" si="0"/>
        <v>NO</v>
      </c>
      <c r="L53" s="12" t="s">
        <v>128</v>
      </c>
      <c r="M53" s="12" t="s">
        <v>228</v>
      </c>
      <c r="N53" s="12" t="s">
        <v>376</v>
      </c>
      <c r="O53" s="12" t="s">
        <v>377</v>
      </c>
    </row>
    <row r="54" spans="1:15" ht="41.5" customHeight="1" x14ac:dyDescent="0.35">
      <c r="A54" s="11">
        <v>49</v>
      </c>
      <c r="B54" s="12" t="s">
        <v>378</v>
      </c>
      <c r="C54" s="12" t="s">
        <v>379</v>
      </c>
      <c r="D54" s="11">
        <v>2024</v>
      </c>
      <c r="E54" s="12" t="s">
        <v>140</v>
      </c>
      <c r="F54" s="12" t="s">
        <v>369</v>
      </c>
      <c r="G54" s="11" t="s">
        <v>142</v>
      </c>
      <c r="H54" s="11" t="s">
        <v>142</v>
      </c>
      <c r="I54" s="11" t="s">
        <v>142</v>
      </c>
      <c r="J54" s="12"/>
      <c r="K54" s="14" t="str">
        <f t="shared" si="0"/>
        <v>YES</v>
      </c>
      <c r="L54" s="12" t="s">
        <v>128</v>
      </c>
      <c r="M54" s="12"/>
      <c r="N54" s="12" t="s">
        <v>380</v>
      </c>
      <c r="O54" s="12" t="s">
        <v>381</v>
      </c>
    </row>
    <row r="55" spans="1:15" ht="54" customHeight="1" x14ac:dyDescent="0.35">
      <c r="A55" s="11">
        <v>50</v>
      </c>
      <c r="B55" s="12" t="s">
        <v>382</v>
      </c>
      <c r="C55" s="12" t="s">
        <v>383</v>
      </c>
      <c r="D55" s="11">
        <v>2024</v>
      </c>
      <c r="E55" s="12" t="s">
        <v>384</v>
      </c>
      <c r="F55" s="12" t="s">
        <v>369</v>
      </c>
      <c r="G55" s="11" t="s">
        <v>127</v>
      </c>
      <c r="H55" s="11"/>
      <c r="I55" s="11"/>
      <c r="J55" s="12"/>
      <c r="K55" s="14" t="str">
        <f t="shared" si="0"/>
        <v>NO</v>
      </c>
      <c r="L55" s="12" t="s">
        <v>128</v>
      </c>
      <c r="M55" s="12" t="s">
        <v>385</v>
      </c>
      <c r="N55" s="12" t="s">
        <v>386</v>
      </c>
      <c r="O55" s="12" t="s">
        <v>387</v>
      </c>
    </row>
    <row r="56" spans="1:15" ht="29" customHeight="1" x14ac:dyDescent="0.35">
      <c r="A56" s="11">
        <v>51</v>
      </c>
      <c r="B56" s="12" t="s">
        <v>388</v>
      </c>
      <c r="C56" s="12" t="s">
        <v>389</v>
      </c>
      <c r="D56" s="11">
        <v>2023</v>
      </c>
      <c r="E56" s="12" t="s">
        <v>153</v>
      </c>
      <c r="F56" s="12" t="s">
        <v>369</v>
      </c>
      <c r="G56" s="11" t="s">
        <v>127</v>
      </c>
      <c r="H56" s="11"/>
      <c r="I56" s="11"/>
      <c r="J56" s="12"/>
      <c r="K56" s="14" t="str">
        <f t="shared" si="0"/>
        <v>NO</v>
      </c>
      <c r="L56" s="12" t="s">
        <v>128</v>
      </c>
      <c r="M56" s="12" t="s">
        <v>390</v>
      </c>
      <c r="N56" s="12" t="s">
        <v>391</v>
      </c>
      <c r="O56" s="12" t="s">
        <v>392</v>
      </c>
    </row>
    <row r="57" spans="1:15" ht="29" customHeight="1" x14ac:dyDescent="0.35">
      <c r="A57" s="11">
        <v>52</v>
      </c>
      <c r="B57" s="12" t="s">
        <v>393</v>
      </c>
      <c r="C57" s="12" t="s">
        <v>394</v>
      </c>
      <c r="D57" s="11">
        <v>2024</v>
      </c>
      <c r="E57" s="12" t="s">
        <v>395</v>
      </c>
      <c r="F57" s="12" t="s">
        <v>369</v>
      </c>
      <c r="G57" s="11" t="s">
        <v>142</v>
      </c>
      <c r="H57" s="11" t="s">
        <v>142</v>
      </c>
      <c r="I57" s="11" t="s">
        <v>142</v>
      </c>
      <c r="J57" s="12"/>
      <c r="K57" s="14" t="str">
        <f t="shared" si="0"/>
        <v>YES</v>
      </c>
      <c r="L57" s="12" t="s">
        <v>128</v>
      </c>
      <c r="M57" s="12"/>
      <c r="N57" s="12" t="s">
        <v>396</v>
      </c>
      <c r="O57" s="12" t="s">
        <v>397</v>
      </c>
    </row>
    <row r="58" spans="1:15" ht="104" customHeight="1" x14ac:dyDescent="0.35">
      <c r="A58" s="11">
        <v>53</v>
      </c>
      <c r="B58" s="12" t="s">
        <v>398</v>
      </c>
      <c r="C58" s="12" t="s">
        <v>399</v>
      </c>
      <c r="D58" s="11">
        <v>2024</v>
      </c>
      <c r="E58" s="12" t="s">
        <v>400</v>
      </c>
      <c r="F58" s="12" t="s">
        <v>369</v>
      </c>
      <c r="G58" s="11" t="s">
        <v>127</v>
      </c>
      <c r="H58" s="11"/>
      <c r="I58" s="11"/>
      <c r="J58" s="12"/>
      <c r="K58" s="14" t="str">
        <f t="shared" si="0"/>
        <v>NO</v>
      </c>
      <c r="L58" s="12" t="s">
        <v>128</v>
      </c>
      <c r="M58" s="12" t="s">
        <v>401</v>
      </c>
      <c r="N58" s="12" t="s">
        <v>402</v>
      </c>
      <c r="O58" s="12" t="s">
        <v>403</v>
      </c>
    </row>
    <row r="59" spans="1:15" ht="29" customHeight="1" x14ac:dyDescent="0.35">
      <c r="A59" s="11">
        <v>54</v>
      </c>
      <c r="B59" s="12" t="s">
        <v>404</v>
      </c>
      <c r="C59" s="12" t="s">
        <v>405</v>
      </c>
      <c r="D59" s="11">
        <v>2025</v>
      </c>
      <c r="E59" s="12" t="s">
        <v>406</v>
      </c>
      <c r="F59" s="12" t="s">
        <v>369</v>
      </c>
      <c r="G59" s="11" t="s">
        <v>127</v>
      </c>
      <c r="H59" s="11"/>
      <c r="I59" s="11"/>
      <c r="J59" s="12"/>
      <c r="K59" s="14" t="str">
        <f t="shared" si="0"/>
        <v>NO</v>
      </c>
      <c r="L59" s="12" t="s">
        <v>128</v>
      </c>
      <c r="M59" s="12" t="s">
        <v>407</v>
      </c>
      <c r="N59" s="12" t="s">
        <v>408</v>
      </c>
      <c r="O59" s="12" t="s">
        <v>409</v>
      </c>
    </row>
    <row r="60" spans="1:15" ht="29" customHeight="1" x14ac:dyDescent="0.35">
      <c r="A60" s="11">
        <v>55</v>
      </c>
      <c r="B60" s="12" t="s">
        <v>410</v>
      </c>
      <c r="C60" s="12" t="s">
        <v>411</v>
      </c>
      <c r="D60" s="11">
        <v>2024</v>
      </c>
      <c r="E60" s="12" t="s">
        <v>412</v>
      </c>
      <c r="F60" s="12" t="s">
        <v>369</v>
      </c>
      <c r="G60" s="11" t="s">
        <v>142</v>
      </c>
      <c r="H60" s="11" t="s">
        <v>142</v>
      </c>
      <c r="I60" s="11" t="s">
        <v>142</v>
      </c>
      <c r="J60" s="12"/>
      <c r="K60" s="14" t="str">
        <f t="shared" si="0"/>
        <v>YES</v>
      </c>
      <c r="L60" s="12" t="s">
        <v>128</v>
      </c>
      <c r="M60" s="12"/>
      <c r="N60" s="12" t="s">
        <v>413</v>
      </c>
      <c r="O60" s="12" t="s">
        <v>414</v>
      </c>
    </row>
    <row r="61" spans="1:15" ht="29" customHeight="1" x14ac:dyDescent="0.35">
      <c r="A61" s="11">
        <v>56</v>
      </c>
      <c r="B61" s="12" t="s">
        <v>415</v>
      </c>
      <c r="C61" s="12" t="s">
        <v>416</v>
      </c>
      <c r="D61" s="11">
        <v>2024</v>
      </c>
      <c r="E61" s="12" t="s">
        <v>417</v>
      </c>
      <c r="F61" s="12" t="s">
        <v>369</v>
      </c>
      <c r="G61" s="11" t="s">
        <v>142</v>
      </c>
      <c r="H61" s="11" t="s">
        <v>142</v>
      </c>
      <c r="I61" s="11" t="s">
        <v>142</v>
      </c>
      <c r="J61" s="12"/>
      <c r="K61" s="14" t="str">
        <f t="shared" si="0"/>
        <v>YES</v>
      </c>
      <c r="L61" s="12" t="s">
        <v>128</v>
      </c>
      <c r="M61" s="12"/>
      <c r="N61" s="12" t="s">
        <v>418</v>
      </c>
      <c r="O61" s="12" t="s">
        <v>419</v>
      </c>
    </row>
    <row r="62" spans="1:15" ht="41.5" customHeight="1" x14ac:dyDescent="0.35">
      <c r="A62" s="11">
        <v>57</v>
      </c>
      <c r="B62" s="12" t="s">
        <v>420</v>
      </c>
      <c r="C62" s="12" t="s">
        <v>421</v>
      </c>
      <c r="D62" s="11">
        <v>2025</v>
      </c>
      <c r="E62" s="12" t="s">
        <v>422</v>
      </c>
      <c r="F62" s="12" t="s">
        <v>369</v>
      </c>
      <c r="G62" s="11" t="s">
        <v>127</v>
      </c>
      <c r="H62" s="11"/>
      <c r="I62" s="11"/>
      <c r="J62" s="12"/>
      <c r="K62" s="14" t="str">
        <f t="shared" si="0"/>
        <v>NO</v>
      </c>
      <c r="L62" s="12" t="s">
        <v>128</v>
      </c>
      <c r="M62" s="12" t="s">
        <v>423</v>
      </c>
      <c r="N62" s="12" t="s">
        <v>424</v>
      </c>
      <c r="O62" s="12" t="s">
        <v>425</v>
      </c>
    </row>
    <row r="63" spans="1:15" ht="54" customHeight="1" x14ac:dyDescent="0.35">
      <c r="A63" s="11">
        <v>58</v>
      </c>
      <c r="B63" s="12" t="s">
        <v>426</v>
      </c>
      <c r="C63" s="12" t="s">
        <v>427</v>
      </c>
      <c r="D63" s="11">
        <v>2025</v>
      </c>
      <c r="E63" s="12" t="s">
        <v>428</v>
      </c>
      <c r="F63" s="12" t="s">
        <v>369</v>
      </c>
      <c r="G63" s="11" t="s">
        <v>127</v>
      </c>
      <c r="H63" s="11"/>
      <c r="I63" s="11"/>
      <c r="J63" s="12"/>
      <c r="K63" s="14" t="str">
        <f t="shared" si="0"/>
        <v>NO</v>
      </c>
      <c r="L63" s="12" t="s">
        <v>128</v>
      </c>
      <c r="M63" s="12" t="s">
        <v>429</v>
      </c>
      <c r="N63" s="12" t="s">
        <v>430</v>
      </c>
      <c r="O63" s="12" t="s">
        <v>431</v>
      </c>
    </row>
    <row r="64" spans="1:15" ht="41.5" customHeight="1" x14ac:dyDescent="0.35">
      <c r="A64" s="11">
        <v>59</v>
      </c>
      <c r="B64" s="12" t="s">
        <v>432</v>
      </c>
      <c r="C64" s="12" t="s">
        <v>433</v>
      </c>
      <c r="D64" s="11">
        <v>2025</v>
      </c>
      <c r="E64" s="12" t="s">
        <v>434</v>
      </c>
      <c r="F64" s="12" t="s">
        <v>369</v>
      </c>
      <c r="G64" s="11" t="s">
        <v>127</v>
      </c>
      <c r="H64" s="11"/>
      <c r="I64" s="11"/>
      <c r="J64" s="12"/>
      <c r="K64" s="14" t="str">
        <f t="shared" si="0"/>
        <v>NO</v>
      </c>
      <c r="L64" s="12" t="s">
        <v>128</v>
      </c>
      <c r="M64" s="12" t="s">
        <v>228</v>
      </c>
      <c r="N64" s="12" t="s">
        <v>435</v>
      </c>
      <c r="O64" s="12" t="s">
        <v>436</v>
      </c>
    </row>
    <row r="65" spans="1:15" ht="41.5" customHeight="1" x14ac:dyDescent="0.35">
      <c r="A65" s="11">
        <v>60</v>
      </c>
      <c r="B65" s="12" t="s">
        <v>437</v>
      </c>
      <c r="C65" s="12" t="s">
        <v>438</v>
      </c>
      <c r="D65" s="11">
        <v>2025</v>
      </c>
      <c r="E65" s="12" t="s">
        <v>227</v>
      </c>
      <c r="F65" s="12" t="s">
        <v>369</v>
      </c>
      <c r="G65" s="11" t="s">
        <v>127</v>
      </c>
      <c r="H65" s="11"/>
      <c r="I65" s="11"/>
      <c r="J65" s="12"/>
      <c r="K65" s="14" t="str">
        <f t="shared" si="0"/>
        <v>NO</v>
      </c>
      <c r="L65" s="12" t="s">
        <v>128</v>
      </c>
      <c r="M65" s="12" t="s">
        <v>439</v>
      </c>
      <c r="N65" s="12" t="s">
        <v>440</v>
      </c>
      <c r="O65" s="12" t="s">
        <v>441</v>
      </c>
    </row>
    <row r="66" spans="1:15" ht="41.5" customHeight="1" x14ac:dyDescent="0.35">
      <c r="A66" s="11">
        <v>61</v>
      </c>
      <c r="B66" s="12" t="s">
        <v>442</v>
      </c>
      <c r="C66" s="12" t="s">
        <v>443</v>
      </c>
      <c r="D66" s="11">
        <v>2024</v>
      </c>
      <c r="E66" s="12" t="s">
        <v>444</v>
      </c>
      <c r="F66" s="12" t="s">
        <v>369</v>
      </c>
      <c r="G66" s="11" t="s">
        <v>127</v>
      </c>
      <c r="H66" s="11"/>
      <c r="I66" s="11"/>
      <c r="J66" s="12"/>
      <c r="K66" s="14" t="str">
        <f t="shared" si="0"/>
        <v>NO</v>
      </c>
      <c r="L66" s="12" t="s">
        <v>128</v>
      </c>
      <c r="M66" s="12" t="s">
        <v>370</v>
      </c>
      <c r="N66" s="12" t="s">
        <v>445</v>
      </c>
      <c r="O66" s="12" t="s">
        <v>446</v>
      </c>
    </row>
    <row r="67" spans="1:15" ht="29" customHeight="1" x14ac:dyDescent="0.35">
      <c r="A67" s="11">
        <v>62</v>
      </c>
      <c r="B67" s="12" t="s">
        <v>447</v>
      </c>
      <c r="C67" s="12" t="s">
        <v>448</v>
      </c>
      <c r="D67" s="11">
        <v>2024</v>
      </c>
      <c r="E67" s="12" t="s">
        <v>375</v>
      </c>
      <c r="F67" s="12" t="s">
        <v>369</v>
      </c>
      <c r="G67" s="11" t="s">
        <v>127</v>
      </c>
      <c r="H67" s="11"/>
      <c r="I67" s="11"/>
      <c r="J67" s="12"/>
      <c r="K67" s="14" t="str">
        <f t="shared" si="0"/>
        <v>NO</v>
      </c>
      <c r="L67" s="12" t="s">
        <v>128</v>
      </c>
      <c r="M67" s="12" t="s">
        <v>401</v>
      </c>
      <c r="N67" s="12" t="s">
        <v>449</v>
      </c>
      <c r="O67" s="12" t="s">
        <v>450</v>
      </c>
    </row>
    <row r="68" spans="1:15" ht="29" customHeight="1" x14ac:dyDescent="0.35">
      <c r="A68" s="11">
        <v>63</v>
      </c>
      <c r="B68" s="12" t="s">
        <v>451</v>
      </c>
      <c r="C68" s="12" t="s">
        <v>452</v>
      </c>
      <c r="D68" s="11">
        <v>2025</v>
      </c>
      <c r="E68" s="12" t="s">
        <v>453</v>
      </c>
      <c r="F68" s="12" t="s">
        <v>369</v>
      </c>
      <c r="G68" s="11" t="s">
        <v>142</v>
      </c>
      <c r="H68" s="11" t="s">
        <v>142</v>
      </c>
      <c r="I68" s="11" t="s">
        <v>127</v>
      </c>
      <c r="J68" s="12" t="s">
        <v>313</v>
      </c>
      <c r="K68" s="14" t="str">
        <f t="shared" si="0"/>
        <v>NO</v>
      </c>
      <c r="L68" s="12" t="s">
        <v>128</v>
      </c>
      <c r="M68" s="12" t="s">
        <v>454</v>
      </c>
      <c r="N68" s="12" t="s">
        <v>455</v>
      </c>
      <c r="O68" s="12" t="s">
        <v>456</v>
      </c>
    </row>
    <row r="69" spans="1:15" ht="29" customHeight="1" x14ac:dyDescent="0.35">
      <c r="A69" s="11">
        <v>64</v>
      </c>
      <c r="B69" s="12" t="s">
        <v>457</v>
      </c>
      <c r="C69" s="12" t="s">
        <v>458</v>
      </c>
      <c r="D69" s="11">
        <v>2025</v>
      </c>
      <c r="E69" s="12" t="s">
        <v>459</v>
      </c>
      <c r="F69" s="12" t="s">
        <v>369</v>
      </c>
      <c r="G69" s="11" t="s">
        <v>127</v>
      </c>
      <c r="H69" s="11"/>
      <c r="I69" s="11"/>
      <c r="J69" s="12"/>
      <c r="K69" s="14" t="str">
        <f t="shared" si="0"/>
        <v>NO</v>
      </c>
      <c r="L69" s="12" t="s">
        <v>128</v>
      </c>
      <c r="M69" s="12" t="s">
        <v>460</v>
      </c>
      <c r="N69" s="12" t="s">
        <v>461</v>
      </c>
      <c r="O69" s="12" t="s">
        <v>462</v>
      </c>
    </row>
    <row r="70" spans="1:15" ht="41.5" customHeight="1" x14ac:dyDescent="0.35">
      <c r="A70" s="11">
        <v>65</v>
      </c>
      <c r="B70" s="12" t="s">
        <v>463</v>
      </c>
      <c r="C70" s="12" t="s">
        <v>464</v>
      </c>
      <c r="D70" s="11">
        <v>2025</v>
      </c>
      <c r="E70" s="12" t="s">
        <v>465</v>
      </c>
      <c r="F70" s="12" t="s">
        <v>369</v>
      </c>
      <c r="G70" s="11" t="s">
        <v>127</v>
      </c>
      <c r="H70" s="11"/>
      <c r="I70" s="11"/>
      <c r="J70" s="12"/>
      <c r="K70" s="14" t="str">
        <f t="shared" ref="K70:K133" si="1">IF(AND(G70="KEEP",H70="KEEP",I70="KEEP"),"YES",IF(OR(G70="DROP",H70="DROP",I70="DROP"),"NO",""))</f>
        <v>NO</v>
      </c>
      <c r="L70" s="12" t="s">
        <v>128</v>
      </c>
      <c r="M70" s="12" t="s">
        <v>466</v>
      </c>
      <c r="N70" s="12" t="s">
        <v>467</v>
      </c>
      <c r="O70" s="12" t="s">
        <v>468</v>
      </c>
    </row>
    <row r="71" spans="1:15" ht="79" customHeight="1" x14ac:dyDescent="0.35">
      <c r="A71" s="11">
        <v>66</v>
      </c>
      <c r="B71" s="12" t="s">
        <v>469</v>
      </c>
      <c r="C71" s="12" t="s">
        <v>470</v>
      </c>
      <c r="D71" s="11">
        <v>2025</v>
      </c>
      <c r="E71" s="12" t="s">
        <v>471</v>
      </c>
      <c r="F71" s="12" t="s">
        <v>369</v>
      </c>
      <c r="G71" s="11" t="s">
        <v>127</v>
      </c>
      <c r="H71" s="11"/>
      <c r="I71" s="11"/>
      <c r="J71" s="12"/>
      <c r="K71" s="14" t="str">
        <f t="shared" si="1"/>
        <v>NO</v>
      </c>
      <c r="L71" s="12" t="s">
        <v>128</v>
      </c>
      <c r="M71" s="12" t="s">
        <v>472</v>
      </c>
      <c r="N71" s="12" t="s">
        <v>473</v>
      </c>
      <c r="O71" s="12" t="s">
        <v>474</v>
      </c>
    </row>
    <row r="72" spans="1:15" ht="41.5" customHeight="1" x14ac:dyDescent="0.35">
      <c r="A72" s="11">
        <v>67</v>
      </c>
      <c r="B72" s="12" t="s">
        <v>475</v>
      </c>
      <c r="C72" s="12" t="s">
        <v>476</v>
      </c>
      <c r="D72" s="11">
        <v>2026</v>
      </c>
      <c r="E72" s="12" t="s">
        <v>477</v>
      </c>
      <c r="F72" s="12" t="s">
        <v>369</v>
      </c>
      <c r="G72" s="11" t="s">
        <v>127</v>
      </c>
      <c r="H72" s="11"/>
      <c r="I72" s="11"/>
      <c r="J72" s="12"/>
      <c r="K72" s="14" t="str">
        <f t="shared" si="1"/>
        <v>NO</v>
      </c>
      <c r="L72" s="12" t="s">
        <v>128</v>
      </c>
      <c r="M72" s="12" t="s">
        <v>478</v>
      </c>
      <c r="N72" s="12" t="s">
        <v>479</v>
      </c>
      <c r="O72" s="12" t="s">
        <v>480</v>
      </c>
    </row>
    <row r="73" spans="1:15" ht="41.5" customHeight="1" x14ac:dyDescent="0.35">
      <c r="A73" s="11">
        <v>68</v>
      </c>
      <c r="B73" s="12" t="s">
        <v>481</v>
      </c>
      <c r="C73" s="12" t="s">
        <v>482</v>
      </c>
      <c r="D73" s="11">
        <v>2025</v>
      </c>
      <c r="E73" s="12" t="s">
        <v>483</v>
      </c>
      <c r="F73" s="12" t="s">
        <v>369</v>
      </c>
      <c r="G73" s="11" t="s">
        <v>127</v>
      </c>
      <c r="H73" s="11"/>
      <c r="I73" s="11"/>
      <c r="J73" s="12"/>
      <c r="K73" s="14" t="str">
        <f t="shared" si="1"/>
        <v>NO</v>
      </c>
      <c r="L73" s="12" t="s">
        <v>128</v>
      </c>
      <c r="M73" s="12" t="s">
        <v>484</v>
      </c>
      <c r="N73" s="12" t="s">
        <v>485</v>
      </c>
      <c r="O73" s="12" t="s">
        <v>486</v>
      </c>
    </row>
    <row r="74" spans="1:15" ht="54" customHeight="1" x14ac:dyDescent="0.35">
      <c r="A74" s="11">
        <v>69</v>
      </c>
      <c r="B74" s="12" t="s">
        <v>487</v>
      </c>
      <c r="C74" s="12" t="s">
        <v>488</v>
      </c>
      <c r="D74" s="11">
        <v>2025</v>
      </c>
      <c r="E74" s="12" t="s">
        <v>489</v>
      </c>
      <c r="F74" s="12" t="s">
        <v>369</v>
      </c>
      <c r="G74" s="11" t="s">
        <v>127</v>
      </c>
      <c r="H74" s="11"/>
      <c r="I74" s="11"/>
      <c r="J74" s="12"/>
      <c r="K74" s="14" t="str">
        <f t="shared" si="1"/>
        <v>NO</v>
      </c>
      <c r="L74" s="12" t="s">
        <v>128</v>
      </c>
      <c r="M74" s="12" t="s">
        <v>135</v>
      </c>
      <c r="N74" s="12" t="s">
        <v>490</v>
      </c>
      <c r="O74" s="12" t="s">
        <v>491</v>
      </c>
    </row>
    <row r="75" spans="1:15" ht="29" customHeight="1" x14ac:dyDescent="0.35">
      <c r="A75" s="11">
        <v>70</v>
      </c>
      <c r="B75" s="12" t="s">
        <v>492</v>
      </c>
      <c r="C75" s="12" t="s">
        <v>493</v>
      </c>
      <c r="D75" s="11">
        <v>2023</v>
      </c>
      <c r="E75" s="12" t="s">
        <v>494</v>
      </c>
      <c r="F75" s="12" t="s">
        <v>495</v>
      </c>
      <c r="G75" s="11" t="s">
        <v>142</v>
      </c>
      <c r="H75" s="11" t="s">
        <v>142</v>
      </c>
      <c r="I75" s="11" t="s">
        <v>142</v>
      </c>
      <c r="J75" s="12"/>
      <c r="K75" s="14" t="str">
        <f t="shared" si="1"/>
        <v>YES</v>
      </c>
      <c r="L75" s="12" t="s">
        <v>128</v>
      </c>
      <c r="M75" s="12" t="s">
        <v>496</v>
      </c>
      <c r="N75" s="12" t="s">
        <v>497</v>
      </c>
      <c r="O75" s="12" t="s">
        <v>498</v>
      </c>
    </row>
    <row r="76" spans="1:15" ht="41.5" customHeight="1" x14ac:dyDescent="0.35">
      <c r="A76" s="11">
        <v>71</v>
      </c>
      <c r="B76" s="12" t="s">
        <v>499</v>
      </c>
      <c r="C76" s="12" t="s">
        <v>500</v>
      </c>
      <c r="D76" s="11">
        <v>2023</v>
      </c>
      <c r="E76" s="12" t="s">
        <v>501</v>
      </c>
      <c r="F76" s="12" t="s">
        <v>495</v>
      </c>
      <c r="G76" s="11" t="s">
        <v>142</v>
      </c>
      <c r="H76" s="11" t="s">
        <v>142</v>
      </c>
      <c r="I76" s="11" t="s">
        <v>142</v>
      </c>
      <c r="J76" s="12"/>
      <c r="K76" s="14" t="str">
        <f t="shared" si="1"/>
        <v>YES</v>
      </c>
      <c r="L76" s="12" t="s">
        <v>128</v>
      </c>
      <c r="M76" s="12"/>
      <c r="N76" s="12" t="s">
        <v>502</v>
      </c>
      <c r="O76" s="12" t="s">
        <v>503</v>
      </c>
    </row>
    <row r="77" spans="1:15" ht="29" customHeight="1" x14ac:dyDescent="0.35">
      <c r="A77" s="11">
        <v>72</v>
      </c>
      <c r="B77" s="12" t="s">
        <v>504</v>
      </c>
      <c r="C77" s="12" t="s">
        <v>505</v>
      </c>
      <c r="D77" s="11">
        <v>2021</v>
      </c>
      <c r="E77" s="12" t="s">
        <v>506</v>
      </c>
      <c r="F77" s="12" t="s">
        <v>495</v>
      </c>
      <c r="G77" s="11" t="s">
        <v>127</v>
      </c>
      <c r="H77" s="11"/>
      <c r="I77" s="11"/>
      <c r="J77" s="12"/>
      <c r="K77" s="14" t="str">
        <f t="shared" si="1"/>
        <v>NO</v>
      </c>
      <c r="L77" s="12" t="s">
        <v>128</v>
      </c>
      <c r="M77" s="12" t="s">
        <v>507</v>
      </c>
      <c r="N77" s="12" t="s">
        <v>508</v>
      </c>
      <c r="O77" s="12" t="s">
        <v>509</v>
      </c>
    </row>
    <row r="78" spans="1:15" ht="41.5" customHeight="1" x14ac:dyDescent="0.35">
      <c r="A78" s="11">
        <v>73</v>
      </c>
      <c r="B78" s="12" t="s">
        <v>510</v>
      </c>
      <c r="C78" s="12" t="s">
        <v>511</v>
      </c>
      <c r="D78" s="11">
        <v>2024</v>
      </c>
      <c r="E78" s="12" t="s">
        <v>512</v>
      </c>
      <c r="F78" s="12" t="s">
        <v>495</v>
      </c>
      <c r="G78" s="11" t="s">
        <v>127</v>
      </c>
      <c r="H78" s="11"/>
      <c r="I78" s="11"/>
      <c r="J78" s="12"/>
      <c r="K78" s="14" t="str">
        <f t="shared" si="1"/>
        <v>NO</v>
      </c>
      <c r="L78" s="12" t="s">
        <v>128</v>
      </c>
      <c r="M78" s="12" t="s">
        <v>513</v>
      </c>
      <c r="N78" s="12" t="s">
        <v>514</v>
      </c>
      <c r="O78" s="12" t="s">
        <v>515</v>
      </c>
    </row>
    <row r="79" spans="1:15" ht="41.5" customHeight="1" x14ac:dyDescent="0.35">
      <c r="A79" s="11">
        <v>74</v>
      </c>
      <c r="B79" s="12" t="s">
        <v>516</v>
      </c>
      <c r="C79" s="12" t="s">
        <v>517</v>
      </c>
      <c r="D79" s="11">
        <v>2024</v>
      </c>
      <c r="E79" s="12" t="s">
        <v>412</v>
      </c>
      <c r="F79" s="12" t="s">
        <v>495</v>
      </c>
      <c r="G79" s="11" t="s">
        <v>142</v>
      </c>
      <c r="H79" s="11" t="s">
        <v>142</v>
      </c>
      <c r="I79" s="11" t="s">
        <v>142</v>
      </c>
      <c r="J79" s="12"/>
      <c r="K79" s="14" t="str">
        <f t="shared" si="1"/>
        <v>YES</v>
      </c>
      <c r="L79" s="12" t="s">
        <v>128</v>
      </c>
      <c r="M79" s="12"/>
      <c r="N79" s="12" t="s">
        <v>518</v>
      </c>
      <c r="O79" s="12" t="s">
        <v>519</v>
      </c>
    </row>
    <row r="80" spans="1:15" ht="41.5" customHeight="1" x14ac:dyDescent="0.35">
      <c r="A80" s="11">
        <v>75</v>
      </c>
      <c r="B80" s="12" t="s">
        <v>520</v>
      </c>
      <c r="C80" s="12" t="s">
        <v>521</v>
      </c>
      <c r="D80" s="11">
        <v>2023</v>
      </c>
      <c r="E80" s="12" t="s">
        <v>318</v>
      </c>
      <c r="F80" s="12" t="s">
        <v>495</v>
      </c>
      <c r="G80" s="11" t="s">
        <v>142</v>
      </c>
      <c r="H80" s="11" t="s">
        <v>142</v>
      </c>
      <c r="I80" s="11" t="s">
        <v>142</v>
      </c>
      <c r="J80" s="12"/>
      <c r="K80" s="14" t="str">
        <f t="shared" si="1"/>
        <v>YES</v>
      </c>
      <c r="L80" s="12" t="s">
        <v>128</v>
      </c>
      <c r="M80" s="12"/>
      <c r="N80" s="12" t="s">
        <v>522</v>
      </c>
      <c r="O80" s="12" t="s">
        <v>523</v>
      </c>
    </row>
    <row r="81" spans="1:15" ht="41.5" customHeight="1" x14ac:dyDescent="0.35">
      <c r="A81" s="11">
        <v>76</v>
      </c>
      <c r="B81" s="12" t="s">
        <v>524</v>
      </c>
      <c r="C81" s="12" t="s">
        <v>525</v>
      </c>
      <c r="D81" s="11">
        <v>2023</v>
      </c>
      <c r="E81" s="12" t="s">
        <v>153</v>
      </c>
      <c r="F81" s="12" t="s">
        <v>495</v>
      </c>
      <c r="G81" s="11" t="s">
        <v>127</v>
      </c>
      <c r="H81" s="11"/>
      <c r="I81" s="11"/>
      <c r="J81" s="12"/>
      <c r="K81" s="14" t="str">
        <f t="shared" si="1"/>
        <v>NO</v>
      </c>
      <c r="L81" s="12" t="s">
        <v>128</v>
      </c>
      <c r="M81" s="12" t="s">
        <v>526</v>
      </c>
      <c r="N81" s="12" t="s">
        <v>527</v>
      </c>
      <c r="O81" s="12" t="s">
        <v>528</v>
      </c>
    </row>
    <row r="82" spans="1:15" ht="41.5" customHeight="1" x14ac:dyDescent="0.35">
      <c r="A82" s="11">
        <v>77</v>
      </c>
      <c r="B82" s="12" t="s">
        <v>529</v>
      </c>
      <c r="C82" s="12" t="s">
        <v>530</v>
      </c>
      <c r="D82" s="11">
        <v>2021</v>
      </c>
      <c r="E82" s="12" t="s">
        <v>531</v>
      </c>
      <c r="F82" s="12" t="s">
        <v>495</v>
      </c>
      <c r="G82" s="11" t="s">
        <v>127</v>
      </c>
      <c r="H82" s="11"/>
      <c r="I82" s="11"/>
      <c r="J82" s="12"/>
      <c r="K82" s="14" t="str">
        <f t="shared" si="1"/>
        <v>NO</v>
      </c>
      <c r="L82" s="12" t="s">
        <v>128</v>
      </c>
      <c r="M82" s="12" t="s">
        <v>532</v>
      </c>
      <c r="N82" s="12" t="s">
        <v>533</v>
      </c>
      <c r="O82" s="12" t="s">
        <v>534</v>
      </c>
    </row>
    <row r="83" spans="1:15" ht="29" customHeight="1" x14ac:dyDescent="0.35">
      <c r="A83" s="11">
        <v>78</v>
      </c>
      <c r="B83" s="12" t="s">
        <v>535</v>
      </c>
      <c r="C83" s="12" t="s">
        <v>536</v>
      </c>
      <c r="D83" s="11">
        <v>2024</v>
      </c>
      <c r="E83" s="12" t="s">
        <v>537</v>
      </c>
      <c r="F83" s="12" t="s">
        <v>495</v>
      </c>
      <c r="G83" s="11" t="s">
        <v>142</v>
      </c>
      <c r="H83" s="11" t="s">
        <v>142</v>
      </c>
      <c r="I83" s="11" t="s">
        <v>142</v>
      </c>
      <c r="J83" s="12"/>
      <c r="K83" s="14" t="str">
        <f t="shared" si="1"/>
        <v>YES</v>
      </c>
      <c r="L83" s="12" t="s">
        <v>128</v>
      </c>
      <c r="M83" s="12"/>
      <c r="N83" s="12" t="s">
        <v>538</v>
      </c>
      <c r="O83" s="12" t="s">
        <v>539</v>
      </c>
    </row>
    <row r="84" spans="1:15" ht="29" customHeight="1" x14ac:dyDescent="0.35">
      <c r="A84" s="11">
        <v>79</v>
      </c>
      <c r="B84" s="12" t="s">
        <v>540</v>
      </c>
      <c r="C84" s="12" t="s">
        <v>541</v>
      </c>
      <c r="D84" s="11">
        <v>2023</v>
      </c>
      <c r="E84" s="12" t="s">
        <v>153</v>
      </c>
      <c r="F84" s="12" t="s">
        <v>495</v>
      </c>
      <c r="G84" s="11" t="s">
        <v>142</v>
      </c>
      <c r="H84" s="11" t="s">
        <v>142</v>
      </c>
      <c r="I84" s="11" t="s">
        <v>127</v>
      </c>
      <c r="J84" s="12" t="s">
        <v>203</v>
      </c>
      <c r="K84" s="14" t="str">
        <f t="shared" si="1"/>
        <v>NO</v>
      </c>
      <c r="L84" s="12" t="s">
        <v>128</v>
      </c>
      <c r="M84" s="12" t="s">
        <v>542</v>
      </c>
      <c r="N84" s="12" t="s">
        <v>543</v>
      </c>
      <c r="O84" s="12" t="s">
        <v>544</v>
      </c>
    </row>
    <row r="85" spans="1:15" ht="29" customHeight="1" x14ac:dyDescent="0.35">
      <c r="A85" s="11">
        <v>80</v>
      </c>
      <c r="B85" s="12" t="s">
        <v>545</v>
      </c>
      <c r="C85" s="12" t="s">
        <v>220</v>
      </c>
      <c r="D85" s="11">
        <v>2023</v>
      </c>
      <c r="E85" s="12" t="s">
        <v>153</v>
      </c>
      <c r="F85" s="12" t="s">
        <v>495</v>
      </c>
      <c r="G85" s="11" t="s">
        <v>127</v>
      </c>
      <c r="H85" s="11"/>
      <c r="I85" s="11"/>
      <c r="J85" s="12"/>
      <c r="K85" s="14" t="str">
        <f t="shared" si="1"/>
        <v>NO</v>
      </c>
      <c r="L85" s="12" t="s">
        <v>128</v>
      </c>
      <c r="M85" s="12" t="s">
        <v>546</v>
      </c>
      <c r="N85" s="12" t="s">
        <v>547</v>
      </c>
      <c r="O85" s="12" t="s">
        <v>548</v>
      </c>
    </row>
    <row r="86" spans="1:15" ht="29" customHeight="1" x14ac:dyDescent="0.35">
      <c r="A86" s="11">
        <v>81</v>
      </c>
      <c r="B86" s="12" t="s">
        <v>549</v>
      </c>
      <c r="C86" s="12" t="s">
        <v>550</v>
      </c>
      <c r="D86" s="11">
        <v>2023</v>
      </c>
      <c r="E86" s="12" t="s">
        <v>551</v>
      </c>
      <c r="F86" s="12" t="s">
        <v>495</v>
      </c>
      <c r="G86" s="11" t="s">
        <v>142</v>
      </c>
      <c r="H86" s="11" t="s">
        <v>142</v>
      </c>
      <c r="I86" s="11" t="s">
        <v>142</v>
      </c>
      <c r="J86" s="12"/>
      <c r="K86" s="14" t="str">
        <f t="shared" si="1"/>
        <v>YES</v>
      </c>
      <c r="L86" s="12" t="s">
        <v>128</v>
      </c>
      <c r="M86" s="12"/>
      <c r="N86" s="12" t="s">
        <v>552</v>
      </c>
      <c r="O86" s="12" t="s">
        <v>553</v>
      </c>
    </row>
    <row r="87" spans="1:15" ht="29" customHeight="1" x14ac:dyDescent="0.35">
      <c r="A87" s="11">
        <v>82</v>
      </c>
      <c r="B87" s="12" t="s">
        <v>554</v>
      </c>
      <c r="C87" s="12" t="s">
        <v>555</v>
      </c>
      <c r="D87" s="11">
        <v>2023</v>
      </c>
      <c r="E87" s="12" t="s">
        <v>318</v>
      </c>
      <c r="F87" s="12" t="s">
        <v>495</v>
      </c>
      <c r="G87" s="11" t="s">
        <v>142</v>
      </c>
      <c r="H87" s="11" t="s">
        <v>142</v>
      </c>
      <c r="I87" s="11" t="s">
        <v>142</v>
      </c>
      <c r="J87" s="12"/>
      <c r="K87" s="14" t="str">
        <f t="shared" si="1"/>
        <v>YES</v>
      </c>
      <c r="L87" s="12" t="s">
        <v>128</v>
      </c>
      <c r="M87" s="12"/>
      <c r="N87" s="12" t="s">
        <v>556</v>
      </c>
      <c r="O87" s="12" t="s">
        <v>557</v>
      </c>
    </row>
    <row r="88" spans="1:15" ht="29" customHeight="1" x14ac:dyDescent="0.35">
      <c r="A88" s="11">
        <v>83</v>
      </c>
      <c r="B88" s="12" t="s">
        <v>558</v>
      </c>
      <c r="C88" s="12" t="s">
        <v>559</v>
      </c>
      <c r="D88" s="11">
        <v>2024</v>
      </c>
      <c r="E88" s="12" t="s">
        <v>560</v>
      </c>
      <c r="F88" s="12" t="s">
        <v>495</v>
      </c>
      <c r="G88" s="11" t="s">
        <v>142</v>
      </c>
      <c r="H88" s="11" t="s">
        <v>142</v>
      </c>
      <c r="I88" s="11" t="s">
        <v>142</v>
      </c>
      <c r="J88" s="12"/>
      <c r="K88" s="14" t="str">
        <f t="shared" si="1"/>
        <v>YES</v>
      </c>
      <c r="L88" s="12" t="s">
        <v>128</v>
      </c>
      <c r="M88" s="12"/>
      <c r="N88" s="12" t="s">
        <v>561</v>
      </c>
      <c r="O88" s="12" t="s">
        <v>562</v>
      </c>
    </row>
    <row r="89" spans="1:15" ht="29" customHeight="1" x14ac:dyDescent="0.35">
      <c r="A89" s="11">
        <v>84</v>
      </c>
      <c r="B89" s="12" t="s">
        <v>563</v>
      </c>
      <c r="C89" s="12" t="s">
        <v>564</v>
      </c>
      <c r="D89" s="11">
        <v>2023</v>
      </c>
      <c r="E89" s="12" t="s">
        <v>565</v>
      </c>
      <c r="F89" s="12" t="s">
        <v>495</v>
      </c>
      <c r="G89" s="11" t="s">
        <v>142</v>
      </c>
      <c r="H89" s="11" t="s">
        <v>142</v>
      </c>
      <c r="I89" s="11" t="s">
        <v>142</v>
      </c>
      <c r="J89" s="12"/>
      <c r="K89" s="14" t="str">
        <f t="shared" si="1"/>
        <v>YES</v>
      </c>
      <c r="L89" s="12" t="s">
        <v>128</v>
      </c>
      <c r="M89" s="12"/>
      <c r="N89" s="12" t="s">
        <v>566</v>
      </c>
      <c r="O89" s="12" t="s">
        <v>567</v>
      </c>
    </row>
    <row r="90" spans="1:15" ht="41.5" customHeight="1" x14ac:dyDescent="0.35">
      <c r="A90" s="11">
        <v>85</v>
      </c>
      <c r="B90" s="12" t="s">
        <v>568</v>
      </c>
      <c r="C90" s="12" t="s">
        <v>569</v>
      </c>
      <c r="D90" s="11">
        <v>2024</v>
      </c>
      <c r="E90" s="12" t="s">
        <v>197</v>
      </c>
      <c r="F90" s="12" t="s">
        <v>495</v>
      </c>
      <c r="G90" s="11" t="s">
        <v>127</v>
      </c>
      <c r="H90" s="11"/>
      <c r="I90" s="11"/>
      <c r="J90" s="12"/>
      <c r="K90" s="14" t="str">
        <f t="shared" si="1"/>
        <v>NO</v>
      </c>
      <c r="L90" s="12" t="s">
        <v>128</v>
      </c>
      <c r="M90" s="12" t="s">
        <v>570</v>
      </c>
      <c r="N90" s="12" t="s">
        <v>571</v>
      </c>
      <c r="O90" s="12" t="s">
        <v>572</v>
      </c>
    </row>
    <row r="91" spans="1:15" ht="29" customHeight="1" x14ac:dyDescent="0.35">
      <c r="A91" s="11">
        <v>86</v>
      </c>
      <c r="B91" s="12" t="s">
        <v>573</v>
      </c>
      <c r="C91" s="12" t="s">
        <v>574</v>
      </c>
      <c r="D91" s="11">
        <v>2024</v>
      </c>
      <c r="E91" s="12" t="s">
        <v>299</v>
      </c>
      <c r="F91" s="12" t="s">
        <v>495</v>
      </c>
      <c r="G91" s="11" t="s">
        <v>142</v>
      </c>
      <c r="H91" s="11" t="s">
        <v>142</v>
      </c>
      <c r="I91" s="11" t="s">
        <v>142</v>
      </c>
      <c r="J91" s="12"/>
      <c r="K91" s="14" t="str">
        <f t="shared" si="1"/>
        <v>YES</v>
      </c>
      <c r="L91" s="12" t="s">
        <v>128</v>
      </c>
      <c r="M91" s="12"/>
      <c r="N91" s="12" t="s">
        <v>575</v>
      </c>
      <c r="O91" s="12" t="s">
        <v>576</v>
      </c>
    </row>
    <row r="92" spans="1:15" ht="41.5" customHeight="1" x14ac:dyDescent="0.35">
      <c r="A92" s="11">
        <v>87</v>
      </c>
      <c r="B92" s="12" t="s">
        <v>577</v>
      </c>
      <c r="C92" s="12" t="s">
        <v>578</v>
      </c>
      <c r="D92" s="11">
        <v>2024</v>
      </c>
      <c r="E92" s="12" t="s">
        <v>579</v>
      </c>
      <c r="F92" s="12" t="s">
        <v>495</v>
      </c>
      <c r="G92" s="11" t="s">
        <v>142</v>
      </c>
      <c r="H92" s="11" t="s">
        <v>142</v>
      </c>
      <c r="I92" s="11" t="s">
        <v>142</v>
      </c>
      <c r="J92" s="12"/>
      <c r="K92" s="14" t="str">
        <f t="shared" si="1"/>
        <v>YES</v>
      </c>
      <c r="L92" s="12" t="s">
        <v>128</v>
      </c>
      <c r="M92" s="12"/>
      <c r="N92" s="12" t="s">
        <v>580</v>
      </c>
      <c r="O92" s="12" t="s">
        <v>581</v>
      </c>
    </row>
    <row r="93" spans="1:15" ht="41.5" customHeight="1" x14ac:dyDescent="0.35">
      <c r="A93" s="11">
        <v>88</v>
      </c>
      <c r="B93" s="12" t="s">
        <v>582</v>
      </c>
      <c r="C93" s="12" t="s">
        <v>583</v>
      </c>
      <c r="D93" s="11">
        <v>2024</v>
      </c>
      <c r="E93" s="12" t="s">
        <v>221</v>
      </c>
      <c r="F93" s="12" t="s">
        <v>495</v>
      </c>
      <c r="G93" s="11" t="s">
        <v>127</v>
      </c>
      <c r="H93" s="11"/>
      <c r="I93" s="11"/>
      <c r="J93" s="12"/>
      <c r="K93" s="14" t="str">
        <f t="shared" si="1"/>
        <v>NO</v>
      </c>
      <c r="L93" s="12" t="s">
        <v>128</v>
      </c>
      <c r="M93" s="12" t="s">
        <v>584</v>
      </c>
      <c r="N93" s="12" t="s">
        <v>585</v>
      </c>
      <c r="O93" s="12" t="s">
        <v>586</v>
      </c>
    </row>
    <row r="94" spans="1:15" ht="41.5" customHeight="1" x14ac:dyDescent="0.35">
      <c r="A94" s="11">
        <v>89</v>
      </c>
      <c r="B94" s="12" t="s">
        <v>587</v>
      </c>
      <c r="C94" s="12" t="s">
        <v>588</v>
      </c>
      <c r="D94" s="11">
        <v>2023</v>
      </c>
      <c r="E94" s="12" t="s">
        <v>153</v>
      </c>
      <c r="F94" s="12" t="s">
        <v>495</v>
      </c>
      <c r="G94" s="11" t="s">
        <v>127</v>
      </c>
      <c r="H94" s="11"/>
      <c r="I94" s="11"/>
      <c r="J94" s="12"/>
      <c r="K94" s="14" t="str">
        <f t="shared" si="1"/>
        <v>NO</v>
      </c>
      <c r="L94" s="12" t="s">
        <v>128</v>
      </c>
      <c r="M94" s="12" t="s">
        <v>589</v>
      </c>
      <c r="N94" s="12" t="s">
        <v>590</v>
      </c>
      <c r="O94" s="12" t="s">
        <v>591</v>
      </c>
    </row>
    <row r="95" spans="1:15" ht="41.5" customHeight="1" x14ac:dyDescent="0.35">
      <c r="A95" s="11">
        <v>90</v>
      </c>
      <c r="B95" s="12" t="s">
        <v>577</v>
      </c>
      <c r="C95" s="12" t="s">
        <v>578</v>
      </c>
      <c r="D95" s="11">
        <v>2023</v>
      </c>
      <c r="E95" s="12" t="s">
        <v>153</v>
      </c>
      <c r="F95" s="12" t="s">
        <v>495</v>
      </c>
      <c r="G95" s="11" t="s">
        <v>142</v>
      </c>
      <c r="H95" s="11" t="s">
        <v>142</v>
      </c>
      <c r="I95" s="11" t="s">
        <v>127</v>
      </c>
      <c r="J95" s="12" t="s">
        <v>168</v>
      </c>
      <c r="K95" s="14" t="str">
        <f t="shared" si="1"/>
        <v>NO</v>
      </c>
      <c r="L95" s="12" t="s">
        <v>128</v>
      </c>
      <c r="M95" s="12" t="s">
        <v>592</v>
      </c>
      <c r="N95" s="12" t="s">
        <v>593</v>
      </c>
      <c r="O95" s="12" t="s">
        <v>594</v>
      </c>
    </row>
    <row r="96" spans="1:15" ht="41.5" customHeight="1" x14ac:dyDescent="0.35">
      <c r="A96" s="11">
        <v>91</v>
      </c>
      <c r="B96" s="12" t="s">
        <v>595</v>
      </c>
      <c r="C96" s="12" t="s">
        <v>596</v>
      </c>
      <c r="D96" s="11">
        <v>2024</v>
      </c>
      <c r="E96" s="12" t="s">
        <v>597</v>
      </c>
      <c r="F96" s="12" t="s">
        <v>495</v>
      </c>
      <c r="G96" s="11" t="s">
        <v>127</v>
      </c>
      <c r="H96" s="11"/>
      <c r="I96" s="11"/>
      <c r="J96" s="12"/>
      <c r="K96" s="14" t="str">
        <f t="shared" si="1"/>
        <v>NO</v>
      </c>
      <c r="L96" s="12" t="s">
        <v>128</v>
      </c>
      <c r="M96" s="12" t="s">
        <v>154</v>
      </c>
      <c r="N96" s="12" t="s">
        <v>598</v>
      </c>
      <c r="O96" s="12" t="s">
        <v>599</v>
      </c>
    </row>
    <row r="97" spans="1:15" ht="41.5" customHeight="1" x14ac:dyDescent="0.35">
      <c r="A97" s="11">
        <v>92</v>
      </c>
      <c r="B97" s="12" t="s">
        <v>600</v>
      </c>
      <c r="C97" s="12" t="s">
        <v>601</v>
      </c>
      <c r="D97" s="11">
        <v>2026</v>
      </c>
      <c r="E97" s="12" t="s">
        <v>602</v>
      </c>
      <c r="F97" s="12" t="s">
        <v>495</v>
      </c>
      <c r="G97" s="11" t="s">
        <v>127</v>
      </c>
      <c r="H97" s="11"/>
      <c r="I97" s="11"/>
      <c r="J97" s="12"/>
      <c r="K97" s="14" t="str">
        <f t="shared" si="1"/>
        <v>NO</v>
      </c>
      <c r="L97" s="12" t="s">
        <v>128</v>
      </c>
      <c r="M97" s="12" t="s">
        <v>603</v>
      </c>
      <c r="N97" s="12" t="s">
        <v>604</v>
      </c>
      <c r="O97" s="12" t="s">
        <v>605</v>
      </c>
    </row>
    <row r="98" spans="1:15" ht="41.5" customHeight="1" x14ac:dyDescent="0.35">
      <c r="A98" s="11">
        <v>93</v>
      </c>
      <c r="B98" s="12" t="s">
        <v>606</v>
      </c>
      <c r="C98" s="12" t="s">
        <v>607</v>
      </c>
      <c r="D98" s="11">
        <v>2025</v>
      </c>
      <c r="E98" s="12" t="s">
        <v>608</v>
      </c>
      <c r="F98" s="12" t="s">
        <v>495</v>
      </c>
      <c r="G98" s="11" t="s">
        <v>127</v>
      </c>
      <c r="H98" s="11"/>
      <c r="I98" s="11"/>
      <c r="J98" s="12"/>
      <c r="K98" s="14" t="str">
        <f t="shared" si="1"/>
        <v>NO</v>
      </c>
      <c r="L98" s="12" t="s">
        <v>128</v>
      </c>
      <c r="M98" s="12" t="s">
        <v>526</v>
      </c>
      <c r="N98" s="12" t="s">
        <v>609</v>
      </c>
      <c r="O98" s="12" t="s">
        <v>610</v>
      </c>
    </row>
    <row r="99" spans="1:15" ht="29" customHeight="1" x14ac:dyDescent="0.35">
      <c r="A99" s="11">
        <v>94</v>
      </c>
      <c r="B99" s="12" t="s">
        <v>611</v>
      </c>
      <c r="C99" s="12" t="s">
        <v>612</v>
      </c>
      <c r="D99" s="11">
        <v>2025</v>
      </c>
      <c r="E99" s="12" t="s">
        <v>613</v>
      </c>
      <c r="F99" s="12" t="s">
        <v>495</v>
      </c>
      <c r="G99" s="11" t="s">
        <v>142</v>
      </c>
      <c r="H99" s="11" t="s">
        <v>142</v>
      </c>
      <c r="I99" s="11" t="s">
        <v>142</v>
      </c>
      <c r="J99" s="12"/>
      <c r="K99" s="14" t="str">
        <f t="shared" si="1"/>
        <v>YES</v>
      </c>
      <c r="L99" s="12" t="s">
        <v>128</v>
      </c>
      <c r="M99" s="12"/>
      <c r="N99" s="12" t="s">
        <v>614</v>
      </c>
      <c r="O99" s="12" t="s">
        <v>615</v>
      </c>
    </row>
    <row r="100" spans="1:15" ht="29" customHeight="1" x14ac:dyDescent="0.35">
      <c r="A100" s="11">
        <v>95</v>
      </c>
      <c r="B100" s="12" t="s">
        <v>616</v>
      </c>
      <c r="C100" s="12" t="s">
        <v>559</v>
      </c>
      <c r="D100" s="11">
        <v>2022</v>
      </c>
      <c r="E100" s="12" t="s">
        <v>617</v>
      </c>
      <c r="F100" s="12" t="s">
        <v>618</v>
      </c>
      <c r="G100" s="11" t="s">
        <v>142</v>
      </c>
      <c r="H100" s="11" t="s">
        <v>142</v>
      </c>
      <c r="I100" s="11" t="s">
        <v>142</v>
      </c>
      <c r="J100" s="12"/>
      <c r="K100" s="14" t="str">
        <f t="shared" si="1"/>
        <v>YES</v>
      </c>
      <c r="L100" s="12" t="s">
        <v>128</v>
      </c>
      <c r="M100" s="12"/>
      <c r="N100" s="12" t="s">
        <v>619</v>
      </c>
      <c r="O100" s="12" t="s">
        <v>620</v>
      </c>
    </row>
    <row r="101" spans="1:15" ht="41.5" customHeight="1" x14ac:dyDescent="0.35">
      <c r="A101" s="11">
        <v>96</v>
      </c>
      <c r="B101" s="12" t="s">
        <v>621</v>
      </c>
      <c r="C101" s="12" t="s">
        <v>622</v>
      </c>
      <c r="D101" s="11">
        <v>2022</v>
      </c>
      <c r="E101" s="12" t="s">
        <v>159</v>
      </c>
      <c r="F101" s="12" t="s">
        <v>618</v>
      </c>
      <c r="G101" s="11" t="s">
        <v>142</v>
      </c>
      <c r="H101" s="11" t="s">
        <v>142</v>
      </c>
      <c r="I101" s="11" t="s">
        <v>142</v>
      </c>
      <c r="J101" s="12"/>
      <c r="K101" s="14" t="str">
        <f t="shared" si="1"/>
        <v>YES</v>
      </c>
      <c r="L101" s="12" t="s">
        <v>128</v>
      </c>
      <c r="M101" s="12"/>
      <c r="N101" s="12" t="s">
        <v>623</v>
      </c>
      <c r="O101" s="12" t="s">
        <v>624</v>
      </c>
    </row>
    <row r="102" spans="1:15" ht="41.5" customHeight="1" x14ac:dyDescent="0.35">
      <c r="A102" s="11">
        <v>97</v>
      </c>
      <c r="B102" s="12" t="s">
        <v>625</v>
      </c>
      <c r="C102" s="12" t="s">
        <v>626</v>
      </c>
      <c r="D102" s="11">
        <v>2023</v>
      </c>
      <c r="E102" s="12" t="s">
        <v>318</v>
      </c>
      <c r="F102" s="12" t="s">
        <v>618</v>
      </c>
      <c r="G102" s="11" t="s">
        <v>142</v>
      </c>
      <c r="H102" s="11" t="s">
        <v>142</v>
      </c>
      <c r="I102" s="11" t="s">
        <v>142</v>
      </c>
      <c r="J102" s="12"/>
      <c r="K102" s="14" t="str">
        <f t="shared" si="1"/>
        <v>YES</v>
      </c>
      <c r="L102" s="12" t="s">
        <v>128</v>
      </c>
      <c r="M102" s="12"/>
      <c r="N102" s="12" t="s">
        <v>627</v>
      </c>
      <c r="O102" s="12" t="s">
        <v>628</v>
      </c>
    </row>
    <row r="103" spans="1:15" ht="29" customHeight="1" x14ac:dyDescent="0.35">
      <c r="A103" s="11">
        <v>98</v>
      </c>
      <c r="B103" s="12" t="s">
        <v>629</v>
      </c>
      <c r="C103" s="12" t="s">
        <v>630</v>
      </c>
      <c r="D103" s="11">
        <v>2025</v>
      </c>
      <c r="E103" s="12" t="s">
        <v>631</v>
      </c>
      <c r="F103" s="12" t="s">
        <v>618</v>
      </c>
      <c r="G103" s="11" t="s">
        <v>142</v>
      </c>
      <c r="H103" s="11" t="s">
        <v>142</v>
      </c>
      <c r="I103" s="11" t="s">
        <v>142</v>
      </c>
      <c r="J103" s="12"/>
      <c r="K103" s="14" t="str">
        <f t="shared" si="1"/>
        <v>YES</v>
      </c>
      <c r="L103" s="12" t="s">
        <v>128</v>
      </c>
      <c r="M103" s="12"/>
      <c r="N103" s="12" t="s">
        <v>632</v>
      </c>
      <c r="O103" s="12" t="s">
        <v>633</v>
      </c>
    </row>
    <row r="104" spans="1:15" ht="29" customHeight="1" x14ac:dyDescent="0.35">
      <c r="A104" s="11">
        <v>99</v>
      </c>
      <c r="B104" s="12" t="s">
        <v>634</v>
      </c>
      <c r="C104" s="12" t="s">
        <v>635</v>
      </c>
      <c r="D104" s="11">
        <v>2024</v>
      </c>
      <c r="E104" s="12" t="s">
        <v>636</v>
      </c>
      <c r="F104" s="12" t="s">
        <v>618</v>
      </c>
      <c r="G104" s="11" t="s">
        <v>142</v>
      </c>
      <c r="H104" s="11" t="s">
        <v>142</v>
      </c>
      <c r="I104" s="11" t="s">
        <v>142</v>
      </c>
      <c r="J104" s="12"/>
      <c r="K104" s="14" t="str">
        <f t="shared" si="1"/>
        <v>YES</v>
      </c>
      <c r="L104" s="12" t="s">
        <v>128</v>
      </c>
      <c r="M104" s="12"/>
      <c r="N104" s="12" t="s">
        <v>637</v>
      </c>
      <c r="O104" s="12" t="s">
        <v>638</v>
      </c>
    </row>
    <row r="105" spans="1:15" ht="41.5" customHeight="1" x14ac:dyDescent="0.35">
      <c r="A105" s="11">
        <v>100</v>
      </c>
      <c r="B105" s="12" t="s">
        <v>639</v>
      </c>
      <c r="C105" s="12" t="s">
        <v>640</v>
      </c>
      <c r="D105" s="11">
        <v>2023</v>
      </c>
      <c r="E105" s="12" t="s">
        <v>641</v>
      </c>
      <c r="F105" s="12" t="s">
        <v>618</v>
      </c>
      <c r="G105" s="11" t="s">
        <v>142</v>
      </c>
      <c r="H105" s="11" t="s">
        <v>142</v>
      </c>
      <c r="I105" s="11" t="s">
        <v>142</v>
      </c>
      <c r="J105" s="12"/>
      <c r="K105" s="14" t="str">
        <f t="shared" si="1"/>
        <v>YES</v>
      </c>
      <c r="L105" s="12" t="s">
        <v>128</v>
      </c>
      <c r="M105" s="12"/>
      <c r="N105" s="12" t="s">
        <v>642</v>
      </c>
      <c r="O105" s="12" t="s">
        <v>643</v>
      </c>
    </row>
    <row r="106" spans="1:15" ht="29" customHeight="1" x14ac:dyDescent="0.35">
      <c r="A106" s="11">
        <v>101</v>
      </c>
      <c r="B106" s="12" t="s">
        <v>644</v>
      </c>
      <c r="C106" s="12" t="s">
        <v>640</v>
      </c>
      <c r="D106" s="11">
        <v>2021</v>
      </c>
      <c r="E106" s="12" t="s">
        <v>277</v>
      </c>
      <c r="F106" s="12" t="s">
        <v>618</v>
      </c>
      <c r="G106" s="11" t="s">
        <v>142</v>
      </c>
      <c r="H106" s="11" t="s">
        <v>142</v>
      </c>
      <c r="I106" s="11" t="s">
        <v>142</v>
      </c>
      <c r="J106" s="12"/>
      <c r="K106" s="14" t="str">
        <f t="shared" si="1"/>
        <v>YES</v>
      </c>
      <c r="L106" s="12" t="s">
        <v>128</v>
      </c>
      <c r="M106" s="12" t="s">
        <v>496</v>
      </c>
      <c r="N106" s="12" t="s">
        <v>645</v>
      </c>
      <c r="O106" s="12" t="s">
        <v>646</v>
      </c>
    </row>
    <row r="107" spans="1:15" ht="41.5" customHeight="1" x14ac:dyDescent="0.35">
      <c r="A107" s="11">
        <v>102</v>
      </c>
      <c r="B107" s="12" t="s">
        <v>647</v>
      </c>
      <c r="C107" s="12" t="s">
        <v>648</v>
      </c>
      <c r="D107" s="11">
        <v>2022</v>
      </c>
      <c r="E107" s="12" t="s">
        <v>649</v>
      </c>
      <c r="F107" s="12" t="s">
        <v>618</v>
      </c>
      <c r="G107" s="11" t="s">
        <v>142</v>
      </c>
      <c r="H107" s="11" t="s">
        <v>142</v>
      </c>
      <c r="I107" s="11" t="s">
        <v>142</v>
      </c>
      <c r="J107" s="12"/>
      <c r="K107" s="14" t="str">
        <f t="shared" si="1"/>
        <v>YES</v>
      </c>
      <c r="L107" s="12" t="s">
        <v>128</v>
      </c>
      <c r="M107" s="12"/>
      <c r="N107" s="12" t="s">
        <v>650</v>
      </c>
      <c r="O107" s="12" t="s">
        <v>651</v>
      </c>
    </row>
    <row r="108" spans="1:15" ht="29" customHeight="1" x14ac:dyDescent="0.35">
      <c r="A108" s="11">
        <v>103</v>
      </c>
      <c r="B108" s="12" t="s">
        <v>652</v>
      </c>
      <c r="C108" s="12" t="s">
        <v>653</v>
      </c>
      <c r="D108" s="11">
        <v>2023</v>
      </c>
      <c r="E108" s="12" t="s">
        <v>153</v>
      </c>
      <c r="F108" s="12" t="s">
        <v>618</v>
      </c>
      <c r="G108" s="11" t="s">
        <v>142</v>
      </c>
      <c r="H108" s="11" t="s">
        <v>142</v>
      </c>
      <c r="I108" s="11" t="s">
        <v>127</v>
      </c>
      <c r="J108" s="12" t="s">
        <v>203</v>
      </c>
      <c r="K108" s="14" t="str">
        <f t="shared" si="1"/>
        <v>NO</v>
      </c>
      <c r="L108" s="12" t="s">
        <v>128</v>
      </c>
      <c r="M108" s="12" t="s">
        <v>204</v>
      </c>
      <c r="N108" s="12" t="s">
        <v>654</v>
      </c>
      <c r="O108" s="12" t="s">
        <v>655</v>
      </c>
    </row>
    <row r="109" spans="1:15" ht="29" customHeight="1" x14ac:dyDescent="0.35">
      <c r="A109" s="11">
        <v>104</v>
      </c>
      <c r="B109" s="12" t="s">
        <v>656</v>
      </c>
      <c r="C109" s="12" t="s">
        <v>657</v>
      </c>
      <c r="D109" s="11">
        <v>2023</v>
      </c>
      <c r="E109" s="12" t="s">
        <v>658</v>
      </c>
      <c r="F109" s="12" t="s">
        <v>618</v>
      </c>
      <c r="G109" s="11" t="s">
        <v>142</v>
      </c>
      <c r="H109" s="11" t="s">
        <v>142</v>
      </c>
      <c r="I109" s="11" t="s">
        <v>142</v>
      </c>
      <c r="J109" s="12"/>
      <c r="K109" s="14" t="str">
        <f t="shared" si="1"/>
        <v>YES</v>
      </c>
      <c r="L109" s="12" t="s">
        <v>128</v>
      </c>
      <c r="M109" s="12"/>
      <c r="N109" s="12" t="s">
        <v>659</v>
      </c>
      <c r="O109" s="12" t="s">
        <v>660</v>
      </c>
    </row>
    <row r="110" spans="1:15" ht="54" customHeight="1" x14ac:dyDescent="0.35">
      <c r="A110" s="11">
        <v>105</v>
      </c>
      <c r="B110" s="12" t="s">
        <v>661</v>
      </c>
      <c r="C110" s="12" t="s">
        <v>662</v>
      </c>
      <c r="D110" s="11">
        <v>2025</v>
      </c>
      <c r="E110" s="12" t="s">
        <v>663</v>
      </c>
      <c r="F110" s="12" t="s">
        <v>618</v>
      </c>
      <c r="G110" s="11" t="s">
        <v>142</v>
      </c>
      <c r="H110" s="11" t="s">
        <v>142</v>
      </c>
      <c r="I110" s="11" t="s">
        <v>127</v>
      </c>
      <c r="J110" s="12" t="s">
        <v>313</v>
      </c>
      <c r="K110" s="14" t="str">
        <f t="shared" si="1"/>
        <v>NO</v>
      </c>
      <c r="L110" s="12" t="s">
        <v>128</v>
      </c>
      <c r="M110" s="12" t="s">
        <v>314</v>
      </c>
      <c r="N110" s="12" t="s">
        <v>664</v>
      </c>
      <c r="O110" s="12" t="s">
        <v>665</v>
      </c>
    </row>
    <row r="111" spans="1:15" ht="29" customHeight="1" x14ac:dyDescent="0.35">
      <c r="A111" s="11">
        <v>106</v>
      </c>
      <c r="B111" s="12" t="s">
        <v>666</v>
      </c>
      <c r="C111" s="12" t="s">
        <v>667</v>
      </c>
      <c r="D111" s="11">
        <v>2025</v>
      </c>
      <c r="E111" s="12" t="s">
        <v>153</v>
      </c>
      <c r="F111" s="12" t="s">
        <v>618</v>
      </c>
      <c r="G111" s="11" t="s">
        <v>127</v>
      </c>
      <c r="H111" s="11"/>
      <c r="I111" s="11"/>
      <c r="J111" s="12"/>
      <c r="K111" s="14" t="str">
        <f t="shared" si="1"/>
        <v>NO</v>
      </c>
      <c r="L111" s="12" t="s">
        <v>128</v>
      </c>
      <c r="M111" s="12" t="s">
        <v>668</v>
      </c>
      <c r="N111" s="12" t="s">
        <v>669</v>
      </c>
      <c r="O111" s="12" t="s">
        <v>670</v>
      </c>
    </row>
    <row r="112" spans="1:15" ht="41.5" customHeight="1" x14ac:dyDescent="0.35">
      <c r="A112" s="11">
        <v>107</v>
      </c>
      <c r="B112" s="12" t="s">
        <v>671</v>
      </c>
      <c r="C112" s="12" t="s">
        <v>672</v>
      </c>
      <c r="D112" s="11">
        <v>2024</v>
      </c>
      <c r="E112" s="12" t="s">
        <v>673</v>
      </c>
      <c r="F112" s="12" t="s">
        <v>618</v>
      </c>
      <c r="G112" s="11" t="s">
        <v>142</v>
      </c>
      <c r="H112" s="11" t="s">
        <v>142</v>
      </c>
      <c r="I112" s="11" t="s">
        <v>127</v>
      </c>
      <c r="J112" s="12" t="s">
        <v>313</v>
      </c>
      <c r="K112" s="14" t="str">
        <f t="shared" si="1"/>
        <v>NO</v>
      </c>
      <c r="L112" s="12" t="s">
        <v>128</v>
      </c>
      <c r="M112" s="12" t="s">
        <v>314</v>
      </c>
      <c r="N112" s="12" t="s">
        <v>674</v>
      </c>
      <c r="O112" s="12" t="s">
        <v>675</v>
      </c>
    </row>
    <row r="113" spans="1:15" ht="29" customHeight="1" x14ac:dyDescent="0.35">
      <c r="A113" s="11">
        <v>108</v>
      </c>
      <c r="B113" s="12" t="s">
        <v>676</v>
      </c>
      <c r="C113" s="12" t="s">
        <v>677</v>
      </c>
      <c r="D113" s="11">
        <v>2024</v>
      </c>
      <c r="E113" s="12" t="s">
        <v>153</v>
      </c>
      <c r="F113" s="12" t="s">
        <v>618</v>
      </c>
      <c r="G113" s="11" t="s">
        <v>142</v>
      </c>
      <c r="H113" s="11" t="s">
        <v>142</v>
      </c>
      <c r="I113" s="11" t="s">
        <v>127</v>
      </c>
      <c r="J113" s="12" t="s">
        <v>203</v>
      </c>
      <c r="K113" s="14" t="str">
        <f t="shared" si="1"/>
        <v>NO</v>
      </c>
      <c r="L113" s="12" t="s">
        <v>128</v>
      </c>
      <c r="M113" s="12" t="s">
        <v>678</v>
      </c>
      <c r="N113" s="12" t="s">
        <v>679</v>
      </c>
      <c r="O113" s="12" t="s">
        <v>680</v>
      </c>
    </row>
    <row r="114" spans="1:15" ht="29" customHeight="1" x14ac:dyDescent="0.35">
      <c r="A114" s="11">
        <v>109</v>
      </c>
      <c r="B114" s="12" t="s">
        <v>681</v>
      </c>
      <c r="C114" s="12" t="s">
        <v>682</v>
      </c>
      <c r="D114" s="11">
        <v>2022</v>
      </c>
      <c r="E114" s="12" t="s">
        <v>153</v>
      </c>
      <c r="F114" s="12" t="s">
        <v>618</v>
      </c>
      <c r="G114" s="11" t="s">
        <v>142</v>
      </c>
      <c r="H114" s="11" t="s">
        <v>142</v>
      </c>
      <c r="I114" s="11" t="s">
        <v>127</v>
      </c>
      <c r="J114" s="12" t="s">
        <v>203</v>
      </c>
      <c r="K114" s="14" t="str">
        <f t="shared" si="1"/>
        <v>NO</v>
      </c>
      <c r="L114" s="12" t="s">
        <v>128</v>
      </c>
      <c r="M114" s="12" t="s">
        <v>683</v>
      </c>
      <c r="N114" s="12" t="s">
        <v>684</v>
      </c>
      <c r="O114" s="12" t="s">
        <v>685</v>
      </c>
    </row>
    <row r="115" spans="1:15" ht="29" customHeight="1" x14ac:dyDescent="0.35">
      <c r="A115" s="11">
        <v>110</v>
      </c>
      <c r="B115" s="12" t="s">
        <v>686</v>
      </c>
      <c r="C115" s="12" t="s">
        <v>687</v>
      </c>
      <c r="D115" s="11">
        <v>2022</v>
      </c>
      <c r="E115" s="12" t="s">
        <v>688</v>
      </c>
      <c r="F115" s="12" t="s">
        <v>618</v>
      </c>
      <c r="G115" s="11" t="s">
        <v>142</v>
      </c>
      <c r="H115" s="11" t="s">
        <v>142</v>
      </c>
      <c r="I115" s="11" t="s">
        <v>142</v>
      </c>
      <c r="J115" s="12"/>
      <c r="K115" s="14" t="str">
        <f t="shared" si="1"/>
        <v>YES</v>
      </c>
      <c r="L115" s="12" t="s">
        <v>128</v>
      </c>
      <c r="M115" s="12"/>
      <c r="N115" s="12" t="s">
        <v>689</v>
      </c>
      <c r="O115" s="12" t="s">
        <v>690</v>
      </c>
    </row>
    <row r="116" spans="1:15" ht="41.5" customHeight="1" x14ac:dyDescent="0.35">
      <c r="A116" s="11">
        <v>111</v>
      </c>
      <c r="B116" s="12" t="s">
        <v>691</v>
      </c>
      <c r="C116" s="12" t="s">
        <v>692</v>
      </c>
      <c r="D116" s="11">
        <v>2026</v>
      </c>
      <c r="E116" s="12" t="s">
        <v>153</v>
      </c>
      <c r="F116" s="12" t="s">
        <v>618</v>
      </c>
      <c r="G116" s="11" t="s">
        <v>142</v>
      </c>
      <c r="H116" s="11" t="s">
        <v>142</v>
      </c>
      <c r="I116" s="11" t="s">
        <v>127</v>
      </c>
      <c r="J116" s="12" t="s">
        <v>203</v>
      </c>
      <c r="K116" s="14" t="str">
        <f t="shared" si="1"/>
        <v>NO</v>
      </c>
      <c r="L116" s="12" t="s">
        <v>128</v>
      </c>
      <c r="M116" s="12" t="s">
        <v>328</v>
      </c>
      <c r="N116" s="12" t="s">
        <v>693</v>
      </c>
      <c r="O116" s="12" t="s">
        <v>694</v>
      </c>
    </row>
    <row r="117" spans="1:15" ht="29" customHeight="1" x14ac:dyDescent="0.35">
      <c r="A117" s="11">
        <v>112</v>
      </c>
      <c r="B117" s="12" t="s">
        <v>695</v>
      </c>
      <c r="C117" s="12" t="s">
        <v>696</v>
      </c>
      <c r="D117" s="11">
        <v>2026</v>
      </c>
      <c r="E117" s="12" t="s">
        <v>153</v>
      </c>
      <c r="F117" s="12" t="s">
        <v>618</v>
      </c>
      <c r="G117" s="11" t="s">
        <v>142</v>
      </c>
      <c r="H117" s="11" t="s">
        <v>142</v>
      </c>
      <c r="I117" s="11" t="s">
        <v>127</v>
      </c>
      <c r="J117" s="12" t="s">
        <v>203</v>
      </c>
      <c r="K117" s="14" t="str">
        <f t="shared" si="1"/>
        <v>NO</v>
      </c>
      <c r="L117" s="12" t="s">
        <v>128</v>
      </c>
      <c r="M117" s="12" t="s">
        <v>328</v>
      </c>
      <c r="N117" s="12" t="s">
        <v>697</v>
      </c>
      <c r="O117" s="12" t="s">
        <v>698</v>
      </c>
    </row>
    <row r="118" spans="1:15" ht="29" customHeight="1" x14ac:dyDescent="0.35">
      <c r="A118" s="11">
        <v>113</v>
      </c>
      <c r="B118" s="12" t="s">
        <v>699</v>
      </c>
      <c r="C118" s="12" t="s">
        <v>700</v>
      </c>
      <c r="D118" s="11">
        <v>2026</v>
      </c>
      <c r="E118" s="12" t="s">
        <v>153</v>
      </c>
      <c r="F118" s="12" t="s">
        <v>618</v>
      </c>
      <c r="G118" s="11" t="s">
        <v>142</v>
      </c>
      <c r="H118" s="11" t="s">
        <v>142</v>
      </c>
      <c r="I118" s="11" t="s">
        <v>127</v>
      </c>
      <c r="J118" s="12" t="s">
        <v>203</v>
      </c>
      <c r="K118" s="14" t="str">
        <f t="shared" si="1"/>
        <v>NO</v>
      </c>
      <c r="L118" s="12" t="s">
        <v>128</v>
      </c>
      <c r="M118" s="12" t="s">
        <v>328</v>
      </c>
      <c r="N118" s="12" t="s">
        <v>701</v>
      </c>
      <c r="O118" s="12" t="s">
        <v>702</v>
      </c>
    </row>
    <row r="119" spans="1:15" ht="29" customHeight="1" x14ac:dyDescent="0.35">
      <c r="A119" s="11">
        <v>114</v>
      </c>
      <c r="B119" s="12" t="s">
        <v>703</v>
      </c>
      <c r="C119" s="12" t="s">
        <v>704</v>
      </c>
      <c r="D119" s="11">
        <v>2026</v>
      </c>
      <c r="E119" s="12" t="s">
        <v>705</v>
      </c>
      <c r="F119" s="12" t="s">
        <v>618</v>
      </c>
      <c r="G119" s="11" t="s">
        <v>127</v>
      </c>
      <c r="H119" s="11"/>
      <c r="I119" s="11"/>
      <c r="J119" s="12"/>
      <c r="K119" s="14" t="str">
        <f t="shared" si="1"/>
        <v>NO</v>
      </c>
      <c r="L119" s="12" t="s">
        <v>128</v>
      </c>
      <c r="M119" s="12" t="s">
        <v>706</v>
      </c>
      <c r="N119" s="12" t="s">
        <v>707</v>
      </c>
      <c r="O119" s="12" t="s">
        <v>708</v>
      </c>
    </row>
    <row r="120" spans="1:15" ht="29" customHeight="1" x14ac:dyDescent="0.35">
      <c r="A120" s="11">
        <v>115</v>
      </c>
      <c r="B120" s="12" t="s">
        <v>709</v>
      </c>
      <c r="C120" s="12" t="s">
        <v>710</v>
      </c>
      <c r="D120" s="11">
        <v>2026</v>
      </c>
      <c r="E120" s="12" t="s">
        <v>233</v>
      </c>
      <c r="F120" s="12" t="s">
        <v>618</v>
      </c>
      <c r="G120" s="11" t="s">
        <v>142</v>
      </c>
      <c r="H120" s="11" t="s">
        <v>142</v>
      </c>
      <c r="I120" s="11" t="s">
        <v>127</v>
      </c>
      <c r="J120" s="12" t="s">
        <v>203</v>
      </c>
      <c r="K120" s="14" t="str">
        <f t="shared" si="1"/>
        <v>NO</v>
      </c>
      <c r="L120" s="12" t="s">
        <v>128</v>
      </c>
      <c r="M120" s="12" t="s">
        <v>711</v>
      </c>
      <c r="N120" s="12" t="s">
        <v>712</v>
      </c>
      <c r="O120" s="12" t="s">
        <v>713</v>
      </c>
    </row>
    <row r="121" spans="1:15" ht="29" customHeight="1" x14ac:dyDescent="0.35">
      <c r="A121" s="11">
        <v>116</v>
      </c>
      <c r="B121" s="12" t="s">
        <v>714</v>
      </c>
      <c r="C121" s="12" t="s">
        <v>715</v>
      </c>
      <c r="D121" s="11">
        <v>2026</v>
      </c>
      <c r="E121" s="12" t="s">
        <v>153</v>
      </c>
      <c r="F121" s="12" t="s">
        <v>618</v>
      </c>
      <c r="G121" s="11" t="s">
        <v>127</v>
      </c>
      <c r="H121" s="11"/>
      <c r="I121" s="11"/>
      <c r="J121" s="12"/>
      <c r="K121" s="14" t="str">
        <f t="shared" si="1"/>
        <v>NO</v>
      </c>
      <c r="L121" s="12" t="s">
        <v>128</v>
      </c>
      <c r="M121" s="12" t="s">
        <v>716</v>
      </c>
      <c r="N121" s="12" t="s">
        <v>717</v>
      </c>
      <c r="O121" s="12" t="s">
        <v>718</v>
      </c>
    </row>
    <row r="122" spans="1:15" ht="29" customHeight="1" x14ac:dyDescent="0.35">
      <c r="A122" s="11">
        <v>117</v>
      </c>
      <c r="B122" s="12" t="s">
        <v>719</v>
      </c>
      <c r="C122" s="12" t="s">
        <v>720</v>
      </c>
      <c r="D122" s="11">
        <v>2026</v>
      </c>
      <c r="E122" s="12" t="s">
        <v>721</v>
      </c>
      <c r="F122" s="12" t="s">
        <v>618</v>
      </c>
      <c r="G122" s="11" t="s">
        <v>127</v>
      </c>
      <c r="H122" s="11"/>
      <c r="I122" s="11"/>
      <c r="J122" s="12"/>
      <c r="K122" s="14" t="str">
        <f t="shared" si="1"/>
        <v>NO</v>
      </c>
      <c r="L122" s="12" t="s">
        <v>128</v>
      </c>
      <c r="M122" s="12" t="s">
        <v>722</v>
      </c>
      <c r="N122" s="12" t="s">
        <v>723</v>
      </c>
      <c r="O122" s="12" t="s">
        <v>724</v>
      </c>
    </row>
    <row r="123" spans="1:15" ht="29" customHeight="1" x14ac:dyDescent="0.35">
      <c r="A123" s="11">
        <v>118</v>
      </c>
      <c r="B123" s="12" t="s">
        <v>725</v>
      </c>
      <c r="C123" s="12" t="s">
        <v>726</v>
      </c>
      <c r="D123" s="11">
        <v>2026</v>
      </c>
      <c r="E123" s="12" t="s">
        <v>153</v>
      </c>
      <c r="F123" s="12" t="s">
        <v>618</v>
      </c>
      <c r="G123" s="11" t="s">
        <v>127</v>
      </c>
      <c r="H123" s="11"/>
      <c r="I123" s="11"/>
      <c r="J123" s="12"/>
      <c r="K123" s="14" t="str">
        <f t="shared" si="1"/>
        <v>NO</v>
      </c>
      <c r="L123" s="12" t="s">
        <v>128</v>
      </c>
      <c r="M123" s="12" t="s">
        <v>727</v>
      </c>
      <c r="N123" s="12" t="s">
        <v>728</v>
      </c>
      <c r="O123" s="12" t="s">
        <v>729</v>
      </c>
    </row>
    <row r="124" spans="1:15" ht="29" customHeight="1" x14ac:dyDescent="0.35">
      <c r="A124" s="11">
        <v>119</v>
      </c>
      <c r="B124" s="12" t="s">
        <v>703</v>
      </c>
      <c r="C124" s="12" t="s">
        <v>730</v>
      </c>
      <c r="D124" s="11">
        <v>2026</v>
      </c>
      <c r="E124" s="12" t="s">
        <v>153</v>
      </c>
      <c r="F124" s="12" t="s">
        <v>618</v>
      </c>
      <c r="G124" s="11" t="s">
        <v>127</v>
      </c>
      <c r="H124" s="11"/>
      <c r="I124" s="11"/>
      <c r="J124" s="12"/>
      <c r="K124" s="14" t="str">
        <f t="shared" si="1"/>
        <v>NO</v>
      </c>
      <c r="L124" s="12" t="s">
        <v>128</v>
      </c>
      <c r="M124" s="12" t="s">
        <v>706</v>
      </c>
      <c r="N124" s="12" t="s">
        <v>731</v>
      </c>
      <c r="O124" s="12" t="s">
        <v>732</v>
      </c>
    </row>
    <row r="125" spans="1:15" ht="24" customHeight="1" x14ac:dyDescent="0.35">
      <c r="A125" s="11">
        <v>120</v>
      </c>
      <c r="B125" s="12" t="s">
        <v>733</v>
      </c>
      <c r="C125" s="12" t="s">
        <v>734</v>
      </c>
      <c r="D125" s="11">
        <v>2022</v>
      </c>
      <c r="E125" s="12" t="s">
        <v>735</v>
      </c>
      <c r="F125" s="12" t="s">
        <v>736</v>
      </c>
      <c r="G125" s="11" t="s">
        <v>142</v>
      </c>
      <c r="H125" s="11" t="s">
        <v>142</v>
      </c>
      <c r="I125" s="11" t="s">
        <v>142</v>
      </c>
      <c r="J125" s="12"/>
      <c r="K125" s="14" t="str">
        <f t="shared" si="1"/>
        <v>YES</v>
      </c>
      <c r="L125" s="12" t="s">
        <v>128</v>
      </c>
      <c r="M125" s="12"/>
      <c r="N125" s="12" t="s">
        <v>737</v>
      </c>
      <c r="O125" s="12" t="s">
        <v>738</v>
      </c>
    </row>
    <row r="126" spans="1:15" ht="41.5" customHeight="1" x14ac:dyDescent="0.35">
      <c r="A126" s="11">
        <v>121</v>
      </c>
      <c r="B126" s="12" t="s">
        <v>739</v>
      </c>
      <c r="C126" s="12" t="s">
        <v>740</v>
      </c>
      <c r="D126" s="11">
        <v>2024</v>
      </c>
      <c r="E126" s="12" t="s">
        <v>434</v>
      </c>
      <c r="F126" s="12" t="s">
        <v>736</v>
      </c>
      <c r="G126" s="11" t="s">
        <v>127</v>
      </c>
      <c r="H126" s="11"/>
      <c r="I126" s="11"/>
      <c r="J126" s="12"/>
      <c r="K126" s="14" t="str">
        <f t="shared" si="1"/>
        <v>NO</v>
      </c>
      <c r="L126" s="12" t="s">
        <v>128</v>
      </c>
      <c r="M126" s="12" t="s">
        <v>741</v>
      </c>
      <c r="N126" s="12" t="s">
        <v>742</v>
      </c>
      <c r="O126" s="12" t="s">
        <v>743</v>
      </c>
    </row>
    <row r="127" spans="1:15" ht="29" customHeight="1" x14ac:dyDescent="0.35">
      <c r="A127" s="11">
        <v>122</v>
      </c>
      <c r="B127" s="12" t="s">
        <v>744</v>
      </c>
      <c r="C127" s="12" t="s">
        <v>745</v>
      </c>
      <c r="D127" s="11">
        <v>2024</v>
      </c>
      <c r="E127" s="12" t="s">
        <v>746</v>
      </c>
      <c r="F127" s="12" t="s">
        <v>736</v>
      </c>
      <c r="G127" s="11" t="s">
        <v>127</v>
      </c>
      <c r="H127" s="11"/>
      <c r="I127" s="11"/>
      <c r="J127" s="12"/>
      <c r="K127" s="14" t="str">
        <f t="shared" si="1"/>
        <v>NO</v>
      </c>
      <c r="L127" s="12" t="s">
        <v>128</v>
      </c>
      <c r="M127" s="12" t="s">
        <v>747</v>
      </c>
      <c r="N127" s="12" t="s">
        <v>748</v>
      </c>
      <c r="O127" s="12" t="s">
        <v>749</v>
      </c>
    </row>
    <row r="128" spans="1:15" ht="41.5" customHeight="1" x14ac:dyDescent="0.35">
      <c r="A128" s="11">
        <v>123</v>
      </c>
      <c r="B128" s="12" t="s">
        <v>750</v>
      </c>
      <c r="C128" s="12" t="s">
        <v>751</v>
      </c>
      <c r="D128" s="11">
        <v>2026</v>
      </c>
      <c r="E128" s="12" t="s">
        <v>233</v>
      </c>
      <c r="F128" s="12" t="s">
        <v>736</v>
      </c>
      <c r="G128" s="11" t="s">
        <v>127</v>
      </c>
      <c r="H128" s="11"/>
      <c r="I128" s="11"/>
      <c r="J128" s="12"/>
      <c r="K128" s="14" t="str">
        <f t="shared" si="1"/>
        <v>NO</v>
      </c>
      <c r="L128" s="12" t="s">
        <v>128</v>
      </c>
      <c r="M128" s="12" t="s">
        <v>752</v>
      </c>
      <c r="N128" s="12" t="s">
        <v>753</v>
      </c>
      <c r="O128" s="12" t="s">
        <v>754</v>
      </c>
    </row>
    <row r="129" spans="1:15" ht="29" customHeight="1" x14ac:dyDescent="0.35">
      <c r="A129" s="11">
        <v>124</v>
      </c>
      <c r="B129" s="12" t="s">
        <v>755</v>
      </c>
      <c r="C129" s="12" t="s">
        <v>756</v>
      </c>
      <c r="D129" s="11">
        <v>2024</v>
      </c>
      <c r="E129" s="12" t="s">
        <v>757</v>
      </c>
      <c r="F129" s="12" t="s">
        <v>736</v>
      </c>
      <c r="G129" s="11" t="s">
        <v>142</v>
      </c>
      <c r="H129" s="11" t="s">
        <v>142</v>
      </c>
      <c r="I129" s="11" t="s">
        <v>142</v>
      </c>
      <c r="J129" s="12"/>
      <c r="K129" s="14" t="str">
        <f t="shared" si="1"/>
        <v>YES</v>
      </c>
      <c r="L129" s="12" t="s">
        <v>128</v>
      </c>
      <c r="M129" s="12"/>
      <c r="N129" s="12" t="s">
        <v>758</v>
      </c>
      <c r="O129" s="12" t="s">
        <v>759</v>
      </c>
    </row>
    <row r="130" spans="1:15" ht="41.5" customHeight="1" x14ac:dyDescent="0.35">
      <c r="A130" s="11">
        <v>125</v>
      </c>
      <c r="B130" s="12" t="s">
        <v>760</v>
      </c>
      <c r="C130" s="12" t="s">
        <v>761</v>
      </c>
      <c r="D130" s="11">
        <v>2025</v>
      </c>
      <c r="E130" s="12" t="s">
        <v>762</v>
      </c>
      <c r="F130" s="12" t="s">
        <v>736</v>
      </c>
      <c r="G130" s="11" t="s">
        <v>127</v>
      </c>
      <c r="H130" s="11"/>
      <c r="I130" s="11"/>
      <c r="J130" s="12"/>
      <c r="K130" s="14" t="str">
        <f t="shared" si="1"/>
        <v>NO</v>
      </c>
      <c r="L130" s="12" t="s">
        <v>128</v>
      </c>
      <c r="M130" s="12" t="s">
        <v>763</v>
      </c>
      <c r="N130" s="12" t="s">
        <v>764</v>
      </c>
      <c r="O130" s="12" t="s">
        <v>765</v>
      </c>
    </row>
    <row r="131" spans="1:15" ht="29" customHeight="1" x14ac:dyDescent="0.35">
      <c r="A131" s="11">
        <v>126</v>
      </c>
      <c r="B131" s="12" t="s">
        <v>766</v>
      </c>
      <c r="C131" s="12" t="s">
        <v>734</v>
      </c>
      <c r="D131" s="11">
        <v>2024</v>
      </c>
      <c r="E131" s="12" t="s">
        <v>153</v>
      </c>
      <c r="F131" s="12" t="s">
        <v>736</v>
      </c>
      <c r="G131" s="11" t="s">
        <v>142</v>
      </c>
      <c r="H131" s="11" t="s">
        <v>142</v>
      </c>
      <c r="I131" s="11" t="s">
        <v>127</v>
      </c>
      <c r="J131" s="12" t="s">
        <v>203</v>
      </c>
      <c r="K131" s="14" t="str">
        <f t="shared" si="1"/>
        <v>NO</v>
      </c>
      <c r="L131" s="12" t="s">
        <v>128</v>
      </c>
      <c r="M131" s="12" t="s">
        <v>767</v>
      </c>
      <c r="N131" s="12" t="s">
        <v>768</v>
      </c>
      <c r="O131" s="12" t="s">
        <v>769</v>
      </c>
    </row>
    <row r="132" spans="1:15" ht="41.5" customHeight="1" x14ac:dyDescent="0.35">
      <c r="A132" s="11">
        <v>127</v>
      </c>
      <c r="B132" s="12" t="s">
        <v>770</v>
      </c>
      <c r="C132" s="12" t="s">
        <v>771</v>
      </c>
      <c r="D132" s="11">
        <v>2025</v>
      </c>
      <c r="E132" s="12" t="s">
        <v>375</v>
      </c>
      <c r="F132" s="12" t="s">
        <v>736</v>
      </c>
      <c r="G132" s="11" t="s">
        <v>127</v>
      </c>
      <c r="H132" s="11"/>
      <c r="I132" s="11"/>
      <c r="J132" s="12"/>
      <c r="K132" s="14" t="str">
        <f t="shared" si="1"/>
        <v>NO</v>
      </c>
      <c r="L132" s="12" t="s">
        <v>128</v>
      </c>
      <c r="M132" s="12" t="s">
        <v>154</v>
      </c>
      <c r="N132" s="12" t="s">
        <v>772</v>
      </c>
      <c r="O132" s="12" t="s">
        <v>773</v>
      </c>
    </row>
    <row r="133" spans="1:15" ht="41.5" customHeight="1" x14ac:dyDescent="0.35">
      <c r="A133" s="11">
        <v>128</v>
      </c>
      <c r="B133" s="12" t="s">
        <v>774</v>
      </c>
      <c r="C133" s="12" t="s">
        <v>775</v>
      </c>
      <c r="D133" s="11">
        <v>2024</v>
      </c>
      <c r="E133" s="12" t="s">
        <v>776</v>
      </c>
      <c r="F133" s="12" t="s">
        <v>736</v>
      </c>
      <c r="G133" s="11" t="s">
        <v>127</v>
      </c>
      <c r="H133" s="11"/>
      <c r="I133" s="11"/>
      <c r="J133" s="12"/>
      <c r="K133" s="14" t="str">
        <f t="shared" si="1"/>
        <v>NO</v>
      </c>
      <c r="L133" s="12" t="s">
        <v>128</v>
      </c>
      <c r="M133" s="12" t="s">
        <v>777</v>
      </c>
      <c r="N133" s="12" t="s">
        <v>778</v>
      </c>
      <c r="O133" s="12" t="s">
        <v>779</v>
      </c>
    </row>
    <row r="134" spans="1:15" ht="41.5" customHeight="1" x14ac:dyDescent="0.35">
      <c r="A134" s="11">
        <v>129</v>
      </c>
      <c r="B134" s="12" t="s">
        <v>780</v>
      </c>
      <c r="C134" s="12" t="s">
        <v>781</v>
      </c>
      <c r="D134" s="11">
        <v>2024</v>
      </c>
      <c r="E134" s="12" t="s">
        <v>597</v>
      </c>
      <c r="F134" s="12" t="s">
        <v>736</v>
      </c>
      <c r="G134" s="11" t="s">
        <v>127</v>
      </c>
      <c r="H134" s="11"/>
      <c r="I134" s="11"/>
      <c r="J134" s="12"/>
      <c r="K134" s="14" t="str">
        <f t="shared" ref="K134:K197" si="2">IF(AND(G134="KEEP",H134="KEEP",I134="KEEP"),"YES",IF(OR(G134="DROP",H134="DROP",I134="DROP"),"NO",""))</f>
        <v>NO</v>
      </c>
      <c r="L134" s="12" t="s">
        <v>128</v>
      </c>
      <c r="M134" s="12" t="s">
        <v>782</v>
      </c>
      <c r="N134" s="12" t="s">
        <v>783</v>
      </c>
      <c r="O134" s="12" t="s">
        <v>784</v>
      </c>
    </row>
    <row r="135" spans="1:15" ht="104" customHeight="1" x14ac:dyDescent="0.35">
      <c r="A135" s="11">
        <v>130</v>
      </c>
      <c r="B135" s="12" t="s">
        <v>785</v>
      </c>
      <c r="C135" s="12" t="s">
        <v>786</v>
      </c>
      <c r="D135" s="11">
        <v>2023</v>
      </c>
      <c r="E135" s="12" t="s">
        <v>400</v>
      </c>
      <c r="F135" s="12" t="s">
        <v>736</v>
      </c>
      <c r="G135" s="11" t="s">
        <v>127</v>
      </c>
      <c r="H135" s="11"/>
      <c r="I135" s="11"/>
      <c r="J135" s="12"/>
      <c r="K135" s="14" t="str">
        <f t="shared" si="2"/>
        <v>NO</v>
      </c>
      <c r="L135" s="12" t="s">
        <v>128</v>
      </c>
      <c r="M135" s="12" t="s">
        <v>787</v>
      </c>
      <c r="N135" s="12" t="s">
        <v>788</v>
      </c>
      <c r="O135" s="12" t="s">
        <v>789</v>
      </c>
    </row>
    <row r="136" spans="1:15" ht="29" customHeight="1" x14ac:dyDescent="0.35">
      <c r="A136" s="11">
        <v>131</v>
      </c>
      <c r="B136" s="12" t="s">
        <v>790</v>
      </c>
      <c r="C136" s="12" t="s">
        <v>791</v>
      </c>
      <c r="D136" s="11">
        <v>2023</v>
      </c>
      <c r="E136" s="12" t="s">
        <v>792</v>
      </c>
      <c r="F136" s="12" t="s">
        <v>736</v>
      </c>
      <c r="G136" s="11" t="s">
        <v>127</v>
      </c>
      <c r="H136" s="11"/>
      <c r="I136" s="11"/>
      <c r="J136" s="12"/>
      <c r="K136" s="14" t="str">
        <f t="shared" si="2"/>
        <v>NO</v>
      </c>
      <c r="L136" s="12" t="s">
        <v>128</v>
      </c>
      <c r="M136" s="12" t="s">
        <v>793</v>
      </c>
      <c r="N136" s="12" t="s">
        <v>794</v>
      </c>
      <c r="O136" s="12" t="s">
        <v>795</v>
      </c>
    </row>
    <row r="137" spans="1:15" ht="29" customHeight="1" x14ac:dyDescent="0.35">
      <c r="A137" s="11">
        <v>132</v>
      </c>
      <c r="B137" s="12" t="s">
        <v>796</v>
      </c>
      <c r="C137" s="12" t="s">
        <v>797</v>
      </c>
      <c r="D137" s="11">
        <v>2024</v>
      </c>
      <c r="E137" s="12" t="s">
        <v>798</v>
      </c>
      <c r="F137" s="12" t="s">
        <v>736</v>
      </c>
      <c r="G137" s="11" t="s">
        <v>142</v>
      </c>
      <c r="H137" s="11" t="s">
        <v>142</v>
      </c>
      <c r="I137" s="11" t="s">
        <v>142</v>
      </c>
      <c r="J137" s="12"/>
      <c r="K137" s="14" t="str">
        <f t="shared" si="2"/>
        <v>YES</v>
      </c>
      <c r="L137" s="12" t="s">
        <v>128</v>
      </c>
      <c r="M137" s="12"/>
      <c r="N137" s="12" t="s">
        <v>799</v>
      </c>
      <c r="O137" s="12" t="s">
        <v>800</v>
      </c>
    </row>
    <row r="138" spans="1:15" ht="29" customHeight="1" x14ac:dyDescent="0.35">
      <c r="A138" s="11">
        <v>133</v>
      </c>
      <c r="B138" s="12" t="s">
        <v>801</v>
      </c>
      <c r="C138" s="12" t="s">
        <v>802</v>
      </c>
      <c r="D138" s="11">
        <v>2023</v>
      </c>
      <c r="E138" s="12" t="s">
        <v>153</v>
      </c>
      <c r="F138" s="12" t="s">
        <v>736</v>
      </c>
      <c r="G138" s="11" t="s">
        <v>142</v>
      </c>
      <c r="H138" s="11" t="s">
        <v>142</v>
      </c>
      <c r="I138" s="11" t="s">
        <v>127</v>
      </c>
      <c r="J138" s="12" t="s">
        <v>203</v>
      </c>
      <c r="K138" s="14" t="str">
        <f t="shared" si="2"/>
        <v>NO</v>
      </c>
      <c r="L138" s="12" t="s">
        <v>128</v>
      </c>
      <c r="M138" s="12" t="s">
        <v>803</v>
      </c>
      <c r="N138" s="12" t="s">
        <v>804</v>
      </c>
      <c r="O138" s="12" t="s">
        <v>805</v>
      </c>
    </row>
    <row r="139" spans="1:15" ht="29" customHeight="1" x14ac:dyDescent="0.35">
      <c r="A139" s="11">
        <v>134</v>
      </c>
      <c r="B139" s="12" t="s">
        <v>806</v>
      </c>
      <c r="C139" s="12" t="s">
        <v>807</v>
      </c>
      <c r="D139" s="11">
        <v>2024</v>
      </c>
      <c r="E139" s="12" t="s">
        <v>808</v>
      </c>
      <c r="F139" s="12" t="s">
        <v>736</v>
      </c>
      <c r="G139" s="11" t="s">
        <v>127</v>
      </c>
      <c r="H139" s="11"/>
      <c r="I139" s="11"/>
      <c r="J139" s="12"/>
      <c r="K139" s="14" t="str">
        <f t="shared" si="2"/>
        <v>NO</v>
      </c>
      <c r="L139" s="12" t="s">
        <v>128</v>
      </c>
      <c r="M139" s="12" t="s">
        <v>809</v>
      </c>
      <c r="N139" s="12" t="s">
        <v>810</v>
      </c>
      <c r="O139" s="12" t="s">
        <v>811</v>
      </c>
    </row>
    <row r="140" spans="1:15" ht="41.5" customHeight="1" x14ac:dyDescent="0.35">
      <c r="A140" s="11">
        <v>135</v>
      </c>
      <c r="B140" s="12" t="s">
        <v>812</v>
      </c>
      <c r="C140" s="12" t="s">
        <v>813</v>
      </c>
      <c r="D140" s="11">
        <v>2025</v>
      </c>
      <c r="E140" s="12" t="s">
        <v>179</v>
      </c>
      <c r="F140" s="12" t="s">
        <v>736</v>
      </c>
      <c r="G140" s="11" t="s">
        <v>127</v>
      </c>
      <c r="H140" s="11"/>
      <c r="I140" s="11"/>
      <c r="J140" s="12"/>
      <c r="K140" s="14" t="str">
        <f t="shared" si="2"/>
        <v>NO</v>
      </c>
      <c r="L140" s="12" t="s">
        <v>128</v>
      </c>
      <c r="M140" s="12" t="s">
        <v>228</v>
      </c>
      <c r="N140" s="12" t="s">
        <v>814</v>
      </c>
      <c r="O140" s="12" t="s">
        <v>815</v>
      </c>
    </row>
    <row r="141" spans="1:15" ht="29" customHeight="1" x14ac:dyDescent="0.35">
      <c r="A141" s="11">
        <v>136</v>
      </c>
      <c r="B141" s="12" t="s">
        <v>816</v>
      </c>
      <c r="C141" s="12" t="s">
        <v>817</v>
      </c>
      <c r="D141" s="11">
        <v>2024</v>
      </c>
      <c r="E141" s="12" t="s">
        <v>227</v>
      </c>
      <c r="F141" s="12" t="s">
        <v>736</v>
      </c>
      <c r="G141" s="11" t="s">
        <v>127</v>
      </c>
      <c r="H141" s="11"/>
      <c r="I141" s="11"/>
      <c r="J141" s="12"/>
      <c r="K141" s="14" t="str">
        <f t="shared" si="2"/>
        <v>NO</v>
      </c>
      <c r="L141" s="12" t="s">
        <v>128</v>
      </c>
      <c r="M141" s="12" t="s">
        <v>818</v>
      </c>
      <c r="N141" s="12" t="s">
        <v>819</v>
      </c>
      <c r="O141" s="12" t="s">
        <v>820</v>
      </c>
    </row>
    <row r="142" spans="1:15" ht="104" customHeight="1" x14ac:dyDescent="0.35">
      <c r="A142" s="11">
        <v>137</v>
      </c>
      <c r="B142" s="12" t="s">
        <v>821</v>
      </c>
      <c r="C142" s="12" t="s">
        <v>786</v>
      </c>
      <c r="D142" s="11">
        <v>2024</v>
      </c>
      <c r="E142" s="12" t="s">
        <v>400</v>
      </c>
      <c r="F142" s="12" t="s">
        <v>736</v>
      </c>
      <c r="G142" s="11" t="s">
        <v>127</v>
      </c>
      <c r="H142" s="11"/>
      <c r="I142" s="11"/>
      <c r="J142" s="12"/>
      <c r="K142" s="14" t="str">
        <f t="shared" si="2"/>
        <v>NO</v>
      </c>
      <c r="L142" s="12" t="s">
        <v>128</v>
      </c>
      <c r="M142" s="12" t="s">
        <v>822</v>
      </c>
      <c r="N142" s="12" t="s">
        <v>823</v>
      </c>
      <c r="O142" s="12" t="s">
        <v>824</v>
      </c>
    </row>
    <row r="143" spans="1:15" ht="29" customHeight="1" x14ac:dyDescent="0.35">
      <c r="A143" s="11">
        <v>138</v>
      </c>
      <c r="B143" s="12" t="s">
        <v>825</v>
      </c>
      <c r="C143" s="12" t="s">
        <v>826</v>
      </c>
      <c r="D143" s="11">
        <v>2024</v>
      </c>
      <c r="E143" s="12" t="s">
        <v>560</v>
      </c>
      <c r="F143" s="12" t="s">
        <v>736</v>
      </c>
      <c r="G143" s="11" t="s">
        <v>142</v>
      </c>
      <c r="H143" s="11" t="s">
        <v>142</v>
      </c>
      <c r="I143" s="11" t="s">
        <v>142</v>
      </c>
      <c r="J143" s="12"/>
      <c r="K143" s="14" t="str">
        <f t="shared" si="2"/>
        <v>YES</v>
      </c>
      <c r="L143" s="12" t="s">
        <v>128</v>
      </c>
      <c r="M143" s="12"/>
      <c r="N143" s="12" t="s">
        <v>827</v>
      </c>
      <c r="O143" s="12" t="s">
        <v>828</v>
      </c>
    </row>
    <row r="144" spans="1:15" ht="29" customHeight="1" x14ac:dyDescent="0.35">
      <c r="A144" s="11">
        <v>139</v>
      </c>
      <c r="B144" s="12" t="s">
        <v>829</v>
      </c>
      <c r="C144" s="12" t="s">
        <v>830</v>
      </c>
      <c r="D144" s="11">
        <v>2024</v>
      </c>
      <c r="E144" s="12" t="s">
        <v>375</v>
      </c>
      <c r="F144" s="12" t="s">
        <v>736</v>
      </c>
      <c r="G144" s="11" t="s">
        <v>127</v>
      </c>
      <c r="H144" s="11"/>
      <c r="I144" s="11"/>
      <c r="J144" s="12"/>
      <c r="K144" s="14" t="str">
        <f t="shared" si="2"/>
        <v>NO</v>
      </c>
      <c r="L144" s="12" t="s">
        <v>128</v>
      </c>
      <c r="M144" s="12" t="s">
        <v>831</v>
      </c>
      <c r="N144" s="12" t="s">
        <v>832</v>
      </c>
      <c r="O144" s="12" t="s">
        <v>833</v>
      </c>
    </row>
    <row r="145" spans="1:15" ht="41.5" customHeight="1" x14ac:dyDescent="0.35">
      <c r="A145" s="11">
        <v>140</v>
      </c>
      <c r="B145" s="12" t="s">
        <v>834</v>
      </c>
      <c r="C145" s="12" t="s">
        <v>835</v>
      </c>
      <c r="D145" s="11">
        <v>2025</v>
      </c>
      <c r="E145" s="12" t="s">
        <v>434</v>
      </c>
      <c r="F145" s="12" t="s">
        <v>736</v>
      </c>
      <c r="G145" s="11" t="s">
        <v>127</v>
      </c>
      <c r="H145" s="11"/>
      <c r="I145" s="11"/>
      <c r="J145" s="12"/>
      <c r="K145" s="14" t="str">
        <f t="shared" si="2"/>
        <v>NO</v>
      </c>
      <c r="L145" s="12" t="s">
        <v>128</v>
      </c>
      <c r="M145" s="12" t="s">
        <v>836</v>
      </c>
      <c r="N145" s="12" t="s">
        <v>837</v>
      </c>
      <c r="O145" s="12" t="s">
        <v>838</v>
      </c>
    </row>
    <row r="146" spans="1:15" ht="29" customHeight="1" x14ac:dyDescent="0.35">
      <c r="A146" s="11">
        <v>141</v>
      </c>
      <c r="B146" s="12" t="s">
        <v>839</v>
      </c>
      <c r="C146" s="12" t="s">
        <v>840</v>
      </c>
      <c r="D146" s="11">
        <v>2025</v>
      </c>
      <c r="E146" s="12" t="s">
        <v>841</v>
      </c>
      <c r="F146" s="12" t="s">
        <v>736</v>
      </c>
      <c r="G146" s="11" t="s">
        <v>142</v>
      </c>
      <c r="H146" s="11" t="s">
        <v>142</v>
      </c>
      <c r="I146" s="11" t="s">
        <v>142</v>
      </c>
      <c r="J146" s="12"/>
      <c r="K146" s="14" t="str">
        <f t="shared" si="2"/>
        <v>YES</v>
      </c>
      <c r="L146" s="12" t="s">
        <v>128</v>
      </c>
      <c r="M146" s="12"/>
      <c r="N146" s="12" t="s">
        <v>842</v>
      </c>
      <c r="O146" s="12" t="s">
        <v>843</v>
      </c>
    </row>
    <row r="147" spans="1:15" ht="104" customHeight="1" x14ac:dyDescent="0.35">
      <c r="A147" s="11">
        <v>142</v>
      </c>
      <c r="B147" s="12" t="s">
        <v>844</v>
      </c>
      <c r="C147" s="12" t="s">
        <v>845</v>
      </c>
      <c r="D147" s="11">
        <v>2025</v>
      </c>
      <c r="E147" s="12" t="s">
        <v>400</v>
      </c>
      <c r="F147" s="12" t="s">
        <v>736</v>
      </c>
      <c r="G147" s="11" t="s">
        <v>127</v>
      </c>
      <c r="H147" s="11"/>
      <c r="I147" s="11"/>
      <c r="J147" s="12"/>
      <c r="K147" s="14" t="str">
        <f t="shared" si="2"/>
        <v>NO</v>
      </c>
      <c r="L147" s="12" t="s">
        <v>128</v>
      </c>
      <c r="M147" s="12" t="s">
        <v>846</v>
      </c>
      <c r="N147" s="12" t="s">
        <v>847</v>
      </c>
      <c r="O147" s="12" t="s">
        <v>848</v>
      </c>
    </row>
    <row r="148" spans="1:15" ht="41.5" customHeight="1" x14ac:dyDescent="0.35">
      <c r="A148" s="11">
        <v>143</v>
      </c>
      <c r="B148" s="12" t="s">
        <v>849</v>
      </c>
      <c r="C148" s="12" t="s">
        <v>850</v>
      </c>
      <c r="D148" s="11">
        <v>2025</v>
      </c>
      <c r="E148" s="12" t="s">
        <v>851</v>
      </c>
      <c r="F148" s="12" t="s">
        <v>736</v>
      </c>
      <c r="G148" s="11" t="s">
        <v>142</v>
      </c>
      <c r="H148" s="11" t="s">
        <v>142</v>
      </c>
      <c r="I148" s="11" t="s">
        <v>142</v>
      </c>
      <c r="J148" s="12"/>
      <c r="K148" s="14" t="str">
        <f t="shared" si="2"/>
        <v>YES</v>
      </c>
      <c r="L148" s="12" t="s">
        <v>128</v>
      </c>
      <c r="M148" s="12"/>
      <c r="N148" s="12" t="s">
        <v>852</v>
      </c>
      <c r="O148" s="12" t="s">
        <v>853</v>
      </c>
    </row>
    <row r="149" spans="1:15" ht="29" customHeight="1" x14ac:dyDescent="0.35">
      <c r="A149" s="11">
        <v>144</v>
      </c>
      <c r="B149" s="12" t="s">
        <v>854</v>
      </c>
      <c r="C149" s="12" t="s">
        <v>855</v>
      </c>
      <c r="D149" s="11">
        <v>2025</v>
      </c>
      <c r="E149" s="12" t="s">
        <v>841</v>
      </c>
      <c r="F149" s="12" t="s">
        <v>736</v>
      </c>
      <c r="G149" s="11" t="s">
        <v>142</v>
      </c>
      <c r="H149" s="11" t="s">
        <v>142</v>
      </c>
      <c r="I149" s="11" t="s">
        <v>142</v>
      </c>
      <c r="J149" s="12"/>
      <c r="K149" s="14" t="str">
        <f t="shared" si="2"/>
        <v>YES</v>
      </c>
      <c r="L149" s="12" t="s">
        <v>128</v>
      </c>
      <c r="M149" s="12"/>
      <c r="N149" s="12" t="s">
        <v>856</v>
      </c>
      <c r="O149" s="12" t="s">
        <v>857</v>
      </c>
    </row>
    <row r="150" spans="1:15" ht="41.5" customHeight="1" x14ac:dyDescent="0.35">
      <c r="A150" s="11">
        <v>145</v>
      </c>
      <c r="B150" s="12" t="s">
        <v>858</v>
      </c>
      <c r="C150" s="12" t="s">
        <v>859</v>
      </c>
      <c r="D150" s="11">
        <v>2022</v>
      </c>
      <c r="E150" s="12" t="s">
        <v>860</v>
      </c>
      <c r="F150" s="12" t="s">
        <v>861</v>
      </c>
      <c r="G150" s="11" t="s">
        <v>142</v>
      </c>
      <c r="H150" s="11" t="s">
        <v>142</v>
      </c>
      <c r="I150" s="11" t="s">
        <v>142</v>
      </c>
      <c r="J150" s="12"/>
      <c r="K150" s="14" t="str">
        <f t="shared" si="2"/>
        <v>YES</v>
      </c>
      <c r="L150" s="12" t="s">
        <v>128</v>
      </c>
      <c r="M150" s="12" t="s">
        <v>862</v>
      </c>
      <c r="N150" s="12" t="s">
        <v>863</v>
      </c>
      <c r="O150" s="12" t="s">
        <v>864</v>
      </c>
    </row>
    <row r="151" spans="1:15" ht="24" customHeight="1" x14ac:dyDescent="0.35">
      <c r="A151" s="11">
        <v>146</v>
      </c>
      <c r="B151" s="12" t="s">
        <v>865</v>
      </c>
      <c r="C151" s="12" t="s">
        <v>866</v>
      </c>
      <c r="D151" s="11">
        <v>2023</v>
      </c>
      <c r="E151" s="12" t="s">
        <v>551</v>
      </c>
      <c r="F151" s="12" t="s">
        <v>861</v>
      </c>
      <c r="G151" s="11" t="s">
        <v>142</v>
      </c>
      <c r="H151" s="11" t="s">
        <v>142</v>
      </c>
      <c r="I151" s="11" t="s">
        <v>142</v>
      </c>
      <c r="J151" s="12"/>
      <c r="K151" s="14" t="str">
        <f t="shared" si="2"/>
        <v>YES</v>
      </c>
      <c r="L151" s="12" t="s">
        <v>128</v>
      </c>
      <c r="M151" s="12"/>
      <c r="N151" s="12" t="s">
        <v>867</v>
      </c>
      <c r="O151" s="12" t="s">
        <v>868</v>
      </c>
    </row>
    <row r="152" spans="1:15" ht="24" customHeight="1" x14ac:dyDescent="0.35">
      <c r="A152" s="11">
        <v>147</v>
      </c>
      <c r="B152" s="12" t="s">
        <v>869</v>
      </c>
      <c r="C152" s="12" t="s">
        <v>870</v>
      </c>
      <c r="D152" s="11">
        <v>2019</v>
      </c>
      <c r="E152" s="12" t="s">
        <v>227</v>
      </c>
      <c r="F152" s="12" t="s">
        <v>861</v>
      </c>
      <c r="G152" s="11" t="s">
        <v>127</v>
      </c>
      <c r="H152" s="11"/>
      <c r="I152" s="11"/>
      <c r="J152" s="12"/>
      <c r="K152" s="14" t="str">
        <f t="shared" si="2"/>
        <v>NO</v>
      </c>
      <c r="L152" s="12" t="s">
        <v>128</v>
      </c>
      <c r="M152" s="12" t="s">
        <v>871</v>
      </c>
      <c r="N152" s="12" t="s">
        <v>872</v>
      </c>
      <c r="O152" s="12" t="s">
        <v>873</v>
      </c>
    </row>
    <row r="153" spans="1:15" ht="29" customHeight="1" x14ac:dyDescent="0.35">
      <c r="A153" s="11">
        <v>148</v>
      </c>
      <c r="B153" s="12" t="s">
        <v>874</v>
      </c>
      <c r="C153" s="12" t="s">
        <v>875</v>
      </c>
      <c r="D153" s="11">
        <v>2023</v>
      </c>
      <c r="E153" s="12" t="s">
        <v>876</v>
      </c>
      <c r="F153" s="12" t="s">
        <v>861</v>
      </c>
      <c r="G153" s="11" t="s">
        <v>127</v>
      </c>
      <c r="H153" s="11"/>
      <c r="I153" s="11"/>
      <c r="J153" s="12"/>
      <c r="K153" s="14" t="str">
        <f t="shared" si="2"/>
        <v>NO</v>
      </c>
      <c r="L153" s="12" t="s">
        <v>128</v>
      </c>
      <c r="M153" s="12" t="s">
        <v>877</v>
      </c>
      <c r="N153" s="12" t="s">
        <v>878</v>
      </c>
      <c r="O153" s="12" t="s">
        <v>879</v>
      </c>
    </row>
    <row r="154" spans="1:15" ht="29" customHeight="1" x14ac:dyDescent="0.35">
      <c r="A154" s="11">
        <v>149</v>
      </c>
      <c r="B154" s="12" t="s">
        <v>880</v>
      </c>
      <c r="C154" s="12" t="s">
        <v>881</v>
      </c>
      <c r="D154" s="11">
        <v>2023</v>
      </c>
      <c r="E154" s="12" t="s">
        <v>375</v>
      </c>
      <c r="F154" s="12" t="s">
        <v>861</v>
      </c>
      <c r="G154" s="11" t="s">
        <v>127</v>
      </c>
      <c r="H154" s="11"/>
      <c r="I154" s="11"/>
      <c r="J154" s="12"/>
      <c r="K154" s="14" t="str">
        <f t="shared" si="2"/>
        <v>NO</v>
      </c>
      <c r="L154" s="12" t="s">
        <v>128</v>
      </c>
      <c r="M154" s="12" t="s">
        <v>882</v>
      </c>
      <c r="N154" s="12" t="s">
        <v>883</v>
      </c>
      <c r="O154" s="12" t="s">
        <v>884</v>
      </c>
    </row>
    <row r="155" spans="1:15" ht="41.5" customHeight="1" x14ac:dyDescent="0.35">
      <c r="A155" s="11">
        <v>150</v>
      </c>
      <c r="B155" s="12" t="s">
        <v>885</v>
      </c>
      <c r="C155" s="12" t="s">
        <v>886</v>
      </c>
      <c r="D155" s="11">
        <v>2024</v>
      </c>
      <c r="E155" s="12" t="s">
        <v>887</v>
      </c>
      <c r="F155" s="12" t="s">
        <v>861</v>
      </c>
      <c r="G155" s="11" t="s">
        <v>127</v>
      </c>
      <c r="H155" s="11"/>
      <c r="I155" s="11"/>
      <c r="J155" s="12"/>
      <c r="K155" s="14" t="str">
        <f t="shared" si="2"/>
        <v>NO</v>
      </c>
      <c r="L155" s="12" t="s">
        <v>128</v>
      </c>
      <c r="M155" s="12" t="s">
        <v>877</v>
      </c>
      <c r="N155" s="12" t="s">
        <v>888</v>
      </c>
      <c r="O155" s="12" t="s">
        <v>889</v>
      </c>
    </row>
    <row r="156" spans="1:15" ht="29" customHeight="1" x14ac:dyDescent="0.35">
      <c r="A156" s="11">
        <v>151</v>
      </c>
      <c r="B156" s="12" t="s">
        <v>890</v>
      </c>
      <c r="C156" s="12" t="s">
        <v>891</v>
      </c>
      <c r="D156" s="11">
        <v>2025</v>
      </c>
      <c r="E156" s="12" t="s">
        <v>892</v>
      </c>
      <c r="F156" s="12" t="s">
        <v>861</v>
      </c>
      <c r="G156" s="11" t="s">
        <v>142</v>
      </c>
      <c r="H156" s="11" t="s">
        <v>142</v>
      </c>
      <c r="I156" s="11" t="s">
        <v>142</v>
      </c>
      <c r="J156" s="12"/>
      <c r="K156" s="14" t="str">
        <f t="shared" si="2"/>
        <v>YES</v>
      </c>
      <c r="L156" s="12" t="s">
        <v>128</v>
      </c>
      <c r="M156" s="12"/>
      <c r="N156" s="12" t="s">
        <v>893</v>
      </c>
      <c r="O156" s="12" t="s">
        <v>894</v>
      </c>
    </row>
    <row r="157" spans="1:15" ht="29" customHeight="1" x14ac:dyDescent="0.35">
      <c r="A157" s="11">
        <v>152</v>
      </c>
      <c r="B157" s="12" t="s">
        <v>895</v>
      </c>
      <c r="C157" s="12" t="s">
        <v>896</v>
      </c>
      <c r="D157" s="11">
        <v>2024</v>
      </c>
      <c r="E157" s="12" t="s">
        <v>153</v>
      </c>
      <c r="F157" s="12" t="s">
        <v>861</v>
      </c>
      <c r="G157" s="11" t="s">
        <v>142</v>
      </c>
      <c r="H157" s="11" t="s">
        <v>142</v>
      </c>
      <c r="I157" s="11" t="s">
        <v>127</v>
      </c>
      <c r="J157" s="12" t="s">
        <v>203</v>
      </c>
      <c r="K157" s="14" t="str">
        <f t="shared" si="2"/>
        <v>NO</v>
      </c>
      <c r="L157" s="12" t="s">
        <v>128</v>
      </c>
      <c r="M157" s="12" t="s">
        <v>897</v>
      </c>
      <c r="N157" s="12" t="s">
        <v>898</v>
      </c>
      <c r="O157" s="12" t="s">
        <v>899</v>
      </c>
    </row>
    <row r="158" spans="1:15" ht="54" customHeight="1" x14ac:dyDescent="0.35">
      <c r="A158" s="11">
        <v>153</v>
      </c>
      <c r="B158" s="12" t="s">
        <v>900</v>
      </c>
      <c r="C158" s="12" t="s">
        <v>901</v>
      </c>
      <c r="D158" s="11">
        <v>2024</v>
      </c>
      <c r="E158" s="12" t="s">
        <v>902</v>
      </c>
      <c r="F158" s="12" t="s">
        <v>861</v>
      </c>
      <c r="G158" s="11" t="s">
        <v>127</v>
      </c>
      <c r="H158" s="11"/>
      <c r="I158" s="11"/>
      <c r="J158" s="12"/>
      <c r="K158" s="14" t="str">
        <f t="shared" si="2"/>
        <v>NO</v>
      </c>
      <c r="L158" s="12" t="s">
        <v>128</v>
      </c>
      <c r="M158" s="12" t="s">
        <v>135</v>
      </c>
      <c r="N158" s="12" t="s">
        <v>903</v>
      </c>
      <c r="O158" s="12" t="s">
        <v>904</v>
      </c>
    </row>
    <row r="159" spans="1:15" ht="29" customHeight="1" x14ac:dyDescent="0.35">
      <c r="A159" s="11">
        <v>154</v>
      </c>
      <c r="B159" s="12" t="s">
        <v>905</v>
      </c>
      <c r="C159" s="12" t="s">
        <v>906</v>
      </c>
      <c r="D159" s="11">
        <v>2024</v>
      </c>
      <c r="E159" s="12" t="s">
        <v>907</v>
      </c>
      <c r="F159" s="12" t="s">
        <v>861</v>
      </c>
      <c r="G159" s="11" t="s">
        <v>127</v>
      </c>
      <c r="H159" s="11"/>
      <c r="I159" s="11"/>
      <c r="J159" s="12"/>
      <c r="K159" s="14" t="str">
        <f t="shared" si="2"/>
        <v>NO</v>
      </c>
      <c r="L159" s="12" t="s">
        <v>128</v>
      </c>
      <c r="M159" s="12" t="s">
        <v>908</v>
      </c>
      <c r="N159" s="12" t="s">
        <v>909</v>
      </c>
      <c r="O159" s="12" t="s">
        <v>910</v>
      </c>
    </row>
    <row r="160" spans="1:15" ht="54" customHeight="1" x14ac:dyDescent="0.35">
      <c r="A160" s="11">
        <v>155</v>
      </c>
      <c r="B160" s="12" t="s">
        <v>911</v>
      </c>
      <c r="C160" s="12" t="s">
        <v>912</v>
      </c>
      <c r="D160" s="11">
        <v>2024</v>
      </c>
      <c r="E160" s="12" t="s">
        <v>913</v>
      </c>
      <c r="F160" s="12" t="s">
        <v>861</v>
      </c>
      <c r="G160" s="11" t="s">
        <v>127</v>
      </c>
      <c r="H160" s="11"/>
      <c r="I160" s="11"/>
      <c r="J160" s="12"/>
      <c r="K160" s="14" t="str">
        <f t="shared" si="2"/>
        <v>NO</v>
      </c>
      <c r="L160" s="12" t="s">
        <v>128</v>
      </c>
      <c r="M160" s="12" t="s">
        <v>154</v>
      </c>
      <c r="N160" s="12" t="s">
        <v>914</v>
      </c>
      <c r="O160" s="12" t="s">
        <v>915</v>
      </c>
    </row>
    <row r="161" spans="1:15" ht="41.5" customHeight="1" x14ac:dyDescent="0.35">
      <c r="A161" s="11">
        <v>156</v>
      </c>
      <c r="B161" s="12" t="s">
        <v>916</v>
      </c>
      <c r="C161" s="12" t="s">
        <v>917</v>
      </c>
      <c r="D161" s="11">
        <v>2024</v>
      </c>
      <c r="E161" s="12" t="s">
        <v>299</v>
      </c>
      <c r="F161" s="12" t="s">
        <v>861</v>
      </c>
      <c r="G161" s="11" t="s">
        <v>142</v>
      </c>
      <c r="H161" s="11" t="s">
        <v>142</v>
      </c>
      <c r="I161" s="11" t="s">
        <v>142</v>
      </c>
      <c r="J161" s="12"/>
      <c r="K161" s="14" t="str">
        <f t="shared" si="2"/>
        <v>YES</v>
      </c>
      <c r="L161" s="12" t="s">
        <v>128</v>
      </c>
      <c r="M161" s="12"/>
      <c r="N161" s="12" t="s">
        <v>918</v>
      </c>
      <c r="O161" s="12" t="s">
        <v>919</v>
      </c>
    </row>
    <row r="162" spans="1:15" ht="41.5" customHeight="1" x14ac:dyDescent="0.35">
      <c r="A162" s="11">
        <v>157</v>
      </c>
      <c r="B162" s="12" t="s">
        <v>920</v>
      </c>
      <c r="C162" s="12" t="s">
        <v>921</v>
      </c>
      <c r="D162" s="11">
        <v>2024</v>
      </c>
      <c r="E162" s="12" t="s">
        <v>434</v>
      </c>
      <c r="F162" s="12" t="s">
        <v>861</v>
      </c>
      <c r="G162" s="11" t="s">
        <v>127</v>
      </c>
      <c r="H162" s="11"/>
      <c r="I162" s="11"/>
      <c r="J162" s="12"/>
      <c r="K162" s="14" t="str">
        <f t="shared" si="2"/>
        <v>NO</v>
      </c>
      <c r="L162" s="12" t="s">
        <v>128</v>
      </c>
      <c r="M162" s="12" t="s">
        <v>882</v>
      </c>
      <c r="N162" s="12" t="s">
        <v>922</v>
      </c>
      <c r="O162" s="12" t="s">
        <v>923</v>
      </c>
    </row>
    <row r="163" spans="1:15" ht="29" customHeight="1" x14ac:dyDescent="0.35">
      <c r="A163" s="11">
        <v>158</v>
      </c>
      <c r="B163" s="12" t="s">
        <v>924</v>
      </c>
      <c r="C163" s="12" t="s">
        <v>925</v>
      </c>
      <c r="D163" s="11">
        <v>2024</v>
      </c>
      <c r="E163" s="12" t="s">
        <v>876</v>
      </c>
      <c r="F163" s="12" t="s">
        <v>861</v>
      </c>
      <c r="G163" s="11" t="s">
        <v>127</v>
      </c>
      <c r="H163" s="11"/>
      <c r="I163" s="11"/>
      <c r="J163" s="12"/>
      <c r="K163" s="14" t="str">
        <f t="shared" si="2"/>
        <v>NO</v>
      </c>
      <c r="L163" s="12" t="s">
        <v>128</v>
      </c>
      <c r="M163" s="12" t="s">
        <v>877</v>
      </c>
      <c r="N163" s="12" t="s">
        <v>926</v>
      </c>
      <c r="O163" s="12" t="s">
        <v>927</v>
      </c>
    </row>
    <row r="164" spans="1:15" ht="41.5" customHeight="1" x14ac:dyDescent="0.35">
      <c r="A164" s="11">
        <v>159</v>
      </c>
      <c r="B164" s="12" t="s">
        <v>928</v>
      </c>
      <c r="C164" s="12" t="s">
        <v>929</v>
      </c>
      <c r="D164" s="11">
        <v>2024</v>
      </c>
      <c r="E164" s="12" t="s">
        <v>930</v>
      </c>
      <c r="F164" s="12" t="s">
        <v>861</v>
      </c>
      <c r="G164" s="11" t="s">
        <v>127</v>
      </c>
      <c r="H164" s="11"/>
      <c r="I164" s="11"/>
      <c r="J164" s="12"/>
      <c r="K164" s="14" t="str">
        <f t="shared" si="2"/>
        <v>NO</v>
      </c>
      <c r="L164" s="12" t="s">
        <v>128</v>
      </c>
      <c r="M164" s="12" t="s">
        <v>931</v>
      </c>
      <c r="N164" s="12" t="s">
        <v>932</v>
      </c>
      <c r="O164" s="12" t="s">
        <v>933</v>
      </c>
    </row>
    <row r="165" spans="1:15" ht="29" customHeight="1" x14ac:dyDescent="0.35">
      <c r="A165" s="11">
        <v>160</v>
      </c>
      <c r="B165" s="12" t="s">
        <v>934</v>
      </c>
      <c r="C165" s="12" t="s">
        <v>935</v>
      </c>
      <c r="D165" s="11">
        <v>2024</v>
      </c>
      <c r="E165" s="12" t="s">
        <v>936</v>
      </c>
      <c r="F165" s="12" t="s">
        <v>861</v>
      </c>
      <c r="G165" s="11" t="s">
        <v>127</v>
      </c>
      <c r="H165" s="11"/>
      <c r="I165" s="11"/>
      <c r="J165" s="12"/>
      <c r="K165" s="14" t="str">
        <f t="shared" si="2"/>
        <v>NO</v>
      </c>
      <c r="L165" s="12" t="s">
        <v>128</v>
      </c>
      <c r="M165" s="12" t="s">
        <v>937</v>
      </c>
      <c r="N165" s="12" t="s">
        <v>938</v>
      </c>
      <c r="O165" s="12" t="s">
        <v>939</v>
      </c>
    </row>
    <row r="166" spans="1:15" ht="41.5" customHeight="1" x14ac:dyDescent="0.35">
      <c r="A166" s="11">
        <v>161</v>
      </c>
      <c r="B166" s="12" t="s">
        <v>940</v>
      </c>
      <c r="C166" s="12" t="s">
        <v>941</v>
      </c>
      <c r="D166" s="11">
        <v>2025</v>
      </c>
      <c r="E166" s="12" t="s">
        <v>942</v>
      </c>
      <c r="F166" s="12" t="s">
        <v>861</v>
      </c>
      <c r="G166" s="11" t="s">
        <v>142</v>
      </c>
      <c r="H166" s="11" t="s">
        <v>142</v>
      </c>
      <c r="I166" s="11" t="s">
        <v>142</v>
      </c>
      <c r="J166" s="12"/>
      <c r="K166" s="14" t="str">
        <f t="shared" si="2"/>
        <v>YES</v>
      </c>
      <c r="L166" s="12" t="s">
        <v>128</v>
      </c>
      <c r="M166" s="12"/>
      <c r="N166" s="12" t="s">
        <v>943</v>
      </c>
      <c r="O166" s="12" t="s">
        <v>944</v>
      </c>
    </row>
    <row r="167" spans="1:15" ht="41.5" customHeight="1" x14ac:dyDescent="0.35">
      <c r="A167" s="11">
        <v>162</v>
      </c>
      <c r="B167" s="12" t="s">
        <v>945</v>
      </c>
      <c r="C167" s="12" t="s">
        <v>946</v>
      </c>
      <c r="D167" s="11">
        <v>2024</v>
      </c>
      <c r="E167" s="12" t="s">
        <v>947</v>
      </c>
      <c r="F167" s="12" t="s">
        <v>861</v>
      </c>
      <c r="G167" s="11" t="s">
        <v>127</v>
      </c>
      <c r="H167" s="11"/>
      <c r="I167" s="11"/>
      <c r="J167" s="12"/>
      <c r="K167" s="14" t="str">
        <f t="shared" si="2"/>
        <v>NO</v>
      </c>
      <c r="L167" s="12" t="s">
        <v>128</v>
      </c>
      <c r="M167" s="12" t="s">
        <v>809</v>
      </c>
      <c r="N167" s="12" t="s">
        <v>948</v>
      </c>
      <c r="O167" s="12" t="s">
        <v>949</v>
      </c>
    </row>
    <row r="168" spans="1:15" ht="29" customHeight="1" x14ac:dyDescent="0.35">
      <c r="A168" s="11">
        <v>163</v>
      </c>
      <c r="B168" s="12" t="s">
        <v>950</v>
      </c>
      <c r="C168" s="12" t="s">
        <v>951</v>
      </c>
      <c r="D168" s="11">
        <v>2024</v>
      </c>
      <c r="E168" s="12" t="s">
        <v>153</v>
      </c>
      <c r="F168" s="12" t="s">
        <v>861</v>
      </c>
      <c r="G168" s="11" t="s">
        <v>142</v>
      </c>
      <c r="H168" s="11" t="s">
        <v>142</v>
      </c>
      <c r="I168" s="11" t="s">
        <v>127</v>
      </c>
      <c r="J168" s="12" t="s">
        <v>203</v>
      </c>
      <c r="K168" s="14" t="str">
        <f t="shared" si="2"/>
        <v>NO</v>
      </c>
      <c r="L168" s="12" t="s">
        <v>128</v>
      </c>
      <c r="M168" s="12" t="s">
        <v>897</v>
      </c>
      <c r="N168" s="12" t="s">
        <v>952</v>
      </c>
      <c r="O168" s="12" t="s">
        <v>953</v>
      </c>
    </row>
    <row r="169" spans="1:15" ht="29" customHeight="1" x14ac:dyDescent="0.35">
      <c r="A169" s="11">
        <v>164</v>
      </c>
      <c r="B169" s="12" t="s">
        <v>954</v>
      </c>
      <c r="C169" s="12" t="s">
        <v>955</v>
      </c>
      <c r="D169" s="11">
        <v>2023</v>
      </c>
      <c r="E169" s="12" t="s">
        <v>565</v>
      </c>
      <c r="F169" s="12" t="s">
        <v>861</v>
      </c>
      <c r="G169" s="11" t="s">
        <v>142</v>
      </c>
      <c r="H169" s="11" t="s">
        <v>142</v>
      </c>
      <c r="I169" s="11" t="s">
        <v>142</v>
      </c>
      <c r="J169" s="12"/>
      <c r="K169" s="14" t="str">
        <f t="shared" si="2"/>
        <v>YES</v>
      </c>
      <c r="L169" s="12" t="s">
        <v>128</v>
      </c>
      <c r="M169" s="12"/>
      <c r="N169" s="12" t="s">
        <v>956</v>
      </c>
      <c r="O169" s="12" t="s">
        <v>957</v>
      </c>
    </row>
    <row r="170" spans="1:15" ht="29" customHeight="1" x14ac:dyDescent="0.35">
      <c r="A170" s="11">
        <v>165</v>
      </c>
      <c r="B170" s="12" t="s">
        <v>958</v>
      </c>
      <c r="C170" s="12" t="s">
        <v>959</v>
      </c>
      <c r="D170" s="11">
        <v>2025</v>
      </c>
      <c r="E170" s="12" t="s">
        <v>960</v>
      </c>
      <c r="F170" s="12" t="s">
        <v>861</v>
      </c>
      <c r="G170" s="11" t="s">
        <v>127</v>
      </c>
      <c r="H170" s="11"/>
      <c r="I170" s="11"/>
      <c r="J170" s="12"/>
      <c r="K170" s="14" t="str">
        <f t="shared" si="2"/>
        <v>NO</v>
      </c>
      <c r="L170" s="12" t="s">
        <v>128</v>
      </c>
      <c r="M170" s="12" t="s">
        <v>154</v>
      </c>
      <c r="N170" s="12" t="s">
        <v>961</v>
      </c>
      <c r="O170" s="12" t="s">
        <v>962</v>
      </c>
    </row>
    <row r="171" spans="1:15" ht="29" customHeight="1" x14ac:dyDescent="0.35">
      <c r="A171" s="11">
        <v>166</v>
      </c>
      <c r="B171" s="12" t="s">
        <v>963</v>
      </c>
      <c r="C171" s="12" t="s">
        <v>964</v>
      </c>
      <c r="D171" s="11">
        <v>2024</v>
      </c>
      <c r="E171" s="12" t="s">
        <v>153</v>
      </c>
      <c r="F171" s="12" t="s">
        <v>861</v>
      </c>
      <c r="G171" s="11" t="s">
        <v>127</v>
      </c>
      <c r="H171" s="11"/>
      <c r="I171" s="11"/>
      <c r="J171" s="12"/>
      <c r="K171" s="14" t="str">
        <f t="shared" si="2"/>
        <v>NO</v>
      </c>
      <c r="L171" s="12" t="s">
        <v>128</v>
      </c>
      <c r="M171" s="12" t="s">
        <v>965</v>
      </c>
      <c r="N171" s="12" t="s">
        <v>966</v>
      </c>
      <c r="O171" s="12" t="s">
        <v>967</v>
      </c>
    </row>
    <row r="172" spans="1:15" ht="41.5" customHeight="1" x14ac:dyDescent="0.35">
      <c r="A172" s="11">
        <v>167</v>
      </c>
      <c r="B172" s="12" t="s">
        <v>968</v>
      </c>
      <c r="C172" s="12" t="s">
        <v>969</v>
      </c>
      <c r="D172" s="11">
        <v>2024</v>
      </c>
      <c r="E172" s="12" t="s">
        <v>970</v>
      </c>
      <c r="F172" s="12" t="s">
        <v>861</v>
      </c>
      <c r="G172" s="11" t="s">
        <v>127</v>
      </c>
      <c r="H172" s="11"/>
      <c r="I172" s="11"/>
      <c r="J172" s="12"/>
      <c r="K172" s="14" t="str">
        <f t="shared" si="2"/>
        <v>NO</v>
      </c>
      <c r="L172" s="12" t="s">
        <v>128</v>
      </c>
      <c r="M172" s="12" t="s">
        <v>971</v>
      </c>
      <c r="N172" s="12" t="s">
        <v>972</v>
      </c>
      <c r="O172" s="12" t="s">
        <v>973</v>
      </c>
    </row>
    <row r="173" spans="1:15" ht="29" customHeight="1" x14ac:dyDescent="0.35">
      <c r="A173" s="11">
        <v>168</v>
      </c>
      <c r="B173" s="12" t="s">
        <v>974</v>
      </c>
      <c r="C173" s="12" t="s">
        <v>975</v>
      </c>
      <c r="D173" s="11">
        <v>2022</v>
      </c>
      <c r="E173" s="12" t="s">
        <v>375</v>
      </c>
      <c r="F173" s="12" t="s">
        <v>861</v>
      </c>
      <c r="G173" s="11" t="s">
        <v>127</v>
      </c>
      <c r="H173" s="11"/>
      <c r="I173" s="11"/>
      <c r="J173" s="12"/>
      <c r="K173" s="14" t="str">
        <f t="shared" si="2"/>
        <v>NO</v>
      </c>
      <c r="L173" s="12" t="s">
        <v>128</v>
      </c>
      <c r="M173" s="12" t="s">
        <v>976</v>
      </c>
      <c r="N173" s="12" t="s">
        <v>977</v>
      </c>
      <c r="O173" s="12" t="s">
        <v>978</v>
      </c>
    </row>
    <row r="174" spans="1:15" ht="54" customHeight="1" x14ac:dyDescent="0.35">
      <c r="A174" s="11">
        <v>169</v>
      </c>
      <c r="B174" s="12" t="s">
        <v>979</v>
      </c>
      <c r="C174" s="12" t="s">
        <v>980</v>
      </c>
      <c r="D174" s="11">
        <v>2024</v>
      </c>
      <c r="E174" s="12" t="s">
        <v>981</v>
      </c>
      <c r="F174" s="12" t="s">
        <v>861</v>
      </c>
      <c r="G174" s="11" t="s">
        <v>127</v>
      </c>
      <c r="H174" s="11"/>
      <c r="I174" s="11"/>
      <c r="J174" s="12"/>
      <c r="K174" s="14" t="str">
        <f t="shared" si="2"/>
        <v>NO</v>
      </c>
      <c r="L174" s="12" t="s">
        <v>128</v>
      </c>
      <c r="M174" s="12" t="s">
        <v>982</v>
      </c>
      <c r="N174" s="12" t="s">
        <v>983</v>
      </c>
      <c r="O174" s="12" t="s">
        <v>984</v>
      </c>
    </row>
    <row r="175" spans="1:15" ht="29" customHeight="1" x14ac:dyDescent="0.35">
      <c r="A175" s="11">
        <v>170</v>
      </c>
      <c r="B175" s="12" t="s">
        <v>985</v>
      </c>
      <c r="C175" s="12" t="s">
        <v>986</v>
      </c>
      <c r="D175" s="11">
        <v>2022</v>
      </c>
      <c r="E175" s="12" t="s">
        <v>153</v>
      </c>
      <c r="F175" s="12" t="s">
        <v>987</v>
      </c>
      <c r="G175" s="11" t="s">
        <v>127</v>
      </c>
      <c r="H175" s="11"/>
      <c r="I175" s="11"/>
      <c r="J175" s="12"/>
      <c r="K175" s="14" t="str">
        <f t="shared" si="2"/>
        <v>NO</v>
      </c>
      <c r="L175" s="12" t="s">
        <v>128</v>
      </c>
      <c r="M175" s="12" t="s">
        <v>965</v>
      </c>
      <c r="N175" s="12" t="s">
        <v>988</v>
      </c>
      <c r="O175" s="12" t="s">
        <v>989</v>
      </c>
    </row>
    <row r="176" spans="1:15" ht="41.5" customHeight="1" x14ac:dyDescent="0.35">
      <c r="A176" s="11">
        <v>171</v>
      </c>
      <c r="B176" s="12" t="s">
        <v>990</v>
      </c>
      <c r="C176" s="12" t="s">
        <v>991</v>
      </c>
      <c r="D176" s="11">
        <v>2022</v>
      </c>
      <c r="E176" s="12" t="s">
        <v>597</v>
      </c>
      <c r="F176" s="12" t="s">
        <v>987</v>
      </c>
      <c r="G176" s="11" t="s">
        <v>127</v>
      </c>
      <c r="H176" s="11"/>
      <c r="I176" s="11"/>
      <c r="J176" s="12"/>
      <c r="K176" s="14" t="str">
        <f t="shared" si="2"/>
        <v>NO</v>
      </c>
      <c r="L176" s="12" t="s">
        <v>128</v>
      </c>
      <c r="M176" s="12" t="s">
        <v>992</v>
      </c>
      <c r="N176" s="12" t="s">
        <v>993</v>
      </c>
      <c r="O176" s="12" t="s">
        <v>994</v>
      </c>
    </row>
    <row r="177" spans="1:15" ht="29" customHeight="1" x14ac:dyDescent="0.35">
      <c r="A177" s="11">
        <v>172</v>
      </c>
      <c r="B177" s="12" t="s">
        <v>995</v>
      </c>
      <c r="C177" s="12" t="s">
        <v>996</v>
      </c>
      <c r="D177" s="11">
        <v>2024</v>
      </c>
      <c r="E177" s="12" t="s">
        <v>375</v>
      </c>
      <c r="F177" s="12" t="s">
        <v>987</v>
      </c>
      <c r="G177" s="11" t="s">
        <v>127</v>
      </c>
      <c r="H177" s="11"/>
      <c r="I177" s="11"/>
      <c r="J177" s="12"/>
      <c r="K177" s="14" t="str">
        <f t="shared" si="2"/>
        <v>NO</v>
      </c>
      <c r="L177" s="12" t="s">
        <v>128</v>
      </c>
      <c r="M177" s="12" t="s">
        <v>997</v>
      </c>
      <c r="N177" s="12" t="s">
        <v>998</v>
      </c>
      <c r="O177" s="12" t="s">
        <v>999</v>
      </c>
    </row>
    <row r="178" spans="1:15" ht="29" customHeight="1" x14ac:dyDescent="0.35">
      <c r="A178" s="11">
        <v>173</v>
      </c>
      <c r="B178" s="12" t="s">
        <v>1000</v>
      </c>
      <c r="C178" s="12" t="s">
        <v>1001</v>
      </c>
      <c r="D178" s="11">
        <v>2025</v>
      </c>
      <c r="E178" s="12" t="s">
        <v>1002</v>
      </c>
      <c r="F178" s="12" t="s">
        <v>987</v>
      </c>
      <c r="G178" s="11" t="s">
        <v>127</v>
      </c>
      <c r="H178" s="11"/>
      <c r="I178" s="11"/>
      <c r="J178" s="12"/>
      <c r="K178" s="14" t="str">
        <f t="shared" si="2"/>
        <v>NO</v>
      </c>
      <c r="L178" s="12" t="s">
        <v>128</v>
      </c>
      <c r="M178" s="12" t="s">
        <v>1003</v>
      </c>
      <c r="N178" s="12" t="s">
        <v>1004</v>
      </c>
      <c r="O178" s="12" t="s">
        <v>1005</v>
      </c>
    </row>
    <row r="179" spans="1:15" ht="41.5" customHeight="1" x14ac:dyDescent="0.35">
      <c r="A179" s="11">
        <v>174</v>
      </c>
      <c r="B179" s="12" t="s">
        <v>1006</v>
      </c>
      <c r="C179" s="12" t="s">
        <v>1007</v>
      </c>
      <c r="D179" s="11">
        <v>2024</v>
      </c>
      <c r="E179" s="12" t="s">
        <v>1008</v>
      </c>
      <c r="F179" s="12" t="s">
        <v>987</v>
      </c>
      <c r="G179" s="11" t="s">
        <v>142</v>
      </c>
      <c r="H179" s="11" t="s">
        <v>142</v>
      </c>
      <c r="I179" s="11" t="s">
        <v>142</v>
      </c>
      <c r="J179" s="12"/>
      <c r="K179" s="14" t="str">
        <f t="shared" si="2"/>
        <v>YES</v>
      </c>
      <c r="L179" s="12" t="s">
        <v>128</v>
      </c>
      <c r="M179" s="12"/>
      <c r="N179" s="12" t="s">
        <v>1009</v>
      </c>
      <c r="O179" s="12" t="s">
        <v>1010</v>
      </c>
    </row>
    <row r="180" spans="1:15" ht="41.5" customHeight="1" x14ac:dyDescent="0.35">
      <c r="A180" s="11">
        <v>175</v>
      </c>
      <c r="B180" s="12" t="s">
        <v>1011</v>
      </c>
      <c r="C180" s="12" t="s">
        <v>1012</v>
      </c>
      <c r="D180" s="11">
        <v>2024</v>
      </c>
      <c r="E180" s="12" t="s">
        <v>453</v>
      </c>
      <c r="F180" s="12" t="s">
        <v>987</v>
      </c>
      <c r="G180" s="11" t="s">
        <v>142</v>
      </c>
      <c r="H180" s="11" t="s">
        <v>142</v>
      </c>
      <c r="I180" s="11" t="s">
        <v>127</v>
      </c>
      <c r="J180" s="12" t="s">
        <v>313</v>
      </c>
      <c r="K180" s="14" t="str">
        <f t="shared" si="2"/>
        <v>NO</v>
      </c>
      <c r="L180" s="12" t="s">
        <v>128</v>
      </c>
      <c r="M180" s="12" t="s">
        <v>454</v>
      </c>
      <c r="N180" s="12" t="s">
        <v>1013</v>
      </c>
      <c r="O180" s="12" t="s">
        <v>1014</v>
      </c>
    </row>
    <row r="181" spans="1:15" ht="29" customHeight="1" x14ac:dyDescent="0.35">
      <c r="A181" s="11">
        <v>176</v>
      </c>
      <c r="B181" s="12" t="s">
        <v>1015</v>
      </c>
      <c r="C181" s="12" t="s">
        <v>1016</v>
      </c>
      <c r="D181" s="11">
        <v>2023</v>
      </c>
      <c r="E181" s="12" t="s">
        <v>565</v>
      </c>
      <c r="F181" s="12" t="s">
        <v>987</v>
      </c>
      <c r="G181" s="11" t="s">
        <v>142</v>
      </c>
      <c r="H181" s="11" t="s">
        <v>142</v>
      </c>
      <c r="I181" s="11" t="s">
        <v>142</v>
      </c>
      <c r="J181" s="12"/>
      <c r="K181" s="14" t="str">
        <f t="shared" si="2"/>
        <v>YES</v>
      </c>
      <c r="L181" s="12" t="s">
        <v>128</v>
      </c>
      <c r="M181" s="12"/>
      <c r="N181" s="12" t="s">
        <v>1017</v>
      </c>
      <c r="O181" s="12" t="s">
        <v>1018</v>
      </c>
    </row>
    <row r="182" spans="1:15" ht="29" customHeight="1" x14ac:dyDescent="0.35">
      <c r="A182" s="11">
        <v>177</v>
      </c>
      <c r="B182" s="12" t="s">
        <v>1019</v>
      </c>
      <c r="C182" s="12" t="s">
        <v>1020</v>
      </c>
      <c r="D182" s="11">
        <v>2023</v>
      </c>
      <c r="E182" s="12" t="s">
        <v>1021</v>
      </c>
      <c r="F182" s="12" t="s">
        <v>987</v>
      </c>
      <c r="G182" s="11" t="s">
        <v>127</v>
      </c>
      <c r="H182" s="11"/>
      <c r="I182" s="11"/>
      <c r="J182" s="12"/>
      <c r="K182" s="14" t="str">
        <f t="shared" si="2"/>
        <v>NO</v>
      </c>
      <c r="L182" s="12" t="s">
        <v>128</v>
      </c>
      <c r="M182" s="12" t="s">
        <v>228</v>
      </c>
      <c r="N182" s="12" t="s">
        <v>1022</v>
      </c>
      <c r="O182" s="12" t="s">
        <v>1023</v>
      </c>
    </row>
    <row r="183" spans="1:15" ht="41.5" customHeight="1" x14ac:dyDescent="0.35">
      <c r="A183" s="11">
        <v>178</v>
      </c>
      <c r="B183" s="12" t="s">
        <v>1024</v>
      </c>
      <c r="C183" s="12" t="s">
        <v>1025</v>
      </c>
      <c r="D183" s="11">
        <v>2024</v>
      </c>
      <c r="E183" s="12" t="s">
        <v>1026</v>
      </c>
      <c r="F183" s="12" t="s">
        <v>987</v>
      </c>
      <c r="G183" s="11" t="s">
        <v>142</v>
      </c>
      <c r="H183" s="11" t="s">
        <v>142</v>
      </c>
      <c r="I183" s="11" t="s">
        <v>142</v>
      </c>
      <c r="J183" s="12"/>
      <c r="K183" s="14" t="str">
        <f t="shared" si="2"/>
        <v>YES</v>
      </c>
      <c r="L183" s="12" t="s">
        <v>128</v>
      </c>
      <c r="M183" s="12"/>
      <c r="N183" s="12" t="s">
        <v>1027</v>
      </c>
      <c r="O183" s="12" t="s">
        <v>1028</v>
      </c>
    </row>
    <row r="184" spans="1:15" ht="41.5" customHeight="1" x14ac:dyDescent="0.35">
      <c r="A184" s="11">
        <v>179</v>
      </c>
      <c r="B184" s="12" t="s">
        <v>1029</v>
      </c>
      <c r="C184" s="12" t="s">
        <v>1030</v>
      </c>
      <c r="D184" s="11">
        <v>2023</v>
      </c>
      <c r="E184" s="12" t="s">
        <v>597</v>
      </c>
      <c r="F184" s="12" t="s">
        <v>987</v>
      </c>
      <c r="G184" s="11" t="s">
        <v>127</v>
      </c>
      <c r="H184" s="11"/>
      <c r="I184" s="11"/>
      <c r="J184" s="12"/>
      <c r="K184" s="14" t="str">
        <f t="shared" si="2"/>
        <v>NO</v>
      </c>
      <c r="L184" s="12" t="s">
        <v>128</v>
      </c>
      <c r="M184" s="12" t="s">
        <v>1031</v>
      </c>
      <c r="N184" s="12" t="s">
        <v>1032</v>
      </c>
      <c r="O184" s="12" t="s">
        <v>1033</v>
      </c>
    </row>
    <row r="185" spans="1:15" ht="29" customHeight="1" x14ac:dyDescent="0.35">
      <c r="A185" s="11">
        <v>180</v>
      </c>
      <c r="B185" s="12" t="s">
        <v>1034</v>
      </c>
      <c r="C185" s="12" t="s">
        <v>1035</v>
      </c>
      <c r="D185" s="11">
        <v>2024</v>
      </c>
      <c r="E185" s="12" t="s">
        <v>1036</v>
      </c>
      <c r="F185" s="12" t="s">
        <v>987</v>
      </c>
      <c r="G185" s="11" t="s">
        <v>127</v>
      </c>
      <c r="H185" s="11"/>
      <c r="I185" s="11"/>
      <c r="J185" s="12"/>
      <c r="K185" s="14" t="str">
        <f t="shared" si="2"/>
        <v>NO</v>
      </c>
      <c r="L185" s="12" t="s">
        <v>128</v>
      </c>
      <c r="M185" s="12" t="s">
        <v>1037</v>
      </c>
      <c r="N185" s="12" t="s">
        <v>1038</v>
      </c>
      <c r="O185" s="12" t="s">
        <v>1039</v>
      </c>
    </row>
    <row r="186" spans="1:15" ht="29" customHeight="1" x14ac:dyDescent="0.35">
      <c r="A186" s="11">
        <v>181</v>
      </c>
      <c r="B186" s="12" t="s">
        <v>1040</v>
      </c>
      <c r="C186" s="12" t="s">
        <v>1041</v>
      </c>
      <c r="D186" s="11">
        <v>2022</v>
      </c>
      <c r="E186" s="12" t="s">
        <v>375</v>
      </c>
      <c r="F186" s="12" t="s">
        <v>987</v>
      </c>
      <c r="G186" s="11" t="s">
        <v>142</v>
      </c>
      <c r="H186" s="11" t="s">
        <v>127</v>
      </c>
      <c r="I186" s="11"/>
      <c r="J186" s="12"/>
      <c r="K186" s="14" t="str">
        <f t="shared" si="2"/>
        <v>NO</v>
      </c>
      <c r="L186" s="12" t="s">
        <v>128</v>
      </c>
      <c r="M186" s="12" t="s">
        <v>1042</v>
      </c>
      <c r="N186" s="12" t="s">
        <v>1043</v>
      </c>
      <c r="O186" s="12" t="s">
        <v>1044</v>
      </c>
    </row>
    <row r="187" spans="1:15" ht="41.5" customHeight="1" x14ac:dyDescent="0.35">
      <c r="A187" s="11">
        <v>182</v>
      </c>
      <c r="B187" s="12" t="s">
        <v>1045</v>
      </c>
      <c r="C187" s="12" t="s">
        <v>1046</v>
      </c>
      <c r="D187" s="11">
        <v>2022</v>
      </c>
      <c r="E187" s="12" t="s">
        <v>597</v>
      </c>
      <c r="F187" s="12" t="s">
        <v>987</v>
      </c>
      <c r="G187" s="11" t="s">
        <v>127</v>
      </c>
      <c r="H187" s="11"/>
      <c r="I187" s="11"/>
      <c r="J187" s="12"/>
      <c r="K187" s="14" t="str">
        <f t="shared" si="2"/>
        <v>NO</v>
      </c>
      <c r="L187" s="12" t="s">
        <v>128</v>
      </c>
      <c r="M187" s="12" t="s">
        <v>741</v>
      </c>
      <c r="N187" s="12" t="s">
        <v>1047</v>
      </c>
      <c r="O187" s="12" t="s">
        <v>1048</v>
      </c>
    </row>
    <row r="188" spans="1:15" ht="29" customHeight="1" x14ac:dyDescent="0.35">
      <c r="A188" s="11">
        <v>183</v>
      </c>
      <c r="B188" s="12" t="s">
        <v>1049</v>
      </c>
      <c r="C188" s="12" t="s">
        <v>1050</v>
      </c>
      <c r="D188" s="11">
        <v>2018</v>
      </c>
      <c r="E188" s="12" t="s">
        <v>153</v>
      </c>
      <c r="F188" s="12" t="s">
        <v>987</v>
      </c>
      <c r="G188" s="11" t="s">
        <v>127</v>
      </c>
      <c r="H188" s="11"/>
      <c r="I188" s="11"/>
      <c r="J188" s="12"/>
      <c r="K188" s="14" t="str">
        <f t="shared" si="2"/>
        <v>NO</v>
      </c>
      <c r="L188" s="12" t="s">
        <v>128</v>
      </c>
      <c r="M188" s="12" t="s">
        <v>1051</v>
      </c>
      <c r="N188" s="12" t="s">
        <v>1052</v>
      </c>
      <c r="O188" s="12" t="s">
        <v>1053</v>
      </c>
    </row>
    <row r="189" spans="1:15" ht="41.5" customHeight="1" x14ac:dyDescent="0.35">
      <c r="A189" s="11">
        <v>184</v>
      </c>
      <c r="B189" s="12" t="s">
        <v>1054</v>
      </c>
      <c r="C189" s="12" t="s">
        <v>1055</v>
      </c>
      <c r="D189" s="11">
        <v>2024</v>
      </c>
      <c r="E189" s="12" t="s">
        <v>1056</v>
      </c>
      <c r="F189" s="12" t="s">
        <v>987</v>
      </c>
      <c r="G189" s="11" t="s">
        <v>127</v>
      </c>
      <c r="H189" s="11"/>
      <c r="I189" s="11"/>
      <c r="J189" s="12"/>
      <c r="K189" s="14" t="str">
        <f t="shared" si="2"/>
        <v>NO</v>
      </c>
      <c r="L189" s="12" t="s">
        <v>128</v>
      </c>
      <c r="M189" s="12" t="s">
        <v>148</v>
      </c>
      <c r="N189" s="12" t="s">
        <v>1057</v>
      </c>
      <c r="O189" s="12" t="s">
        <v>1058</v>
      </c>
    </row>
    <row r="190" spans="1:15" ht="54" customHeight="1" x14ac:dyDescent="0.35">
      <c r="A190" s="11">
        <v>185</v>
      </c>
      <c r="B190" s="12" t="s">
        <v>1059</v>
      </c>
      <c r="C190" s="12" t="s">
        <v>1060</v>
      </c>
      <c r="D190" s="11">
        <v>2023</v>
      </c>
      <c r="E190" s="12" t="s">
        <v>1061</v>
      </c>
      <c r="F190" s="12" t="s">
        <v>987</v>
      </c>
      <c r="G190" s="11" t="s">
        <v>127</v>
      </c>
      <c r="H190" s="11"/>
      <c r="I190" s="11"/>
      <c r="J190" s="12"/>
      <c r="K190" s="14" t="str">
        <f t="shared" si="2"/>
        <v>NO</v>
      </c>
      <c r="L190" s="12" t="s">
        <v>128</v>
      </c>
      <c r="M190" s="12" t="s">
        <v>965</v>
      </c>
      <c r="N190" s="12" t="s">
        <v>1062</v>
      </c>
      <c r="O190" s="12" t="s">
        <v>1063</v>
      </c>
    </row>
    <row r="191" spans="1:15" ht="41.5" customHeight="1" x14ac:dyDescent="0.35">
      <c r="A191" s="11">
        <v>186</v>
      </c>
      <c r="B191" s="12" t="s">
        <v>1064</v>
      </c>
      <c r="C191" s="12" t="s">
        <v>1065</v>
      </c>
      <c r="D191" s="11">
        <v>2023</v>
      </c>
      <c r="E191" s="12" t="s">
        <v>1066</v>
      </c>
      <c r="F191" s="12" t="s">
        <v>987</v>
      </c>
      <c r="G191" s="11" t="s">
        <v>127</v>
      </c>
      <c r="H191" s="11"/>
      <c r="I191" s="11"/>
      <c r="J191" s="12"/>
      <c r="K191" s="14" t="str">
        <f t="shared" si="2"/>
        <v>NO</v>
      </c>
      <c r="L191" s="12" t="s">
        <v>128</v>
      </c>
      <c r="M191" s="12" t="s">
        <v>1067</v>
      </c>
      <c r="N191" s="12" t="s">
        <v>1068</v>
      </c>
      <c r="O191" s="12" t="s">
        <v>1069</v>
      </c>
    </row>
    <row r="192" spans="1:15" ht="41.5" customHeight="1" x14ac:dyDescent="0.35">
      <c r="A192" s="11">
        <v>187</v>
      </c>
      <c r="B192" s="12" t="s">
        <v>1070</v>
      </c>
      <c r="C192" s="12" t="s">
        <v>1071</v>
      </c>
      <c r="D192" s="11">
        <v>2024</v>
      </c>
      <c r="E192" s="12" t="s">
        <v>1072</v>
      </c>
      <c r="F192" s="12" t="s">
        <v>987</v>
      </c>
      <c r="G192" s="11" t="s">
        <v>127</v>
      </c>
      <c r="H192" s="11"/>
      <c r="I192" s="11"/>
      <c r="J192" s="12"/>
      <c r="K192" s="14" t="str">
        <f t="shared" si="2"/>
        <v>NO</v>
      </c>
      <c r="L192" s="12" t="s">
        <v>128</v>
      </c>
      <c r="M192" s="12" t="s">
        <v>1073</v>
      </c>
      <c r="N192" s="12" t="s">
        <v>1074</v>
      </c>
      <c r="O192" s="12" t="s">
        <v>1075</v>
      </c>
    </row>
    <row r="193" spans="1:15" ht="41.5" customHeight="1" x14ac:dyDescent="0.35">
      <c r="A193" s="11">
        <v>188</v>
      </c>
      <c r="B193" s="12" t="s">
        <v>1076</v>
      </c>
      <c r="C193" s="12" t="s">
        <v>1077</v>
      </c>
      <c r="D193" s="11">
        <v>2024</v>
      </c>
      <c r="E193" s="12" t="s">
        <v>1078</v>
      </c>
      <c r="F193" s="12" t="s">
        <v>987</v>
      </c>
      <c r="G193" s="11" t="s">
        <v>127</v>
      </c>
      <c r="H193" s="11"/>
      <c r="I193" s="11"/>
      <c r="J193" s="12"/>
      <c r="K193" s="14" t="str">
        <f t="shared" si="2"/>
        <v>NO</v>
      </c>
      <c r="L193" s="12" t="s">
        <v>128</v>
      </c>
      <c r="M193" s="12" t="s">
        <v>1079</v>
      </c>
      <c r="N193" s="12" t="s">
        <v>1080</v>
      </c>
      <c r="O193" s="12" t="s">
        <v>1081</v>
      </c>
    </row>
    <row r="194" spans="1:15" ht="41.5" customHeight="1" x14ac:dyDescent="0.35">
      <c r="A194" s="11">
        <v>189</v>
      </c>
      <c r="B194" s="12" t="s">
        <v>1082</v>
      </c>
      <c r="C194" s="12" t="s">
        <v>1065</v>
      </c>
      <c r="D194" s="11">
        <v>2025</v>
      </c>
      <c r="E194" s="12" t="s">
        <v>1083</v>
      </c>
      <c r="F194" s="12" t="s">
        <v>987</v>
      </c>
      <c r="G194" s="11" t="s">
        <v>127</v>
      </c>
      <c r="H194" s="11"/>
      <c r="I194" s="11"/>
      <c r="J194" s="12"/>
      <c r="K194" s="14" t="str">
        <f t="shared" si="2"/>
        <v>NO</v>
      </c>
      <c r="L194" s="12" t="s">
        <v>128</v>
      </c>
      <c r="M194" s="12" t="s">
        <v>1067</v>
      </c>
      <c r="N194" s="12" t="s">
        <v>1084</v>
      </c>
      <c r="O194" s="12" t="s">
        <v>1085</v>
      </c>
    </row>
    <row r="195" spans="1:15" ht="29" customHeight="1" x14ac:dyDescent="0.35">
      <c r="A195" s="11">
        <v>190</v>
      </c>
      <c r="B195" s="12" t="s">
        <v>1086</v>
      </c>
      <c r="C195" s="12" t="s">
        <v>1087</v>
      </c>
      <c r="D195" s="11">
        <v>2021</v>
      </c>
      <c r="E195" s="12" t="s">
        <v>363</v>
      </c>
      <c r="F195" s="12" t="s">
        <v>987</v>
      </c>
      <c r="G195" s="11" t="s">
        <v>127</v>
      </c>
      <c r="H195" s="11"/>
      <c r="I195" s="11"/>
      <c r="J195" s="12"/>
      <c r="K195" s="14" t="str">
        <f t="shared" si="2"/>
        <v>NO</v>
      </c>
      <c r="L195" s="12" t="s">
        <v>128</v>
      </c>
      <c r="M195" s="12" t="s">
        <v>1088</v>
      </c>
      <c r="N195" s="12" t="s">
        <v>1089</v>
      </c>
      <c r="O195" s="12"/>
    </row>
    <row r="196" spans="1:15" ht="41.5" customHeight="1" x14ac:dyDescent="0.35">
      <c r="A196" s="11">
        <v>191</v>
      </c>
      <c r="B196" s="12" t="s">
        <v>1090</v>
      </c>
      <c r="C196" s="12" t="s">
        <v>1091</v>
      </c>
      <c r="D196" s="11">
        <v>2023</v>
      </c>
      <c r="E196" s="12" t="s">
        <v>179</v>
      </c>
      <c r="F196" s="12" t="s">
        <v>987</v>
      </c>
      <c r="G196" s="11" t="s">
        <v>127</v>
      </c>
      <c r="H196" s="11"/>
      <c r="I196" s="11"/>
      <c r="J196" s="12"/>
      <c r="K196" s="14" t="str">
        <f t="shared" si="2"/>
        <v>NO</v>
      </c>
      <c r="L196" s="12" t="s">
        <v>128</v>
      </c>
      <c r="M196" s="12" t="s">
        <v>1092</v>
      </c>
      <c r="N196" s="12" t="s">
        <v>1093</v>
      </c>
      <c r="O196" s="12" t="s">
        <v>1094</v>
      </c>
    </row>
    <row r="197" spans="1:15" ht="41.5" customHeight="1" x14ac:dyDescent="0.35">
      <c r="A197" s="11">
        <v>192</v>
      </c>
      <c r="B197" s="12" t="s">
        <v>1095</v>
      </c>
      <c r="C197" s="12" t="s">
        <v>1096</v>
      </c>
      <c r="D197" s="11">
        <v>2023</v>
      </c>
      <c r="E197" s="12" t="s">
        <v>1097</v>
      </c>
      <c r="F197" s="12" t="s">
        <v>987</v>
      </c>
      <c r="G197" s="11" t="s">
        <v>127</v>
      </c>
      <c r="H197" s="11"/>
      <c r="I197" s="11"/>
      <c r="J197" s="12"/>
      <c r="K197" s="14" t="str">
        <f t="shared" si="2"/>
        <v>NO</v>
      </c>
      <c r="L197" s="12" t="s">
        <v>128</v>
      </c>
      <c r="M197" s="12" t="s">
        <v>228</v>
      </c>
      <c r="N197" s="12" t="s">
        <v>1098</v>
      </c>
      <c r="O197" s="12" t="s">
        <v>1099</v>
      </c>
    </row>
    <row r="198" spans="1:15" ht="29" customHeight="1" x14ac:dyDescent="0.35">
      <c r="A198" s="11">
        <v>193</v>
      </c>
      <c r="B198" s="12" t="s">
        <v>1100</v>
      </c>
      <c r="C198" s="12" t="s">
        <v>1101</v>
      </c>
      <c r="D198" s="11">
        <v>2023</v>
      </c>
      <c r="E198" s="12" t="s">
        <v>1102</v>
      </c>
      <c r="F198" s="12" t="s">
        <v>987</v>
      </c>
      <c r="G198" s="11" t="s">
        <v>127</v>
      </c>
      <c r="H198" s="11"/>
      <c r="I198" s="11"/>
      <c r="J198" s="12"/>
      <c r="K198" s="14" t="str">
        <f t="shared" ref="K198:K228" si="3">IF(AND(G198="KEEP",H198="KEEP",I198="KEEP"),"YES",IF(OR(G198="DROP",H198="DROP",I198="DROP"),"NO",""))</f>
        <v>NO</v>
      </c>
      <c r="L198" s="12" t="s">
        <v>128</v>
      </c>
      <c r="M198" s="12" t="s">
        <v>228</v>
      </c>
      <c r="N198" s="12" t="s">
        <v>1103</v>
      </c>
      <c r="O198" s="12" t="s">
        <v>1104</v>
      </c>
    </row>
    <row r="199" spans="1:15" ht="54" customHeight="1" x14ac:dyDescent="0.35">
      <c r="A199" s="11">
        <v>194</v>
      </c>
      <c r="B199" s="12" t="s">
        <v>1105</v>
      </c>
      <c r="C199" s="12" t="s">
        <v>1106</v>
      </c>
      <c r="D199" s="11">
        <v>2025</v>
      </c>
      <c r="E199" s="12" t="s">
        <v>1061</v>
      </c>
      <c r="F199" s="12" t="s">
        <v>987</v>
      </c>
      <c r="G199" s="11" t="s">
        <v>127</v>
      </c>
      <c r="H199" s="11"/>
      <c r="I199" s="11"/>
      <c r="J199" s="12"/>
      <c r="K199" s="14" t="str">
        <f t="shared" si="3"/>
        <v>NO</v>
      </c>
      <c r="L199" s="12" t="s">
        <v>128</v>
      </c>
      <c r="M199" s="12" t="s">
        <v>965</v>
      </c>
      <c r="N199" s="12" t="s">
        <v>1107</v>
      </c>
      <c r="O199" s="12" t="s">
        <v>1108</v>
      </c>
    </row>
    <row r="200" spans="1:15" ht="54" customHeight="1" x14ac:dyDescent="0.35">
      <c r="A200" s="11">
        <v>195</v>
      </c>
      <c r="B200" s="12" t="s">
        <v>1109</v>
      </c>
      <c r="C200" s="12" t="s">
        <v>1110</v>
      </c>
      <c r="D200" s="11">
        <v>2021</v>
      </c>
      <c r="E200" s="12" t="s">
        <v>1111</v>
      </c>
      <c r="F200" s="12" t="s">
        <v>1112</v>
      </c>
      <c r="G200" s="11" t="s">
        <v>142</v>
      </c>
      <c r="H200" s="11" t="s">
        <v>142</v>
      </c>
      <c r="I200" s="11" t="s">
        <v>142</v>
      </c>
      <c r="J200" s="12"/>
      <c r="K200" s="14" t="str">
        <f t="shared" si="3"/>
        <v>YES</v>
      </c>
      <c r="L200" s="12" t="s">
        <v>1113</v>
      </c>
      <c r="M200" s="12" t="s">
        <v>1114</v>
      </c>
      <c r="N200" s="12"/>
      <c r="O200" s="12" t="s">
        <v>1115</v>
      </c>
    </row>
    <row r="201" spans="1:15" ht="54" customHeight="1" x14ac:dyDescent="0.35">
      <c r="A201" s="11">
        <v>196</v>
      </c>
      <c r="B201" s="12" t="s">
        <v>1116</v>
      </c>
      <c r="C201" s="12" t="s">
        <v>1110</v>
      </c>
      <c r="D201" s="11">
        <v>2022</v>
      </c>
      <c r="E201" s="12" t="s">
        <v>159</v>
      </c>
      <c r="F201" s="12" t="s">
        <v>1117</v>
      </c>
      <c r="G201" s="11" t="s">
        <v>142</v>
      </c>
      <c r="H201" s="11" t="s">
        <v>142</v>
      </c>
      <c r="I201" s="11" t="s">
        <v>142</v>
      </c>
      <c r="J201" s="12"/>
      <c r="K201" s="14" t="str">
        <f t="shared" si="3"/>
        <v>YES</v>
      </c>
      <c r="L201" s="12" t="s">
        <v>1113</v>
      </c>
      <c r="M201" s="12" t="s">
        <v>1118</v>
      </c>
      <c r="N201" s="12"/>
      <c r="O201" s="12" t="s">
        <v>1119</v>
      </c>
    </row>
    <row r="202" spans="1:15" ht="54" customHeight="1" x14ac:dyDescent="0.35">
      <c r="A202" s="11">
        <v>197</v>
      </c>
      <c r="B202" s="12" t="s">
        <v>1120</v>
      </c>
      <c r="C202" s="12" t="s">
        <v>1121</v>
      </c>
      <c r="D202" s="11">
        <v>2023</v>
      </c>
      <c r="E202" s="12" t="s">
        <v>282</v>
      </c>
      <c r="F202" s="12" t="s">
        <v>1122</v>
      </c>
      <c r="G202" s="11" t="s">
        <v>142</v>
      </c>
      <c r="H202" s="11" t="s">
        <v>142</v>
      </c>
      <c r="I202" s="11" t="s">
        <v>142</v>
      </c>
      <c r="J202" s="12"/>
      <c r="K202" s="14" t="str">
        <f t="shared" si="3"/>
        <v>YES</v>
      </c>
      <c r="L202" s="12" t="s">
        <v>1113</v>
      </c>
      <c r="M202" s="12" t="s">
        <v>1123</v>
      </c>
      <c r="N202" s="12"/>
      <c r="O202" s="12" t="s">
        <v>1124</v>
      </c>
    </row>
    <row r="203" spans="1:15" ht="54" customHeight="1" x14ac:dyDescent="0.35">
      <c r="A203" s="11">
        <v>198</v>
      </c>
      <c r="B203" s="12" t="s">
        <v>1125</v>
      </c>
      <c r="C203" s="12" t="s">
        <v>1126</v>
      </c>
      <c r="D203" s="11">
        <v>2024</v>
      </c>
      <c r="E203" s="12" t="s">
        <v>395</v>
      </c>
      <c r="F203" s="12" t="s">
        <v>1122</v>
      </c>
      <c r="G203" s="11" t="s">
        <v>142</v>
      </c>
      <c r="H203" s="11" t="s">
        <v>142</v>
      </c>
      <c r="I203" s="11" t="s">
        <v>142</v>
      </c>
      <c r="J203" s="12"/>
      <c r="K203" s="14" t="str">
        <f t="shared" si="3"/>
        <v>YES</v>
      </c>
      <c r="L203" s="12" t="s">
        <v>1113</v>
      </c>
      <c r="M203" s="12" t="s">
        <v>1127</v>
      </c>
      <c r="N203" s="12"/>
      <c r="O203" s="12" t="s">
        <v>1128</v>
      </c>
    </row>
    <row r="204" spans="1:15" ht="54" customHeight="1" x14ac:dyDescent="0.35">
      <c r="A204" s="11">
        <v>199</v>
      </c>
      <c r="B204" s="12" t="s">
        <v>1129</v>
      </c>
      <c r="C204" s="12" t="s">
        <v>1130</v>
      </c>
      <c r="D204" s="11">
        <v>2023</v>
      </c>
      <c r="E204" s="12" t="s">
        <v>551</v>
      </c>
      <c r="F204" s="12" t="s">
        <v>1122</v>
      </c>
      <c r="G204" s="11" t="s">
        <v>142</v>
      </c>
      <c r="H204" s="11" t="s">
        <v>142</v>
      </c>
      <c r="I204" s="11" t="s">
        <v>142</v>
      </c>
      <c r="J204" s="12"/>
      <c r="K204" s="14" t="str">
        <f t="shared" si="3"/>
        <v>YES</v>
      </c>
      <c r="L204" s="12" t="s">
        <v>1113</v>
      </c>
      <c r="M204" s="12" t="s">
        <v>1131</v>
      </c>
      <c r="N204" s="12"/>
      <c r="O204" s="12" t="s">
        <v>1132</v>
      </c>
    </row>
    <row r="205" spans="1:15" ht="54" customHeight="1" x14ac:dyDescent="0.35">
      <c r="A205" s="11">
        <v>200</v>
      </c>
      <c r="B205" s="12" t="s">
        <v>1133</v>
      </c>
      <c r="C205" s="12" t="s">
        <v>1134</v>
      </c>
      <c r="D205" s="11">
        <v>2024</v>
      </c>
      <c r="E205" s="12" t="s">
        <v>1135</v>
      </c>
      <c r="F205" s="12" t="s">
        <v>1117</v>
      </c>
      <c r="G205" s="11" t="s">
        <v>142</v>
      </c>
      <c r="H205" s="11" t="s">
        <v>142</v>
      </c>
      <c r="I205" s="11" t="s">
        <v>142</v>
      </c>
      <c r="J205" s="12"/>
      <c r="K205" s="14" t="str">
        <f t="shared" si="3"/>
        <v>YES</v>
      </c>
      <c r="L205" s="12" t="s">
        <v>1113</v>
      </c>
      <c r="M205" s="12" t="s">
        <v>1136</v>
      </c>
      <c r="N205" s="12"/>
      <c r="O205" s="12" t="s">
        <v>1137</v>
      </c>
    </row>
    <row r="206" spans="1:15" ht="54" customHeight="1" x14ac:dyDescent="0.35">
      <c r="A206" s="11">
        <v>201</v>
      </c>
      <c r="B206" s="12" t="s">
        <v>1138</v>
      </c>
      <c r="C206" s="12" t="s">
        <v>1139</v>
      </c>
      <c r="D206" s="11">
        <v>2023</v>
      </c>
      <c r="E206" s="12" t="s">
        <v>551</v>
      </c>
      <c r="F206" s="12" t="s">
        <v>1122</v>
      </c>
      <c r="G206" s="11" t="s">
        <v>142</v>
      </c>
      <c r="H206" s="11" t="s">
        <v>142</v>
      </c>
      <c r="I206" s="11" t="s">
        <v>142</v>
      </c>
      <c r="J206" s="12"/>
      <c r="K206" s="14" t="str">
        <f t="shared" si="3"/>
        <v>YES</v>
      </c>
      <c r="L206" s="12" t="s">
        <v>1113</v>
      </c>
      <c r="M206" s="12" t="s">
        <v>1140</v>
      </c>
      <c r="N206" s="12"/>
      <c r="O206" s="12" t="s">
        <v>1141</v>
      </c>
    </row>
    <row r="207" spans="1:15" ht="54" customHeight="1" x14ac:dyDescent="0.35">
      <c r="A207" s="11">
        <v>202</v>
      </c>
      <c r="B207" s="12" t="s">
        <v>1142</v>
      </c>
      <c r="C207" s="12" t="s">
        <v>1143</v>
      </c>
      <c r="D207" s="11">
        <v>2023</v>
      </c>
      <c r="E207" s="12" t="s">
        <v>282</v>
      </c>
      <c r="F207" s="12" t="s">
        <v>1122</v>
      </c>
      <c r="G207" s="11" t="s">
        <v>142</v>
      </c>
      <c r="H207" s="11" t="s">
        <v>142</v>
      </c>
      <c r="I207" s="11" t="s">
        <v>142</v>
      </c>
      <c r="J207" s="12"/>
      <c r="K207" s="14" t="str">
        <f t="shared" si="3"/>
        <v>YES</v>
      </c>
      <c r="L207" s="12" t="s">
        <v>1113</v>
      </c>
      <c r="M207" s="12" t="s">
        <v>1136</v>
      </c>
      <c r="N207" s="12"/>
      <c r="O207" s="12" t="s">
        <v>1144</v>
      </c>
    </row>
    <row r="208" spans="1:15" ht="54" customHeight="1" x14ac:dyDescent="0.35">
      <c r="A208" s="11">
        <v>203</v>
      </c>
      <c r="B208" s="12" t="s">
        <v>1145</v>
      </c>
      <c r="C208" s="12" t="s">
        <v>1146</v>
      </c>
      <c r="D208" s="11">
        <v>2024</v>
      </c>
      <c r="E208" s="12" t="s">
        <v>636</v>
      </c>
      <c r="F208" s="12" t="s">
        <v>1117</v>
      </c>
      <c r="G208" s="11" t="s">
        <v>142</v>
      </c>
      <c r="H208" s="11" t="s">
        <v>142</v>
      </c>
      <c r="I208" s="11" t="s">
        <v>142</v>
      </c>
      <c r="J208" s="12"/>
      <c r="K208" s="14" t="str">
        <f t="shared" si="3"/>
        <v>YES</v>
      </c>
      <c r="L208" s="12" t="s">
        <v>1113</v>
      </c>
      <c r="M208" s="12" t="s">
        <v>1147</v>
      </c>
      <c r="N208" s="12"/>
      <c r="O208" s="12" t="s">
        <v>1148</v>
      </c>
    </row>
    <row r="209" spans="1:15" x14ac:dyDescent="0.35">
      <c r="A209" s="12"/>
      <c r="B209" s="12"/>
      <c r="C209" s="12"/>
      <c r="D209" s="12"/>
      <c r="E209" s="12"/>
      <c r="F209" s="12"/>
      <c r="G209" s="12"/>
      <c r="H209" s="12"/>
      <c r="I209" s="12"/>
      <c r="J209" s="12"/>
      <c r="K209" s="15" t="str">
        <f t="shared" si="3"/>
        <v/>
      </c>
      <c r="L209" s="12"/>
      <c r="M209" s="12"/>
      <c r="N209" s="12"/>
      <c r="O209" s="12"/>
    </row>
    <row r="210" spans="1:15" x14ac:dyDescent="0.35">
      <c r="A210" s="12"/>
      <c r="B210" s="12"/>
      <c r="C210" s="12"/>
      <c r="D210" s="12"/>
      <c r="E210" s="12"/>
      <c r="F210" s="12"/>
      <c r="G210" s="12"/>
      <c r="H210" s="12"/>
      <c r="I210" s="12"/>
      <c r="J210" s="12"/>
      <c r="K210" s="15" t="str">
        <f t="shared" si="3"/>
        <v/>
      </c>
      <c r="L210" s="12"/>
      <c r="M210" s="12"/>
      <c r="N210" s="12"/>
      <c r="O210" s="12"/>
    </row>
    <row r="211" spans="1:15" x14ac:dyDescent="0.35">
      <c r="A211" s="12"/>
      <c r="B211" s="12"/>
      <c r="C211" s="12"/>
      <c r="D211" s="12"/>
      <c r="E211" s="12"/>
      <c r="F211" s="12"/>
      <c r="G211" s="12"/>
      <c r="H211" s="12"/>
      <c r="I211" s="12"/>
      <c r="J211" s="12"/>
      <c r="K211" s="15" t="str">
        <f t="shared" si="3"/>
        <v/>
      </c>
      <c r="L211" s="12"/>
      <c r="M211" s="12"/>
      <c r="N211" s="12"/>
      <c r="O211" s="12"/>
    </row>
    <row r="212" spans="1:15" x14ac:dyDescent="0.35">
      <c r="A212" s="12"/>
      <c r="B212" s="12"/>
      <c r="C212" s="12"/>
      <c r="D212" s="12"/>
      <c r="E212" s="12"/>
      <c r="F212" s="12"/>
      <c r="G212" s="12"/>
      <c r="H212" s="12"/>
      <c r="I212" s="12"/>
      <c r="J212" s="12"/>
      <c r="K212" s="15" t="str">
        <f t="shared" si="3"/>
        <v/>
      </c>
      <c r="L212" s="12"/>
      <c r="M212" s="12"/>
      <c r="N212" s="12"/>
      <c r="O212" s="12"/>
    </row>
    <row r="213" spans="1:15" x14ac:dyDescent="0.35">
      <c r="A213" s="12"/>
      <c r="B213" s="12"/>
      <c r="C213" s="12"/>
      <c r="D213" s="12"/>
      <c r="E213" s="12"/>
      <c r="F213" s="12"/>
      <c r="G213" s="12"/>
      <c r="H213" s="12"/>
      <c r="I213" s="12"/>
      <c r="J213" s="12"/>
      <c r="K213" s="15" t="str">
        <f t="shared" si="3"/>
        <v/>
      </c>
      <c r="L213" s="12"/>
      <c r="M213" s="12"/>
      <c r="N213" s="12"/>
      <c r="O213" s="12"/>
    </row>
    <row r="214" spans="1:15" x14ac:dyDescent="0.35">
      <c r="A214" s="12"/>
      <c r="B214" s="12"/>
      <c r="C214" s="12"/>
      <c r="D214" s="12"/>
      <c r="E214" s="12"/>
      <c r="F214" s="12"/>
      <c r="G214" s="12"/>
      <c r="H214" s="12"/>
      <c r="I214" s="12"/>
      <c r="J214" s="12"/>
      <c r="K214" s="15" t="str">
        <f t="shared" si="3"/>
        <v/>
      </c>
      <c r="L214" s="12"/>
      <c r="M214" s="12"/>
      <c r="N214" s="12"/>
      <c r="O214" s="12"/>
    </row>
    <row r="215" spans="1:15" x14ac:dyDescent="0.35">
      <c r="A215" s="12"/>
      <c r="B215" s="12"/>
      <c r="C215" s="12"/>
      <c r="D215" s="12"/>
      <c r="E215" s="12"/>
      <c r="F215" s="12"/>
      <c r="G215" s="12"/>
      <c r="H215" s="12"/>
      <c r="I215" s="12"/>
      <c r="J215" s="12"/>
      <c r="K215" s="15" t="str">
        <f t="shared" si="3"/>
        <v/>
      </c>
      <c r="L215" s="12"/>
      <c r="M215" s="12"/>
      <c r="N215" s="12"/>
      <c r="O215" s="12"/>
    </row>
    <row r="216" spans="1:15" x14ac:dyDescent="0.35">
      <c r="A216" s="12"/>
      <c r="B216" s="12"/>
      <c r="C216" s="12"/>
      <c r="D216" s="12"/>
      <c r="E216" s="12"/>
      <c r="F216" s="12"/>
      <c r="G216" s="12"/>
      <c r="H216" s="12"/>
      <c r="I216" s="12"/>
      <c r="J216" s="12"/>
      <c r="K216" s="15" t="str">
        <f t="shared" si="3"/>
        <v/>
      </c>
      <c r="L216" s="12"/>
      <c r="M216" s="12"/>
      <c r="N216" s="12"/>
      <c r="O216" s="12"/>
    </row>
    <row r="217" spans="1:15" x14ac:dyDescent="0.35">
      <c r="A217" s="12"/>
      <c r="B217" s="12"/>
      <c r="C217" s="12"/>
      <c r="D217" s="12"/>
      <c r="E217" s="12"/>
      <c r="F217" s="12"/>
      <c r="G217" s="12"/>
      <c r="H217" s="12"/>
      <c r="I217" s="12"/>
      <c r="J217" s="12"/>
      <c r="K217" s="15" t="str">
        <f t="shared" si="3"/>
        <v/>
      </c>
      <c r="L217" s="12"/>
      <c r="M217" s="12"/>
      <c r="N217" s="12"/>
      <c r="O217" s="12"/>
    </row>
    <row r="218" spans="1:15" x14ac:dyDescent="0.35">
      <c r="A218" s="12"/>
      <c r="B218" s="12"/>
      <c r="C218" s="12"/>
      <c r="D218" s="12"/>
      <c r="E218" s="12"/>
      <c r="F218" s="12"/>
      <c r="G218" s="12"/>
      <c r="H218" s="12"/>
      <c r="I218" s="12"/>
      <c r="J218" s="12"/>
      <c r="K218" s="15" t="str">
        <f t="shared" si="3"/>
        <v/>
      </c>
      <c r="L218" s="12"/>
      <c r="M218" s="12"/>
      <c r="N218" s="12"/>
      <c r="O218" s="12"/>
    </row>
    <row r="219" spans="1:15" x14ac:dyDescent="0.35">
      <c r="A219" s="12"/>
      <c r="B219" s="12"/>
      <c r="C219" s="12"/>
      <c r="D219" s="12"/>
      <c r="E219" s="12"/>
      <c r="F219" s="12"/>
      <c r="G219" s="12"/>
      <c r="H219" s="12"/>
      <c r="I219" s="12"/>
      <c r="J219" s="12"/>
      <c r="K219" s="15" t="str">
        <f t="shared" si="3"/>
        <v/>
      </c>
      <c r="L219" s="12"/>
      <c r="M219" s="12"/>
      <c r="N219" s="12"/>
      <c r="O219" s="12"/>
    </row>
    <row r="220" spans="1:15" x14ac:dyDescent="0.35">
      <c r="A220" s="12"/>
      <c r="B220" s="12"/>
      <c r="C220" s="12"/>
      <c r="D220" s="12"/>
      <c r="E220" s="12"/>
      <c r="F220" s="12"/>
      <c r="G220" s="12"/>
      <c r="H220" s="12"/>
      <c r="I220" s="12"/>
      <c r="J220" s="12"/>
      <c r="K220" s="15" t="str">
        <f t="shared" si="3"/>
        <v/>
      </c>
      <c r="L220" s="12"/>
      <c r="M220" s="12"/>
      <c r="N220" s="12"/>
      <c r="O220" s="12"/>
    </row>
    <row r="221" spans="1:15" x14ac:dyDescent="0.35">
      <c r="A221" s="12"/>
      <c r="B221" s="12"/>
      <c r="C221" s="12"/>
      <c r="D221" s="12"/>
      <c r="E221" s="12"/>
      <c r="F221" s="12"/>
      <c r="G221" s="12"/>
      <c r="H221" s="12"/>
      <c r="I221" s="12"/>
      <c r="J221" s="12"/>
      <c r="K221" s="15" t="str">
        <f t="shared" si="3"/>
        <v/>
      </c>
      <c r="L221" s="12"/>
      <c r="M221" s="12"/>
      <c r="N221" s="12"/>
      <c r="O221" s="12"/>
    </row>
    <row r="222" spans="1:15" x14ac:dyDescent="0.35">
      <c r="A222" s="12"/>
      <c r="B222" s="12"/>
      <c r="C222" s="12"/>
      <c r="D222" s="12"/>
      <c r="E222" s="12"/>
      <c r="F222" s="12"/>
      <c r="G222" s="12"/>
      <c r="H222" s="12"/>
      <c r="I222" s="12"/>
      <c r="J222" s="12"/>
      <c r="K222" s="15" t="str">
        <f t="shared" si="3"/>
        <v/>
      </c>
      <c r="L222" s="12"/>
      <c r="M222" s="12"/>
      <c r="N222" s="12"/>
      <c r="O222" s="12"/>
    </row>
    <row r="223" spans="1:15" x14ac:dyDescent="0.35">
      <c r="A223" s="12"/>
      <c r="B223" s="12"/>
      <c r="C223" s="12"/>
      <c r="D223" s="12"/>
      <c r="E223" s="12"/>
      <c r="F223" s="12"/>
      <c r="G223" s="12"/>
      <c r="H223" s="12"/>
      <c r="I223" s="12"/>
      <c r="J223" s="12"/>
      <c r="K223" s="15" t="str">
        <f t="shared" si="3"/>
        <v/>
      </c>
      <c r="L223" s="12"/>
      <c r="M223" s="12"/>
      <c r="N223" s="12"/>
      <c r="O223" s="12"/>
    </row>
    <row r="224" spans="1:15" x14ac:dyDescent="0.35">
      <c r="A224" s="12"/>
      <c r="B224" s="12"/>
      <c r="C224" s="12"/>
      <c r="D224" s="12"/>
      <c r="E224" s="12"/>
      <c r="F224" s="12"/>
      <c r="G224" s="12"/>
      <c r="H224" s="12"/>
      <c r="I224" s="12"/>
      <c r="J224" s="12"/>
      <c r="K224" s="15" t="str">
        <f t="shared" si="3"/>
        <v/>
      </c>
      <c r="L224" s="12"/>
      <c r="M224" s="12"/>
      <c r="N224" s="12"/>
      <c r="O224" s="12"/>
    </row>
    <row r="225" spans="1:15" x14ac:dyDescent="0.35">
      <c r="A225" s="12"/>
      <c r="B225" s="12"/>
      <c r="C225" s="12"/>
      <c r="D225" s="12"/>
      <c r="E225" s="12"/>
      <c r="F225" s="12"/>
      <c r="G225" s="12"/>
      <c r="H225" s="12"/>
      <c r="I225" s="12"/>
      <c r="J225" s="12"/>
      <c r="K225" s="15" t="str">
        <f t="shared" si="3"/>
        <v/>
      </c>
      <c r="L225" s="12"/>
      <c r="M225" s="12"/>
      <c r="N225" s="12"/>
      <c r="O225" s="12"/>
    </row>
    <row r="226" spans="1:15" x14ac:dyDescent="0.35">
      <c r="A226" s="12"/>
      <c r="B226" s="12"/>
      <c r="C226" s="12"/>
      <c r="D226" s="12"/>
      <c r="E226" s="12"/>
      <c r="F226" s="12"/>
      <c r="G226" s="12"/>
      <c r="H226" s="12"/>
      <c r="I226" s="12"/>
      <c r="J226" s="12"/>
      <c r="K226" s="15" t="str">
        <f t="shared" si="3"/>
        <v/>
      </c>
      <c r="L226" s="12"/>
      <c r="M226" s="12"/>
      <c r="N226" s="12"/>
      <c r="O226" s="12"/>
    </row>
    <row r="227" spans="1:15" x14ac:dyDescent="0.35">
      <c r="A227" s="12"/>
      <c r="B227" s="12"/>
      <c r="C227" s="12"/>
      <c r="D227" s="12"/>
      <c r="E227" s="12"/>
      <c r="F227" s="12"/>
      <c r="G227" s="12"/>
      <c r="H227" s="12"/>
      <c r="I227" s="12"/>
      <c r="J227" s="12"/>
      <c r="K227" s="15" t="str">
        <f t="shared" si="3"/>
        <v/>
      </c>
      <c r="L227" s="12"/>
      <c r="M227" s="12"/>
      <c r="N227" s="12"/>
      <c r="O227" s="12"/>
    </row>
    <row r="228" spans="1:15" x14ac:dyDescent="0.35">
      <c r="A228" s="12"/>
      <c r="B228" s="12"/>
      <c r="C228" s="12"/>
      <c r="D228" s="12"/>
      <c r="E228" s="12"/>
      <c r="F228" s="12"/>
      <c r="G228" s="12"/>
      <c r="H228" s="12"/>
      <c r="I228" s="12"/>
      <c r="J228" s="12"/>
      <c r="K228" s="15" t="str">
        <f t="shared" si="3"/>
        <v/>
      </c>
      <c r="L228" s="12"/>
      <c r="M228" s="12"/>
      <c r="N228" s="12"/>
      <c r="O228" s="12"/>
    </row>
  </sheetData>
  <autoFilter ref="A4:O228" xr:uid="{00000000-0009-0000-0000-000002000000}"/>
  <mergeCells count="1">
    <mergeCell ref="A2:L2"/>
  </mergeCells>
  <conditionalFormatting sqref="K6:K228">
    <cfRule type="cellIs" dxfId="0" priority="1" operator="equal">
      <formula>"YES"</formula>
    </cfRule>
  </conditionalFormatting>
  <dataValidations count="3">
    <dataValidation type="list" allowBlank="1" sqref="G6:I228" xr:uid="{00000000-0002-0000-0200-000000000000}">
      <formula1>"KEEP,DROP"</formula1>
    </dataValidation>
    <dataValidation type="list" allowBlank="1" sqref="J6:J228" xr:uid="{00000000-0002-0000-0200-000001000000}">
      <formula1>"Not peer-reviewed,Outside date range,Outside scope,Free full text unavailable,Duplicate/secondary version"</formula1>
    </dataValidation>
    <dataValidation type="list" allowBlank="1" sqref="L6:L228" xr:uid="{00000000-0002-0000-0200-000002000000}">
      <formula1>"Database search,Citation chasing"</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68"/>
  <sheetViews>
    <sheetView workbookViewId="0">
      <pane xSplit="2" ySplit="4" topLeftCell="C5" activePane="bottomRight" state="frozen"/>
      <selection pane="topRight"/>
      <selection pane="bottomLeft"/>
      <selection pane="bottomRight"/>
    </sheetView>
  </sheetViews>
  <sheetFormatPr defaultRowHeight="14.5" x14ac:dyDescent="0.35"/>
  <cols>
    <col min="1" max="1" width="5" customWidth="1"/>
    <col min="2" max="2" width="24" customWidth="1"/>
    <col min="3" max="3" width="7" customWidth="1"/>
    <col min="4" max="4" width="20" customWidth="1"/>
    <col min="5" max="5" width="15" customWidth="1"/>
    <col min="6" max="6" width="24" customWidth="1"/>
    <col min="7" max="7" width="28" customWidth="1"/>
    <col min="8" max="8" width="32" customWidth="1"/>
    <col min="9" max="9" width="36" customWidth="1"/>
    <col min="10" max="10" width="34" customWidth="1"/>
    <col min="11" max="11" width="22" customWidth="1"/>
    <col min="12" max="12" width="34" customWidth="1"/>
    <col min="13" max="13" width="22" customWidth="1"/>
    <col min="14" max="14" width="26" customWidth="1"/>
    <col min="15" max="15" width="9" customWidth="1"/>
  </cols>
  <sheetData>
    <row r="1" spans="1:15" ht="18" customHeight="1" x14ac:dyDescent="0.4">
      <c r="A1" s="10" t="s">
        <v>1149</v>
      </c>
    </row>
    <row r="2" spans="1:15" ht="28" customHeight="1" x14ac:dyDescent="0.35">
      <c r="A2" s="27" t="s">
        <v>1150</v>
      </c>
      <c r="B2" s="25"/>
      <c r="C2" s="25"/>
      <c r="D2" s="25"/>
      <c r="E2" s="25"/>
      <c r="F2" s="25"/>
      <c r="G2" s="25"/>
      <c r="H2" s="25"/>
      <c r="I2" s="25"/>
      <c r="J2" s="25"/>
      <c r="K2" s="25"/>
      <c r="L2" s="25"/>
      <c r="M2" s="25"/>
      <c r="N2" s="25"/>
      <c r="O2" s="25"/>
    </row>
    <row r="4" spans="1:15" ht="42" customHeight="1" x14ac:dyDescent="0.35">
      <c r="A4" s="3" t="s">
        <v>69</v>
      </c>
      <c r="B4" s="3" t="s">
        <v>1151</v>
      </c>
      <c r="C4" s="3" t="s">
        <v>111</v>
      </c>
      <c r="D4" s="3" t="s">
        <v>112</v>
      </c>
      <c r="E4" s="3" t="s">
        <v>1152</v>
      </c>
      <c r="F4" s="3" t="s">
        <v>1153</v>
      </c>
      <c r="G4" s="3" t="s">
        <v>1154</v>
      </c>
      <c r="H4" s="3" t="s">
        <v>1155</v>
      </c>
      <c r="I4" s="3" t="s">
        <v>1156</v>
      </c>
      <c r="J4" s="3" t="s">
        <v>1157</v>
      </c>
      <c r="K4" s="3" t="s">
        <v>1158</v>
      </c>
      <c r="L4" s="16" t="s">
        <v>1159</v>
      </c>
      <c r="M4" s="16" t="s">
        <v>113</v>
      </c>
      <c r="N4" s="16" t="s">
        <v>1160</v>
      </c>
      <c r="O4" s="3" t="s">
        <v>1161</v>
      </c>
    </row>
    <row r="5" spans="1:15" ht="60" customHeight="1" x14ac:dyDescent="0.35">
      <c r="A5" s="11">
        <v>1</v>
      </c>
      <c r="B5" s="12" t="s">
        <v>1162</v>
      </c>
      <c r="C5" s="11">
        <v>2020</v>
      </c>
      <c r="D5" s="12" t="s">
        <v>271</v>
      </c>
      <c r="E5" s="12" t="s">
        <v>1163</v>
      </c>
      <c r="F5" s="12" t="s">
        <v>1164</v>
      </c>
      <c r="G5" s="12" t="s">
        <v>1165</v>
      </c>
      <c r="H5" s="12" t="s">
        <v>1166</v>
      </c>
      <c r="I5" s="12" t="s">
        <v>1167</v>
      </c>
      <c r="J5" s="12" t="s">
        <v>1168</v>
      </c>
      <c r="K5" s="12" t="s">
        <v>49</v>
      </c>
      <c r="L5" s="12" t="s">
        <v>1169</v>
      </c>
      <c r="M5" s="12" t="s">
        <v>272</v>
      </c>
      <c r="N5" s="12" t="s">
        <v>1170</v>
      </c>
      <c r="O5" s="11">
        <v>26</v>
      </c>
    </row>
    <row r="6" spans="1:15" ht="60" customHeight="1" x14ac:dyDescent="0.35">
      <c r="A6" s="11">
        <v>2</v>
      </c>
      <c r="B6" s="12" t="s">
        <v>1171</v>
      </c>
      <c r="C6" s="11">
        <v>2021</v>
      </c>
      <c r="D6" s="12" t="s">
        <v>277</v>
      </c>
      <c r="E6" s="12" t="s">
        <v>1172</v>
      </c>
      <c r="F6" s="12" t="s">
        <v>1173</v>
      </c>
      <c r="G6" s="12" t="s">
        <v>1174</v>
      </c>
      <c r="H6" s="12" t="s">
        <v>1175</v>
      </c>
      <c r="I6" s="12" t="s">
        <v>1176</v>
      </c>
      <c r="J6" s="12" t="s">
        <v>1177</v>
      </c>
      <c r="K6" s="12" t="s">
        <v>49</v>
      </c>
      <c r="L6" s="12" t="s">
        <v>1178</v>
      </c>
      <c r="M6" s="12" t="s">
        <v>272</v>
      </c>
      <c r="N6" s="12" t="s">
        <v>1170</v>
      </c>
      <c r="O6" s="11">
        <v>27</v>
      </c>
    </row>
    <row r="7" spans="1:15" ht="60" customHeight="1" x14ac:dyDescent="0.35">
      <c r="A7" s="11">
        <v>3</v>
      </c>
      <c r="B7" s="12" t="s">
        <v>1179</v>
      </c>
      <c r="C7" s="11">
        <v>2022</v>
      </c>
      <c r="D7" s="12" t="s">
        <v>159</v>
      </c>
      <c r="E7" s="12" t="s">
        <v>1163</v>
      </c>
      <c r="F7" s="12" t="s">
        <v>1180</v>
      </c>
      <c r="G7" s="12" t="s">
        <v>1181</v>
      </c>
      <c r="H7" s="12" t="s">
        <v>1182</v>
      </c>
      <c r="I7" s="12" t="s">
        <v>1183</v>
      </c>
      <c r="J7" s="12" t="s">
        <v>1184</v>
      </c>
      <c r="K7" s="12" t="s">
        <v>49</v>
      </c>
      <c r="L7" s="12" t="s">
        <v>1185</v>
      </c>
      <c r="M7" s="12" t="s">
        <v>126</v>
      </c>
      <c r="N7" s="12" t="s">
        <v>1170</v>
      </c>
      <c r="O7" s="11">
        <v>6</v>
      </c>
    </row>
    <row r="8" spans="1:15" ht="60" customHeight="1" x14ac:dyDescent="0.35">
      <c r="A8" s="11">
        <v>4</v>
      </c>
      <c r="B8" s="12" t="s">
        <v>1186</v>
      </c>
      <c r="C8" s="11">
        <v>2022</v>
      </c>
      <c r="D8" s="12" t="s">
        <v>215</v>
      </c>
      <c r="E8" s="12" t="s">
        <v>1163</v>
      </c>
      <c r="F8" s="12" t="s">
        <v>1187</v>
      </c>
      <c r="G8" s="12" t="s">
        <v>1188</v>
      </c>
      <c r="H8" s="12" t="s">
        <v>1189</v>
      </c>
      <c r="I8" s="12" t="s">
        <v>1190</v>
      </c>
      <c r="J8" s="12" t="s">
        <v>1191</v>
      </c>
      <c r="K8" s="12" t="s">
        <v>49</v>
      </c>
      <c r="L8" s="12" t="s">
        <v>1192</v>
      </c>
      <c r="M8" s="12" t="s">
        <v>216</v>
      </c>
      <c r="N8" s="12" t="s">
        <v>1170</v>
      </c>
      <c r="O8" s="11">
        <v>16</v>
      </c>
    </row>
    <row r="9" spans="1:15" ht="60" customHeight="1" x14ac:dyDescent="0.35">
      <c r="A9" s="11">
        <v>5</v>
      </c>
      <c r="B9" s="12" t="s">
        <v>1193</v>
      </c>
      <c r="C9" s="11">
        <v>2023</v>
      </c>
      <c r="D9" s="12" t="s">
        <v>294</v>
      </c>
      <c r="E9" s="12" t="s">
        <v>1194</v>
      </c>
      <c r="F9" s="12" t="s">
        <v>1195</v>
      </c>
      <c r="G9" s="12" t="s">
        <v>1196</v>
      </c>
      <c r="H9" s="12" t="s">
        <v>1197</v>
      </c>
      <c r="I9" s="12" t="s">
        <v>1198</v>
      </c>
      <c r="J9" s="12" t="s">
        <v>1199</v>
      </c>
      <c r="K9" s="12" t="s">
        <v>49</v>
      </c>
      <c r="L9" s="12" t="s">
        <v>1200</v>
      </c>
      <c r="M9" s="12" t="s">
        <v>272</v>
      </c>
      <c r="N9" s="12" t="s">
        <v>1201</v>
      </c>
      <c r="O9" s="11">
        <v>31</v>
      </c>
    </row>
    <row r="10" spans="1:15" ht="60" customHeight="1" x14ac:dyDescent="0.35">
      <c r="A10" s="11">
        <v>6</v>
      </c>
      <c r="B10" s="12" t="s">
        <v>1202</v>
      </c>
      <c r="C10" s="11">
        <v>2023</v>
      </c>
      <c r="D10" s="12" t="s">
        <v>282</v>
      </c>
      <c r="E10" s="12" t="s">
        <v>1203</v>
      </c>
      <c r="F10" s="12" t="s">
        <v>1204</v>
      </c>
      <c r="G10" s="12" t="s">
        <v>1205</v>
      </c>
      <c r="H10" s="12" t="s">
        <v>1206</v>
      </c>
      <c r="I10" s="12" t="s">
        <v>1207</v>
      </c>
      <c r="J10" s="12" t="s">
        <v>1208</v>
      </c>
      <c r="K10" s="12" t="s">
        <v>49</v>
      </c>
      <c r="L10" s="12" t="s">
        <v>1209</v>
      </c>
      <c r="M10" s="12" t="s">
        <v>1122</v>
      </c>
      <c r="N10" s="12" t="s">
        <v>1170</v>
      </c>
      <c r="O10" s="11">
        <v>197</v>
      </c>
    </row>
    <row r="11" spans="1:15" ht="60" customHeight="1" x14ac:dyDescent="0.35">
      <c r="A11" s="11">
        <v>7</v>
      </c>
      <c r="B11" s="12" t="s">
        <v>1210</v>
      </c>
      <c r="C11" s="11">
        <v>2023</v>
      </c>
      <c r="D11" s="12" t="s">
        <v>282</v>
      </c>
      <c r="E11" s="12" t="s">
        <v>1211</v>
      </c>
      <c r="F11" s="12" t="s">
        <v>1212</v>
      </c>
      <c r="G11" s="12" t="s">
        <v>1213</v>
      </c>
      <c r="H11" s="12" t="s">
        <v>1214</v>
      </c>
      <c r="I11" s="12" t="s">
        <v>1215</v>
      </c>
      <c r="J11" s="12" t="s">
        <v>1216</v>
      </c>
      <c r="K11" s="12" t="s">
        <v>49</v>
      </c>
      <c r="L11" s="12" t="s">
        <v>1217</v>
      </c>
      <c r="M11" s="12" t="s">
        <v>272</v>
      </c>
      <c r="N11" s="12" t="s">
        <v>1170</v>
      </c>
      <c r="O11" s="11">
        <v>33</v>
      </c>
    </row>
    <row r="12" spans="1:15" ht="60" customHeight="1" x14ac:dyDescent="0.35">
      <c r="A12" s="11">
        <v>8</v>
      </c>
      <c r="B12" s="12" t="s">
        <v>1218</v>
      </c>
      <c r="C12" s="11">
        <v>2023</v>
      </c>
      <c r="D12" s="12" t="s">
        <v>318</v>
      </c>
      <c r="E12" s="12" t="s">
        <v>1219</v>
      </c>
      <c r="F12" s="12" t="s">
        <v>1220</v>
      </c>
      <c r="G12" s="12" t="s">
        <v>1221</v>
      </c>
      <c r="H12" s="12" t="s">
        <v>1222</v>
      </c>
      <c r="I12" s="12" t="s">
        <v>1223</v>
      </c>
      <c r="J12" s="12" t="s">
        <v>1224</v>
      </c>
      <c r="K12" s="12" t="s">
        <v>49</v>
      </c>
      <c r="L12" s="12" t="s">
        <v>1225</v>
      </c>
      <c r="M12" s="12" t="s">
        <v>272</v>
      </c>
      <c r="N12" s="12" t="s">
        <v>1170</v>
      </c>
      <c r="O12" s="11">
        <v>36</v>
      </c>
    </row>
    <row r="13" spans="1:15" ht="60" customHeight="1" x14ac:dyDescent="0.35">
      <c r="A13" s="11">
        <v>9</v>
      </c>
      <c r="B13" s="12" t="s">
        <v>1226</v>
      </c>
      <c r="C13" s="11">
        <v>2023</v>
      </c>
      <c r="D13" s="12" t="s">
        <v>282</v>
      </c>
      <c r="E13" s="12" t="s">
        <v>1227</v>
      </c>
      <c r="F13" s="12" t="s">
        <v>1228</v>
      </c>
      <c r="G13" s="12" t="s">
        <v>1229</v>
      </c>
      <c r="H13" s="12" t="s">
        <v>1230</v>
      </c>
      <c r="I13" s="12" t="s">
        <v>1231</v>
      </c>
      <c r="J13" s="12" t="s">
        <v>1232</v>
      </c>
      <c r="K13" s="12" t="s">
        <v>49</v>
      </c>
      <c r="L13" s="12" t="s">
        <v>1233</v>
      </c>
      <c r="M13" s="12" t="s">
        <v>272</v>
      </c>
      <c r="N13" s="12" t="s">
        <v>1170</v>
      </c>
      <c r="O13" s="11">
        <v>28</v>
      </c>
    </row>
    <row r="14" spans="1:15" ht="60" customHeight="1" x14ac:dyDescent="0.35">
      <c r="A14" s="11">
        <v>10</v>
      </c>
      <c r="B14" s="12" t="s">
        <v>1234</v>
      </c>
      <c r="C14" s="11">
        <v>2023</v>
      </c>
      <c r="D14" s="12" t="s">
        <v>282</v>
      </c>
      <c r="E14" s="12" t="s">
        <v>1235</v>
      </c>
      <c r="F14" s="12" t="s">
        <v>1236</v>
      </c>
      <c r="G14" s="12" t="s">
        <v>1237</v>
      </c>
      <c r="H14" s="12" t="s">
        <v>1238</v>
      </c>
      <c r="I14" s="12" t="s">
        <v>1239</v>
      </c>
      <c r="J14" s="12" t="s">
        <v>1240</v>
      </c>
      <c r="K14" s="12" t="s">
        <v>49</v>
      </c>
      <c r="L14" s="12" t="s">
        <v>1241</v>
      </c>
      <c r="M14" s="12" t="s">
        <v>1122</v>
      </c>
      <c r="N14" s="12" t="s">
        <v>1170</v>
      </c>
      <c r="O14" s="11">
        <v>202</v>
      </c>
    </row>
    <row r="15" spans="1:15" ht="60" customHeight="1" x14ac:dyDescent="0.35">
      <c r="A15" s="11">
        <v>11</v>
      </c>
      <c r="B15" s="12" t="s">
        <v>1242</v>
      </c>
      <c r="C15" s="11">
        <v>2024</v>
      </c>
      <c r="D15" s="12" t="s">
        <v>299</v>
      </c>
      <c r="E15" s="12" t="s">
        <v>1219</v>
      </c>
      <c r="F15" s="12" t="s">
        <v>1243</v>
      </c>
      <c r="G15" s="12" t="s">
        <v>1244</v>
      </c>
      <c r="H15" s="12" t="s">
        <v>1245</v>
      </c>
      <c r="I15" s="12" t="s">
        <v>1246</v>
      </c>
      <c r="J15" s="12" t="s">
        <v>1247</v>
      </c>
      <c r="K15" s="12" t="s">
        <v>49</v>
      </c>
      <c r="L15" s="12" t="s">
        <v>1248</v>
      </c>
      <c r="M15" s="12" t="s">
        <v>272</v>
      </c>
      <c r="N15" s="12" t="s">
        <v>1201</v>
      </c>
      <c r="O15" s="11">
        <v>32</v>
      </c>
    </row>
    <row r="16" spans="1:15" ht="60" customHeight="1" x14ac:dyDescent="0.35">
      <c r="A16" s="11">
        <v>12</v>
      </c>
      <c r="B16" s="12" t="s">
        <v>1249</v>
      </c>
      <c r="C16" s="11">
        <v>2024</v>
      </c>
      <c r="D16" s="12" t="s">
        <v>1135</v>
      </c>
      <c r="E16" s="12" t="s">
        <v>1250</v>
      </c>
      <c r="F16" s="12" t="s">
        <v>1251</v>
      </c>
      <c r="G16" s="12" t="s">
        <v>1252</v>
      </c>
      <c r="H16" s="12" t="s">
        <v>1253</v>
      </c>
      <c r="I16" s="12" t="s">
        <v>1254</v>
      </c>
      <c r="J16" s="12" t="s">
        <v>1255</v>
      </c>
      <c r="K16" s="12" t="s">
        <v>49</v>
      </c>
      <c r="L16" s="12" t="s">
        <v>1137</v>
      </c>
      <c r="M16" s="12" t="s">
        <v>1117</v>
      </c>
      <c r="N16" s="12" t="s">
        <v>1256</v>
      </c>
      <c r="O16" s="11">
        <v>200</v>
      </c>
    </row>
    <row r="17" spans="1:15" ht="60" customHeight="1" x14ac:dyDescent="0.35">
      <c r="A17" s="11">
        <v>13</v>
      </c>
      <c r="B17" s="12" t="s">
        <v>1257</v>
      </c>
      <c r="C17" s="11">
        <v>2024</v>
      </c>
      <c r="D17" s="12" t="s">
        <v>417</v>
      </c>
      <c r="E17" s="12" t="s">
        <v>1258</v>
      </c>
      <c r="F17" s="12" t="s">
        <v>1259</v>
      </c>
      <c r="G17" s="12" t="s">
        <v>1260</v>
      </c>
      <c r="H17" s="12" t="s">
        <v>1261</v>
      </c>
      <c r="I17" s="12" t="s">
        <v>1262</v>
      </c>
      <c r="J17" s="12" t="s">
        <v>1263</v>
      </c>
      <c r="K17" s="12" t="s">
        <v>49</v>
      </c>
      <c r="L17" s="12" t="s">
        <v>1264</v>
      </c>
      <c r="M17" s="12" t="s">
        <v>369</v>
      </c>
      <c r="N17" s="12" t="s">
        <v>1265</v>
      </c>
      <c r="O17" s="11">
        <v>56</v>
      </c>
    </row>
    <row r="18" spans="1:15" ht="60" customHeight="1" x14ac:dyDescent="0.35">
      <c r="A18" s="11">
        <v>14</v>
      </c>
      <c r="B18" s="12" t="s">
        <v>1266</v>
      </c>
      <c r="C18" s="11">
        <v>2025</v>
      </c>
      <c r="D18" s="12" t="s">
        <v>174</v>
      </c>
      <c r="E18" s="12" t="s">
        <v>1267</v>
      </c>
      <c r="F18" s="12" t="s">
        <v>1268</v>
      </c>
      <c r="G18" s="12" t="s">
        <v>1269</v>
      </c>
      <c r="H18" s="12" t="s">
        <v>1270</v>
      </c>
      <c r="I18" s="12" t="s">
        <v>1271</v>
      </c>
      <c r="J18" s="12" t="s">
        <v>1272</v>
      </c>
      <c r="K18" s="12" t="s">
        <v>49</v>
      </c>
      <c r="L18" s="12" t="s">
        <v>1273</v>
      </c>
      <c r="M18" s="12" t="s">
        <v>126</v>
      </c>
      <c r="N18" s="12" t="s">
        <v>1274</v>
      </c>
      <c r="O18" s="11">
        <v>9</v>
      </c>
    </row>
    <row r="19" spans="1:15" ht="60" customHeight="1" x14ac:dyDescent="0.35">
      <c r="A19" s="11">
        <v>15</v>
      </c>
      <c r="B19" s="12" t="s">
        <v>1275</v>
      </c>
      <c r="C19" s="11">
        <v>2025</v>
      </c>
      <c r="D19" s="12" t="s">
        <v>308</v>
      </c>
      <c r="E19" s="12" t="s">
        <v>1163</v>
      </c>
      <c r="F19" s="12" t="s">
        <v>1276</v>
      </c>
      <c r="G19" s="12" t="s">
        <v>1277</v>
      </c>
      <c r="H19" s="12" t="s">
        <v>1278</v>
      </c>
      <c r="I19" s="12" t="s">
        <v>1279</v>
      </c>
      <c r="J19" s="12" t="s">
        <v>1280</v>
      </c>
      <c r="K19" s="12" t="s">
        <v>49</v>
      </c>
      <c r="L19" s="12" t="s">
        <v>1281</v>
      </c>
      <c r="M19" s="12" t="s">
        <v>272</v>
      </c>
      <c r="N19" s="12" t="s">
        <v>1282</v>
      </c>
      <c r="O19" s="11">
        <v>34</v>
      </c>
    </row>
    <row r="20" spans="1:15" ht="60" customHeight="1" x14ac:dyDescent="0.35">
      <c r="A20" s="11">
        <v>16</v>
      </c>
      <c r="B20" s="12" t="s">
        <v>1283</v>
      </c>
      <c r="C20" s="11">
        <v>2023</v>
      </c>
      <c r="D20" s="12" t="s">
        <v>551</v>
      </c>
      <c r="E20" s="12" t="s">
        <v>1284</v>
      </c>
      <c r="F20" s="12" t="s">
        <v>1285</v>
      </c>
      <c r="G20" s="12" t="s">
        <v>1286</v>
      </c>
      <c r="H20" s="12" t="s">
        <v>1287</v>
      </c>
      <c r="I20" s="12" t="s">
        <v>1288</v>
      </c>
      <c r="J20" s="12" t="s">
        <v>1289</v>
      </c>
      <c r="K20" s="12" t="s">
        <v>50</v>
      </c>
      <c r="L20" s="12" t="s">
        <v>1132</v>
      </c>
      <c r="M20" s="12" t="s">
        <v>1122</v>
      </c>
      <c r="N20" s="12" t="s">
        <v>1290</v>
      </c>
      <c r="O20" s="11">
        <v>199</v>
      </c>
    </row>
    <row r="21" spans="1:15" ht="60" customHeight="1" x14ac:dyDescent="0.35">
      <c r="A21" s="11">
        <v>17</v>
      </c>
      <c r="B21" s="12" t="s">
        <v>1291</v>
      </c>
      <c r="C21" s="11">
        <v>2024</v>
      </c>
      <c r="D21" s="12" t="s">
        <v>395</v>
      </c>
      <c r="E21" s="12" t="s">
        <v>1292</v>
      </c>
      <c r="F21" s="12" t="s">
        <v>1293</v>
      </c>
      <c r="G21" s="12" t="s">
        <v>1294</v>
      </c>
      <c r="H21" s="12" t="s">
        <v>1295</v>
      </c>
      <c r="I21" s="12" t="s">
        <v>1296</v>
      </c>
      <c r="J21" s="12" t="s">
        <v>1297</v>
      </c>
      <c r="K21" s="12" t="s">
        <v>50</v>
      </c>
      <c r="L21" s="12" t="s">
        <v>1128</v>
      </c>
      <c r="M21" s="12" t="s">
        <v>1122</v>
      </c>
      <c r="N21" s="12" t="s">
        <v>1298</v>
      </c>
      <c r="O21" s="11">
        <v>198</v>
      </c>
    </row>
    <row r="22" spans="1:15" ht="60" customHeight="1" x14ac:dyDescent="0.35">
      <c r="A22" s="11">
        <v>18</v>
      </c>
      <c r="B22" s="12" t="s">
        <v>1299</v>
      </c>
      <c r="C22" s="11">
        <v>2024</v>
      </c>
      <c r="D22" s="12" t="s">
        <v>395</v>
      </c>
      <c r="E22" s="12" t="s">
        <v>1300</v>
      </c>
      <c r="F22" s="12" t="s">
        <v>1301</v>
      </c>
      <c r="G22" s="12" t="s">
        <v>1302</v>
      </c>
      <c r="H22" s="12" t="s">
        <v>1303</v>
      </c>
      <c r="I22" s="12" t="s">
        <v>1304</v>
      </c>
      <c r="J22" s="12" t="s">
        <v>1305</v>
      </c>
      <c r="K22" s="12" t="s">
        <v>50</v>
      </c>
      <c r="L22" s="12" t="s">
        <v>1306</v>
      </c>
      <c r="M22" s="12" t="s">
        <v>369</v>
      </c>
      <c r="N22" s="12" t="s">
        <v>1298</v>
      </c>
      <c r="O22" s="11">
        <v>52</v>
      </c>
    </row>
    <row r="23" spans="1:15" ht="60" customHeight="1" x14ac:dyDescent="0.35">
      <c r="A23" s="11">
        <v>19</v>
      </c>
      <c r="B23" s="12" t="s">
        <v>1307</v>
      </c>
      <c r="C23" s="11">
        <v>2024</v>
      </c>
      <c r="D23" s="12" t="s">
        <v>140</v>
      </c>
      <c r="E23" s="12" t="s">
        <v>1308</v>
      </c>
      <c r="F23" s="12" t="s">
        <v>1309</v>
      </c>
      <c r="G23" s="12" t="s">
        <v>1310</v>
      </c>
      <c r="H23" s="12" t="s">
        <v>1311</v>
      </c>
      <c r="I23" s="12" t="s">
        <v>1312</v>
      </c>
      <c r="J23" s="12" t="s">
        <v>1313</v>
      </c>
      <c r="K23" s="12" t="s">
        <v>50</v>
      </c>
      <c r="L23" s="12" t="s">
        <v>1314</v>
      </c>
      <c r="M23" s="12" t="s">
        <v>369</v>
      </c>
      <c r="N23" s="12" t="s">
        <v>1170</v>
      </c>
      <c r="O23" s="11">
        <v>49</v>
      </c>
    </row>
    <row r="24" spans="1:15" ht="60" customHeight="1" x14ac:dyDescent="0.35">
      <c r="A24" s="11">
        <v>20</v>
      </c>
      <c r="B24" s="12" t="s">
        <v>1315</v>
      </c>
      <c r="C24" s="11">
        <v>2024</v>
      </c>
      <c r="D24" s="12" t="s">
        <v>140</v>
      </c>
      <c r="E24" s="12" t="s">
        <v>1316</v>
      </c>
      <c r="F24" s="12" t="s">
        <v>1317</v>
      </c>
      <c r="G24" s="12" t="s">
        <v>1318</v>
      </c>
      <c r="H24" s="12" t="s">
        <v>1319</v>
      </c>
      <c r="I24" s="12" t="s">
        <v>1320</v>
      </c>
      <c r="J24" s="12" t="s">
        <v>1321</v>
      </c>
      <c r="K24" s="12" t="s">
        <v>50</v>
      </c>
      <c r="L24" s="12" t="s">
        <v>1322</v>
      </c>
      <c r="M24" s="12" t="s">
        <v>141</v>
      </c>
      <c r="N24" s="12" t="s">
        <v>1170</v>
      </c>
      <c r="O24" s="11">
        <v>3</v>
      </c>
    </row>
    <row r="25" spans="1:15" ht="60" customHeight="1" x14ac:dyDescent="0.35">
      <c r="A25" s="11">
        <v>21</v>
      </c>
      <c r="B25" s="12" t="s">
        <v>1323</v>
      </c>
      <c r="C25" s="11">
        <v>2024</v>
      </c>
      <c r="D25" s="12" t="s">
        <v>412</v>
      </c>
      <c r="E25" s="12" t="s">
        <v>1324</v>
      </c>
      <c r="F25" s="12" t="s">
        <v>1325</v>
      </c>
      <c r="G25" s="12" t="s">
        <v>1326</v>
      </c>
      <c r="H25" s="12" t="s">
        <v>1327</v>
      </c>
      <c r="I25" s="12" t="s">
        <v>1328</v>
      </c>
      <c r="J25" s="12" t="s">
        <v>1329</v>
      </c>
      <c r="K25" s="12" t="s">
        <v>50</v>
      </c>
      <c r="L25" s="12" t="s">
        <v>1330</v>
      </c>
      <c r="M25" s="12" t="s">
        <v>369</v>
      </c>
      <c r="N25" s="12" t="s">
        <v>1170</v>
      </c>
      <c r="O25" s="11">
        <v>55</v>
      </c>
    </row>
    <row r="26" spans="1:15" ht="60" customHeight="1" x14ac:dyDescent="0.35">
      <c r="A26" s="11">
        <v>22</v>
      </c>
      <c r="B26" s="12" t="s">
        <v>1331</v>
      </c>
      <c r="C26" s="11">
        <v>2025</v>
      </c>
      <c r="D26" s="12" t="s">
        <v>841</v>
      </c>
      <c r="E26" s="12" t="s">
        <v>1332</v>
      </c>
      <c r="F26" s="12" t="s">
        <v>1333</v>
      </c>
      <c r="G26" s="12" t="s">
        <v>1334</v>
      </c>
      <c r="H26" s="12" t="s">
        <v>1335</v>
      </c>
      <c r="I26" s="12" t="s">
        <v>1336</v>
      </c>
      <c r="J26" s="12" t="s">
        <v>1337</v>
      </c>
      <c r="K26" s="12" t="s">
        <v>50</v>
      </c>
      <c r="L26" s="12" t="s">
        <v>1338</v>
      </c>
      <c r="M26" s="12" t="s">
        <v>736</v>
      </c>
      <c r="N26" s="12" t="s">
        <v>1170</v>
      </c>
      <c r="O26" s="11">
        <v>141</v>
      </c>
    </row>
    <row r="27" spans="1:15" ht="60" customHeight="1" x14ac:dyDescent="0.35">
      <c r="A27" s="11">
        <v>23</v>
      </c>
      <c r="B27" s="12" t="s">
        <v>1339</v>
      </c>
      <c r="C27" s="11">
        <v>2025</v>
      </c>
      <c r="D27" s="12" t="s">
        <v>262</v>
      </c>
      <c r="E27" s="12" t="s">
        <v>1340</v>
      </c>
      <c r="F27" s="12" t="s">
        <v>1341</v>
      </c>
      <c r="G27" s="12" t="s">
        <v>1342</v>
      </c>
      <c r="H27" s="12" t="s">
        <v>1343</v>
      </c>
      <c r="I27" s="12" t="s">
        <v>1344</v>
      </c>
      <c r="J27" s="12" t="s">
        <v>1345</v>
      </c>
      <c r="K27" s="12" t="s">
        <v>50</v>
      </c>
      <c r="L27" s="12" t="s">
        <v>1346</v>
      </c>
      <c r="M27" s="12" t="s">
        <v>126</v>
      </c>
      <c r="N27" s="12" t="s">
        <v>1347</v>
      </c>
      <c r="O27" s="11">
        <v>24</v>
      </c>
    </row>
    <row r="28" spans="1:15" ht="60" customHeight="1" x14ac:dyDescent="0.35">
      <c r="A28" s="11">
        <v>24</v>
      </c>
      <c r="B28" s="12" t="s">
        <v>1348</v>
      </c>
      <c r="C28" s="11">
        <v>2023</v>
      </c>
      <c r="D28" s="12" t="s">
        <v>318</v>
      </c>
      <c r="E28" s="12" t="s">
        <v>1349</v>
      </c>
      <c r="F28" s="12" t="s">
        <v>1350</v>
      </c>
      <c r="G28" s="12" t="s">
        <v>1351</v>
      </c>
      <c r="H28" s="12" t="s">
        <v>1352</v>
      </c>
      <c r="I28" s="12" t="s">
        <v>1353</v>
      </c>
      <c r="J28" s="12" t="s">
        <v>1354</v>
      </c>
      <c r="K28" s="12" t="s">
        <v>51</v>
      </c>
      <c r="L28" s="12" t="s">
        <v>1355</v>
      </c>
      <c r="M28" s="12" t="s">
        <v>618</v>
      </c>
      <c r="N28" s="12" t="s">
        <v>1170</v>
      </c>
      <c r="O28" s="11">
        <v>97</v>
      </c>
    </row>
    <row r="29" spans="1:15" ht="60" customHeight="1" x14ac:dyDescent="0.35">
      <c r="A29" s="11">
        <v>25</v>
      </c>
      <c r="B29" s="12" t="s">
        <v>1356</v>
      </c>
      <c r="C29" s="11">
        <v>2023</v>
      </c>
      <c r="D29" s="12" t="s">
        <v>501</v>
      </c>
      <c r="E29" s="12" t="s">
        <v>1357</v>
      </c>
      <c r="F29" s="12" t="s">
        <v>1358</v>
      </c>
      <c r="G29" s="12" t="s">
        <v>1359</v>
      </c>
      <c r="H29" s="12" t="s">
        <v>1360</v>
      </c>
      <c r="I29" s="12" t="s">
        <v>1361</v>
      </c>
      <c r="J29" s="12" t="s">
        <v>1362</v>
      </c>
      <c r="K29" s="12" t="s">
        <v>51</v>
      </c>
      <c r="L29" s="12" t="s">
        <v>1363</v>
      </c>
      <c r="M29" s="12" t="s">
        <v>495</v>
      </c>
      <c r="N29" s="12" t="s">
        <v>1364</v>
      </c>
      <c r="O29" s="11">
        <v>71</v>
      </c>
    </row>
    <row r="30" spans="1:15" ht="60" customHeight="1" x14ac:dyDescent="0.35">
      <c r="A30" s="11">
        <v>26</v>
      </c>
      <c r="B30" s="12" t="s">
        <v>1365</v>
      </c>
      <c r="C30" s="11">
        <v>2023</v>
      </c>
      <c r="D30" s="12" t="s">
        <v>494</v>
      </c>
      <c r="E30" s="12" t="s">
        <v>1357</v>
      </c>
      <c r="F30" s="12" t="s">
        <v>1366</v>
      </c>
      <c r="G30" s="12" t="s">
        <v>1367</v>
      </c>
      <c r="H30" s="12" t="s">
        <v>1368</v>
      </c>
      <c r="I30" s="12" t="s">
        <v>1369</v>
      </c>
      <c r="J30" s="12" t="s">
        <v>1370</v>
      </c>
      <c r="K30" s="12" t="s">
        <v>51</v>
      </c>
      <c r="L30" s="12" t="s">
        <v>1371</v>
      </c>
      <c r="M30" s="12" t="s">
        <v>495</v>
      </c>
      <c r="N30" s="12" t="s">
        <v>1372</v>
      </c>
      <c r="O30" s="11">
        <v>70</v>
      </c>
    </row>
    <row r="31" spans="1:15" ht="60" customHeight="1" x14ac:dyDescent="0.35">
      <c r="A31" s="11">
        <v>27</v>
      </c>
      <c r="B31" s="12" t="s">
        <v>1373</v>
      </c>
      <c r="C31" s="11">
        <v>2023</v>
      </c>
      <c r="D31" s="12" t="s">
        <v>565</v>
      </c>
      <c r="E31" s="12" t="s">
        <v>1374</v>
      </c>
      <c r="F31" s="12" t="s">
        <v>1375</v>
      </c>
      <c r="G31" s="12" t="s">
        <v>1376</v>
      </c>
      <c r="H31" s="12" t="s">
        <v>1377</v>
      </c>
      <c r="I31" s="12" t="s">
        <v>1378</v>
      </c>
      <c r="J31" s="12" t="s">
        <v>1379</v>
      </c>
      <c r="K31" s="12" t="s">
        <v>51</v>
      </c>
      <c r="L31" s="12" t="s">
        <v>1380</v>
      </c>
      <c r="M31" s="12" t="s">
        <v>495</v>
      </c>
      <c r="N31" s="12" t="s">
        <v>1170</v>
      </c>
      <c r="O31" s="11">
        <v>84</v>
      </c>
    </row>
    <row r="32" spans="1:15" ht="60" customHeight="1" x14ac:dyDescent="0.35">
      <c r="A32" s="11">
        <v>28</v>
      </c>
      <c r="B32" s="12" t="s">
        <v>1381</v>
      </c>
      <c r="C32" s="11">
        <v>2023</v>
      </c>
      <c r="D32" s="12" t="s">
        <v>318</v>
      </c>
      <c r="E32" s="12" t="s">
        <v>1382</v>
      </c>
      <c r="F32" s="12" t="s">
        <v>1383</v>
      </c>
      <c r="G32" s="12" t="s">
        <v>1384</v>
      </c>
      <c r="H32" s="12" t="s">
        <v>1385</v>
      </c>
      <c r="I32" s="12" t="s">
        <v>1386</v>
      </c>
      <c r="J32" s="12" t="s">
        <v>1387</v>
      </c>
      <c r="K32" s="12" t="s">
        <v>51</v>
      </c>
      <c r="L32" s="12" t="s">
        <v>1388</v>
      </c>
      <c r="M32" s="12" t="s">
        <v>495</v>
      </c>
      <c r="N32" s="12" t="s">
        <v>1170</v>
      </c>
      <c r="O32" s="11">
        <v>75</v>
      </c>
    </row>
    <row r="33" spans="1:15" ht="60" customHeight="1" x14ac:dyDescent="0.35">
      <c r="A33" s="11">
        <v>29</v>
      </c>
      <c r="B33" s="12" t="s">
        <v>1389</v>
      </c>
      <c r="C33" s="11">
        <v>2023</v>
      </c>
      <c r="D33" s="12" t="s">
        <v>551</v>
      </c>
      <c r="E33" s="12" t="s">
        <v>1390</v>
      </c>
      <c r="F33" s="12" t="s">
        <v>1391</v>
      </c>
      <c r="G33" s="12" t="s">
        <v>1392</v>
      </c>
      <c r="H33" s="12" t="s">
        <v>1393</v>
      </c>
      <c r="I33" s="12" t="s">
        <v>1394</v>
      </c>
      <c r="J33" s="12" t="s">
        <v>1395</v>
      </c>
      <c r="K33" s="12" t="s">
        <v>51</v>
      </c>
      <c r="L33" s="12" t="s">
        <v>1141</v>
      </c>
      <c r="M33" s="12" t="s">
        <v>1122</v>
      </c>
      <c r="N33" s="12" t="s">
        <v>1290</v>
      </c>
      <c r="O33" s="11">
        <v>201</v>
      </c>
    </row>
    <row r="34" spans="1:15" ht="60" customHeight="1" x14ac:dyDescent="0.35">
      <c r="A34" s="11">
        <v>30</v>
      </c>
      <c r="B34" s="12" t="s">
        <v>1396</v>
      </c>
      <c r="C34" s="11">
        <v>2023</v>
      </c>
      <c r="D34" s="12" t="s">
        <v>551</v>
      </c>
      <c r="E34" s="12" t="s">
        <v>1397</v>
      </c>
      <c r="F34" s="12" t="s">
        <v>1398</v>
      </c>
      <c r="G34" s="12" t="s">
        <v>1399</v>
      </c>
      <c r="H34" s="12" t="s">
        <v>1400</v>
      </c>
      <c r="I34" s="12" t="s">
        <v>1401</v>
      </c>
      <c r="J34" s="12" t="s">
        <v>1402</v>
      </c>
      <c r="K34" s="12" t="s">
        <v>51</v>
      </c>
      <c r="L34" s="12" t="s">
        <v>1403</v>
      </c>
      <c r="M34" s="12" t="s">
        <v>495</v>
      </c>
      <c r="N34" s="12" t="s">
        <v>1290</v>
      </c>
      <c r="O34" s="11">
        <v>81</v>
      </c>
    </row>
    <row r="35" spans="1:15" ht="60" customHeight="1" x14ac:dyDescent="0.35">
      <c r="A35" s="11">
        <v>31</v>
      </c>
      <c r="B35" s="12" t="s">
        <v>1404</v>
      </c>
      <c r="C35" s="11">
        <v>2023</v>
      </c>
      <c r="D35" s="12" t="s">
        <v>318</v>
      </c>
      <c r="E35" s="12" t="s">
        <v>1405</v>
      </c>
      <c r="F35" s="12" t="s">
        <v>1406</v>
      </c>
      <c r="G35" s="12" t="s">
        <v>1407</v>
      </c>
      <c r="H35" s="12" t="s">
        <v>1408</v>
      </c>
      <c r="I35" s="12" t="s">
        <v>1409</v>
      </c>
      <c r="J35" s="12" t="s">
        <v>1410</v>
      </c>
      <c r="K35" s="12" t="s">
        <v>51</v>
      </c>
      <c r="L35" s="12" t="s">
        <v>1411</v>
      </c>
      <c r="M35" s="12" t="s">
        <v>495</v>
      </c>
      <c r="N35" s="12" t="s">
        <v>1170</v>
      </c>
      <c r="O35" s="11">
        <v>82</v>
      </c>
    </row>
    <row r="36" spans="1:15" ht="60" customHeight="1" x14ac:dyDescent="0.35">
      <c r="A36" s="11">
        <v>32</v>
      </c>
      <c r="B36" s="12" t="s">
        <v>1412</v>
      </c>
      <c r="C36" s="11">
        <v>2024</v>
      </c>
      <c r="D36" s="12" t="s">
        <v>299</v>
      </c>
      <c r="E36" s="12" t="s">
        <v>1413</v>
      </c>
      <c r="F36" s="12" t="s">
        <v>1414</v>
      </c>
      <c r="G36" s="12" t="s">
        <v>1415</v>
      </c>
      <c r="H36" s="12" t="s">
        <v>1416</v>
      </c>
      <c r="I36" s="12" t="s">
        <v>1417</v>
      </c>
      <c r="J36" s="12" t="s">
        <v>1418</v>
      </c>
      <c r="K36" s="12" t="s">
        <v>51</v>
      </c>
      <c r="L36" s="12" t="s">
        <v>1419</v>
      </c>
      <c r="M36" s="12" t="s">
        <v>495</v>
      </c>
      <c r="N36" s="12" t="s">
        <v>1201</v>
      </c>
      <c r="O36" s="11">
        <v>86</v>
      </c>
    </row>
    <row r="37" spans="1:15" ht="60" customHeight="1" x14ac:dyDescent="0.35">
      <c r="A37" s="11">
        <v>33</v>
      </c>
      <c r="B37" s="12" t="s">
        <v>1420</v>
      </c>
      <c r="C37" s="11">
        <v>2024</v>
      </c>
      <c r="D37" s="12" t="s">
        <v>412</v>
      </c>
      <c r="E37" s="12" t="s">
        <v>1421</v>
      </c>
      <c r="F37" s="12" t="s">
        <v>1422</v>
      </c>
      <c r="G37" s="12" t="s">
        <v>1423</v>
      </c>
      <c r="H37" s="12" t="s">
        <v>1424</v>
      </c>
      <c r="I37" s="12" t="s">
        <v>1425</v>
      </c>
      <c r="J37" s="12" t="s">
        <v>1426</v>
      </c>
      <c r="K37" s="12" t="s">
        <v>51</v>
      </c>
      <c r="L37" s="12" t="s">
        <v>1427</v>
      </c>
      <c r="M37" s="12" t="s">
        <v>495</v>
      </c>
      <c r="N37" s="12" t="s">
        <v>1170</v>
      </c>
      <c r="O37" s="11">
        <v>74</v>
      </c>
    </row>
    <row r="38" spans="1:15" ht="60" customHeight="1" x14ac:dyDescent="0.35">
      <c r="A38" s="11">
        <v>34</v>
      </c>
      <c r="B38" s="12" t="s">
        <v>1428</v>
      </c>
      <c r="C38" s="11">
        <v>2024</v>
      </c>
      <c r="D38" s="12" t="s">
        <v>579</v>
      </c>
      <c r="E38" s="12" t="s">
        <v>1429</v>
      </c>
      <c r="F38" s="12" t="s">
        <v>1430</v>
      </c>
      <c r="G38" s="12" t="s">
        <v>1431</v>
      </c>
      <c r="H38" s="12" t="s">
        <v>1432</v>
      </c>
      <c r="I38" s="12" t="s">
        <v>1433</v>
      </c>
      <c r="J38" s="12" t="s">
        <v>1434</v>
      </c>
      <c r="K38" s="12" t="s">
        <v>51</v>
      </c>
      <c r="L38" s="12" t="s">
        <v>1435</v>
      </c>
      <c r="M38" s="12" t="s">
        <v>495</v>
      </c>
      <c r="N38" s="12" t="s">
        <v>1170</v>
      </c>
      <c r="O38" s="11">
        <v>87</v>
      </c>
    </row>
    <row r="39" spans="1:15" ht="60" customHeight="1" x14ac:dyDescent="0.35">
      <c r="A39" s="11">
        <v>35</v>
      </c>
      <c r="B39" s="12" t="s">
        <v>1436</v>
      </c>
      <c r="C39" s="11">
        <v>2025</v>
      </c>
      <c r="D39" s="12" t="s">
        <v>613</v>
      </c>
      <c r="E39" s="12" t="s">
        <v>1437</v>
      </c>
      <c r="F39" s="12" t="s">
        <v>1438</v>
      </c>
      <c r="G39" s="12" t="s">
        <v>1439</v>
      </c>
      <c r="H39" s="12" t="s">
        <v>1440</v>
      </c>
      <c r="I39" s="12" t="s">
        <v>1441</v>
      </c>
      <c r="J39" s="12" t="s">
        <v>1442</v>
      </c>
      <c r="K39" s="12" t="s">
        <v>51</v>
      </c>
      <c r="L39" s="12" t="s">
        <v>1443</v>
      </c>
      <c r="M39" s="12" t="s">
        <v>495</v>
      </c>
      <c r="N39" s="12" t="s">
        <v>1347</v>
      </c>
      <c r="O39" s="11">
        <v>94</v>
      </c>
    </row>
    <row r="40" spans="1:15" ht="60" customHeight="1" x14ac:dyDescent="0.35">
      <c r="A40" s="11">
        <v>36</v>
      </c>
      <c r="B40" s="12" t="s">
        <v>1444</v>
      </c>
      <c r="C40" s="11">
        <v>2021</v>
      </c>
      <c r="D40" s="12" t="s">
        <v>1111</v>
      </c>
      <c r="E40" s="12" t="s">
        <v>1421</v>
      </c>
      <c r="F40" s="12" t="s">
        <v>1445</v>
      </c>
      <c r="G40" s="12" t="s">
        <v>1446</v>
      </c>
      <c r="H40" s="12" t="s">
        <v>1447</v>
      </c>
      <c r="I40" s="12" t="s">
        <v>1448</v>
      </c>
      <c r="J40" s="12" t="s">
        <v>1449</v>
      </c>
      <c r="K40" s="12" t="s">
        <v>52</v>
      </c>
      <c r="L40" s="12" t="s">
        <v>1450</v>
      </c>
      <c r="M40" s="12" t="s">
        <v>1112</v>
      </c>
      <c r="N40" s="12" t="s">
        <v>1170</v>
      </c>
      <c r="O40" s="11">
        <v>195</v>
      </c>
    </row>
    <row r="41" spans="1:15" ht="60" customHeight="1" x14ac:dyDescent="0.35">
      <c r="A41" s="11">
        <v>37</v>
      </c>
      <c r="B41" s="12" t="s">
        <v>1451</v>
      </c>
      <c r="C41" s="11">
        <v>2021</v>
      </c>
      <c r="D41" s="12" t="s">
        <v>277</v>
      </c>
      <c r="E41" s="12" t="s">
        <v>1452</v>
      </c>
      <c r="F41" s="12" t="s">
        <v>1453</v>
      </c>
      <c r="G41" s="12" t="s">
        <v>1454</v>
      </c>
      <c r="H41" s="12" t="s">
        <v>1455</v>
      </c>
      <c r="I41" s="12" t="s">
        <v>1456</v>
      </c>
      <c r="J41" s="12" t="s">
        <v>1457</v>
      </c>
      <c r="K41" s="12" t="s">
        <v>52</v>
      </c>
      <c r="L41" s="12" t="s">
        <v>1458</v>
      </c>
      <c r="M41" s="12" t="s">
        <v>618</v>
      </c>
      <c r="N41" s="12" t="s">
        <v>1459</v>
      </c>
      <c r="O41" s="11">
        <v>101</v>
      </c>
    </row>
    <row r="42" spans="1:15" ht="60" customHeight="1" x14ac:dyDescent="0.35">
      <c r="A42" s="11">
        <v>38</v>
      </c>
      <c r="B42" s="12" t="s">
        <v>1460</v>
      </c>
      <c r="C42" s="11">
        <v>2022</v>
      </c>
      <c r="D42" s="12" t="s">
        <v>159</v>
      </c>
      <c r="E42" s="12" t="s">
        <v>1421</v>
      </c>
      <c r="F42" s="12" t="s">
        <v>1461</v>
      </c>
      <c r="G42" s="12" t="s">
        <v>1462</v>
      </c>
      <c r="H42" s="12" t="s">
        <v>1463</v>
      </c>
      <c r="I42" s="12" t="s">
        <v>1464</v>
      </c>
      <c r="J42" s="12" t="s">
        <v>1465</v>
      </c>
      <c r="K42" s="12" t="s">
        <v>52</v>
      </c>
      <c r="L42" s="12" t="s">
        <v>1466</v>
      </c>
      <c r="M42" s="12" t="s">
        <v>1117</v>
      </c>
      <c r="N42" s="12" t="s">
        <v>1170</v>
      </c>
      <c r="O42" s="11">
        <v>196</v>
      </c>
    </row>
    <row r="43" spans="1:15" ht="60" customHeight="1" x14ac:dyDescent="0.35">
      <c r="A43" s="11">
        <v>39</v>
      </c>
      <c r="B43" s="12" t="s">
        <v>1467</v>
      </c>
      <c r="C43" s="11">
        <v>2022</v>
      </c>
      <c r="D43" s="12" t="s">
        <v>159</v>
      </c>
      <c r="E43" s="12" t="s">
        <v>1452</v>
      </c>
      <c r="F43" s="12" t="s">
        <v>1468</v>
      </c>
      <c r="G43" s="12" t="s">
        <v>1469</v>
      </c>
      <c r="H43" s="12" t="s">
        <v>1470</v>
      </c>
      <c r="I43" s="12" t="s">
        <v>1471</v>
      </c>
      <c r="J43" s="12" t="s">
        <v>1472</v>
      </c>
      <c r="K43" s="12" t="s">
        <v>52</v>
      </c>
      <c r="L43" s="12" t="s">
        <v>1473</v>
      </c>
      <c r="M43" s="12" t="s">
        <v>618</v>
      </c>
      <c r="N43" s="12" t="s">
        <v>1170</v>
      </c>
      <c r="O43" s="11">
        <v>96</v>
      </c>
    </row>
    <row r="44" spans="1:15" ht="60" customHeight="1" x14ac:dyDescent="0.35">
      <c r="A44" s="11">
        <v>40</v>
      </c>
      <c r="B44" s="12" t="s">
        <v>1474</v>
      </c>
      <c r="C44" s="11">
        <v>2022</v>
      </c>
      <c r="D44" s="12" t="s">
        <v>688</v>
      </c>
      <c r="E44" s="12" t="s">
        <v>1475</v>
      </c>
      <c r="F44" s="12" t="s">
        <v>1476</v>
      </c>
      <c r="G44" s="12" t="s">
        <v>1477</v>
      </c>
      <c r="H44" s="12" t="s">
        <v>1478</v>
      </c>
      <c r="I44" s="12" t="s">
        <v>1479</v>
      </c>
      <c r="J44" s="12" t="s">
        <v>1480</v>
      </c>
      <c r="K44" s="12" t="s">
        <v>52</v>
      </c>
      <c r="L44" s="12" t="s">
        <v>1481</v>
      </c>
      <c r="M44" s="12" t="s">
        <v>618</v>
      </c>
      <c r="N44" s="12" t="s">
        <v>1482</v>
      </c>
      <c r="O44" s="11">
        <v>110</v>
      </c>
    </row>
    <row r="45" spans="1:15" ht="60" customHeight="1" x14ac:dyDescent="0.35">
      <c r="A45" s="11">
        <v>41</v>
      </c>
      <c r="B45" s="12" t="s">
        <v>1483</v>
      </c>
      <c r="C45" s="11">
        <v>2022</v>
      </c>
      <c r="D45" s="12" t="s">
        <v>649</v>
      </c>
      <c r="E45" s="12" t="s">
        <v>1475</v>
      </c>
      <c r="F45" s="12" t="s">
        <v>1484</v>
      </c>
      <c r="G45" s="12" t="s">
        <v>1485</v>
      </c>
      <c r="H45" s="12" t="s">
        <v>1486</v>
      </c>
      <c r="I45" s="12" t="s">
        <v>1487</v>
      </c>
      <c r="J45" s="12" t="s">
        <v>1488</v>
      </c>
      <c r="K45" s="12" t="s">
        <v>52</v>
      </c>
      <c r="L45" s="12" t="s">
        <v>1489</v>
      </c>
      <c r="M45" s="12" t="s">
        <v>618</v>
      </c>
      <c r="N45" s="12" t="s">
        <v>1170</v>
      </c>
      <c r="O45" s="11">
        <v>102</v>
      </c>
    </row>
    <row r="46" spans="1:15" ht="60" customHeight="1" x14ac:dyDescent="0.35">
      <c r="A46" s="11">
        <v>42</v>
      </c>
      <c r="B46" s="12" t="s">
        <v>1490</v>
      </c>
      <c r="C46" s="11">
        <v>2022</v>
      </c>
      <c r="D46" s="12" t="s">
        <v>617</v>
      </c>
      <c r="E46" s="12" t="s">
        <v>1452</v>
      </c>
      <c r="F46" s="12" t="s">
        <v>1491</v>
      </c>
      <c r="G46" s="12" t="s">
        <v>1492</v>
      </c>
      <c r="H46" s="12" t="s">
        <v>1493</v>
      </c>
      <c r="I46" s="12" t="s">
        <v>1494</v>
      </c>
      <c r="J46" s="12" t="s">
        <v>1495</v>
      </c>
      <c r="K46" s="12" t="s">
        <v>52</v>
      </c>
      <c r="L46" s="12" t="s">
        <v>1496</v>
      </c>
      <c r="M46" s="12" t="s">
        <v>618</v>
      </c>
      <c r="N46" s="12" t="s">
        <v>1170</v>
      </c>
      <c r="O46" s="11">
        <v>95</v>
      </c>
    </row>
    <row r="47" spans="1:15" ht="60" customHeight="1" x14ac:dyDescent="0.35">
      <c r="A47" s="11">
        <v>43</v>
      </c>
      <c r="B47" s="12" t="s">
        <v>1497</v>
      </c>
      <c r="C47" s="11">
        <v>2023</v>
      </c>
      <c r="D47" s="12" t="s">
        <v>658</v>
      </c>
      <c r="E47" s="12" t="s">
        <v>1421</v>
      </c>
      <c r="F47" s="12" t="s">
        <v>1498</v>
      </c>
      <c r="G47" s="12" t="s">
        <v>1499</v>
      </c>
      <c r="H47" s="12" t="s">
        <v>1500</v>
      </c>
      <c r="I47" s="12" t="s">
        <v>1501</v>
      </c>
      <c r="J47" s="12" t="s">
        <v>1502</v>
      </c>
      <c r="K47" s="12" t="s">
        <v>52</v>
      </c>
      <c r="L47" s="12" t="s">
        <v>1503</v>
      </c>
      <c r="M47" s="12" t="s">
        <v>618</v>
      </c>
      <c r="N47" s="12" t="s">
        <v>1170</v>
      </c>
      <c r="O47" s="11">
        <v>104</v>
      </c>
    </row>
    <row r="48" spans="1:15" ht="60" customHeight="1" x14ac:dyDescent="0.35">
      <c r="A48" s="11">
        <v>44</v>
      </c>
      <c r="B48" s="12" t="s">
        <v>1504</v>
      </c>
      <c r="C48" s="11">
        <v>2023</v>
      </c>
      <c r="D48" s="12" t="s">
        <v>641</v>
      </c>
      <c r="E48" s="12" t="s">
        <v>1475</v>
      </c>
      <c r="F48" s="12" t="s">
        <v>1505</v>
      </c>
      <c r="G48" s="12" t="s">
        <v>1506</v>
      </c>
      <c r="H48" s="12" t="s">
        <v>1507</v>
      </c>
      <c r="I48" s="12" t="s">
        <v>1508</v>
      </c>
      <c r="J48" s="12" t="s">
        <v>1509</v>
      </c>
      <c r="K48" s="12" t="s">
        <v>52</v>
      </c>
      <c r="L48" s="12" t="s">
        <v>1510</v>
      </c>
      <c r="M48" s="12" t="s">
        <v>618</v>
      </c>
      <c r="N48" s="12" t="s">
        <v>1511</v>
      </c>
      <c r="O48" s="11">
        <v>100</v>
      </c>
    </row>
    <row r="49" spans="1:15" ht="60" customHeight="1" x14ac:dyDescent="0.35">
      <c r="A49" s="11">
        <v>45</v>
      </c>
      <c r="B49" s="12" t="s">
        <v>1512</v>
      </c>
      <c r="C49" s="11">
        <v>2024</v>
      </c>
      <c r="D49" s="12" t="s">
        <v>636</v>
      </c>
      <c r="E49" s="12" t="s">
        <v>1513</v>
      </c>
      <c r="F49" s="12" t="s">
        <v>1514</v>
      </c>
      <c r="G49" s="12" t="s">
        <v>1515</v>
      </c>
      <c r="H49" s="12" t="s">
        <v>1516</v>
      </c>
      <c r="I49" s="12" t="s">
        <v>1517</v>
      </c>
      <c r="J49" s="12" t="s">
        <v>1518</v>
      </c>
      <c r="K49" s="12" t="s">
        <v>52</v>
      </c>
      <c r="L49" s="12" t="s">
        <v>1519</v>
      </c>
      <c r="M49" s="12" t="s">
        <v>618</v>
      </c>
      <c r="N49" s="12" t="s">
        <v>1265</v>
      </c>
      <c r="O49" s="11">
        <v>99</v>
      </c>
    </row>
    <row r="50" spans="1:15" ht="60" customHeight="1" x14ac:dyDescent="0.35">
      <c r="A50" s="11">
        <v>46</v>
      </c>
      <c r="B50" s="12" t="s">
        <v>1520</v>
      </c>
      <c r="C50" s="11">
        <v>2024</v>
      </c>
      <c r="D50" s="12" t="s">
        <v>560</v>
      </c>
      <c r="E50" s="12" t="s">
        <v>1421</v>
      </c>
      <c r="F50" s="12" t="s">
        <v>1521</v>
      </c>
      <c r="G50" s="12" t="s">
        <v>1522</v>
      </c>
      <c r="H50" s="12" t="s">
        <v>1523</v>
      </c>
      <c r="I50" s="12" t="s">
        <v>1524</v>
      </c>
      <c r="J50" s="12" t="s">
        <v>1525</v>
      </c>
      <c r="K50" s="12" t="s">
        <v>52</v>
      </c>
      <c r="L50" s="12" t="s">
        <v>1526</v>
      </c>
      <c r="M50" s="12" t="s">
        <v>495</v>
      </c>
      <c r="N50" s="12" t="s">
        <v>1170</v>
      </c>
      <c r="O50" s="11">
        <v>83</v>
      </c>
    </row>
    <row r="51" spans="1:15" ht="60" customHeight="1" x14ac:dyDescent="0.35">
      <c r="A51" s="11">
        <v>47</v>
      </c>
      <c r="B51" s="12" t="s">
        <v>1527</v>
      </c>
      <c r="C51" s="11">
        <v>2024</v>
      </c>
      <c r="D51" s="12" t="s">
        <v>636</v>
      </c>
      <c r="E51" s="12" t="s">
        <v>1528</v>
      </c>
      <c r="F51" s="12" t="s">
        <v>1529</v>
      </c>
      <c r="G51" s="12" t="s">
        <v>1530</v>
      </c>
      <c r="H51" s="12" t="s">
        <v>1531</v>
      </c>
      <c r="I51" s="12" t="s">
        <v>1532</v>
      </c>
      <c r="J51" s="12" t="s">
        <v>1533</v>
      </c>
      <c r="K51" s="12" t="s">
        <v>52</v>
      </c>
      <c r="L51" s="12" t="s">
        <v>1534</v>
      </c>
      <c r="M51" s="12" t="s">
        <v>1117</v>
      </c>
      <c r="N51" s="12" t="s">
        <v>1265</v>
      </c>
      <c r="O51" s="11">
        <v>203</v>
      </c>
    </row>
    <row r="52" spans="1:15" ht="60" customHeight="1" x14ac:dyDescent="0.35">
      <c r="A52" s="11">
        <v>48</v>
      </c>
      <c r="B52" s="12" t="s">
        <v>1535</v>
      </c>
      <c r="C52" s="11">
        <v>2025</v>
      </c>
      <c r="D52" s="12" t="s">
        <v>631</v>
      </c>
      <c r="E52" s="12" t="s">
        <v>1536</v>
      </c>
      <c r="F52" s="12" t="s">
        <v>1537</v>
      </c>
      <c r="G52" s="12" t="s">
        <v>1538</v>
      </c>
      <c r="H52" s="12" t="s">
        <v>1539</v>
      </c>
      <c r="I52" s="12" t="s">
        <v>1540</v>
      </c>
      <c r="J52" s="12" t="s">
        <v>1541</v>
      </c>
      <c r="K52" s="12" t="s">
        <v>52</v>
      </c>
      <c r="L52" s="12" t="s">
        <v>1542</v>
      </c>
      <c r="M52" s="12" t="s">
        <v>618</v>
      </c>
      <c r="N52" s="12" t="s">
        <v>1543</v>
      </c>
      <c r="O52" s="11">
        <v>98</v>
      </c>
    </row>
    <row r="53" spans="1:15" ht="60" customHeight="1" x14ac:dyDescent="0.35">
      <c r="A53" s="11">
        <v>49</v>
      </c>
      <c r="B53" s="12" t="s">
        <v>1544</v>
      </c>
      <c r="C53" s="11">
        <v>2022</v>
      </c>
      <c r="D53" s="12" t="s">
        <v>735</v>
      </c>
      <c r="E53" s="12" t="s">
        <v>1545</v>
      </c>
      <c r="F53" s="12" t="s">
        <v>1546</v>
      </c>
      <c r="G53" s="12" t="s">
        <v>1547</v>
      </c>
      <c r="H53" s="12" t="s">
        <v>1548</v>
      </c>
      <c r="I53" s="12" t="s">
        <v>1549</v>
      </c>
      <c r="J53" s="12" t="s">
        <v>1550</v>
      </c>
      <c r="K53" s="12" t="s">
        <v>53</v>
      </c>
      <c r="L53" s="12" t="s">
        <v>1551</v>
      </c>
      <c r="M53" s="12" t="s">
        <v>736</v>
      </c>
      <c r="N53" s="12" t="s">
        <v>1290</v>
      </c>
      <c r="O53" s="11">
        <v>120</v>
      </c>
    </row>
    <row r="54" spans="1:15" ht="60" customHeight="1" x14ac:dyDescent="0.35">
      <c r="A54" s="11">
        <v>50</v>
      </c>
      <c r="B54" s="12" t="s">
        <v>1552</v>
      </c>
      <c r="C54" s="11">
        <v>2024</v>
      </c>
      <c r="D54" s="12" t="s">
        <v>798</v>
      </c>
      <c r="E54" s="12" t="s">
        <v>1545</v>
      </c>
      <c r="F54" s="12" t="s">
        <v>1553</v>
      </c>
      <c r="G54" s="12" t="s">
        <v>1554</v>
      </c>
      <c r="H54" s="12" t="s">
        <v>1555</v>
      </c>
      <c r="I54" s="12" t="s">
        <v>1556</v>
      </c>
      <c r="J54" s="12" t="s">
        <v>1557</v>
      </c>
      <c r="K54" s="12" t="s">
        <v>53</v>
      </c>
      <c r="L54" s="12" t="s">
        <v>1558</v>
      </c>
      <c r="M54" s="12" t="s">
        <v>736</v>
      </c>
      <c r="N54" s="12" t="s">
        <v>1364</v>
      </c>
      <c r="O54" s="11">
        <v>132</v>
      </c>
    </row>
    <row r="55" spans="1:15" ht="60" customHeight="1" x14ac:dyDescent="0.35">
      <c r="A55" s="11">
        <v>51</v>
      </c>
      <c r="B55" s="12" t="s">
        <v>1559</v>
      </c>
      <c r="C55" s="11">
        <v>2024</v>
      </c>
      <c r="D55" s="12" t="s">
        <v>560</v>
      </c>
      <c r="E55" s="12" t="s">
        <v>1545</v>
      </c>
      <c r="F55" s="12" t="s">
        <v>1560</v>
      </c>
      <c r="G55" s="12" t="s">
        <v>1561</v>
      </c>
      <c r="H55" s="12" t="s">
        <v>1562</v>
      </c>
      <c r="I55" s="12" t="s">
        <v>1563</v>
      </c>
      <c r="J55" s="12" t="s">
        <v>1564</v>
      </c>
      <c r="K55" s="12" t="s">
        <v>53</v>
      </c>
      <c r="L55" s="12" t="s">
        <v>1565</v>
      </c>
      <c r="M55" s="12" t="s">
        <v>736</v>
      </c>
      <c r="N55" s="12" t="s">
        <v>1170</v>
      </c>
      <c r="O55" s="11">
        <v>138</v>
      </c>
    </row>
    <row r="56" spans="1:15" ht="60" customHeight="1" x14ac:dyDescent="0.35">
      <c r="A56" s="11">
        <v>52</v>
      </c>
      <c r="B56" s="12" t="s">
        <v>1566</v>
      </c>
      <c r="C56" s="11">
        <v>2024</v>
      </c>
      <c r="D56" s="12" t="s">
        <v>757</v>
      </c>
      <c r="E56" s="12" t="s">
        <v>1545</v>
      </c>
      <c r="F56" s="12" t="s">
        <v>1567</v>
      </c>
      <c r="G56" s="12" t="s">
        <v>1568</v>
      </c>
      <c r="H56" s="12" t="s">
        <v>1569</v>
      </c>
      <c r="I56" s="12" t="s">
        <v>1570</v>
      </c>
      <c r="J56" s="12" t="s">
        <v>1571</v>
      </c>
      <c r="K56" s="12" t="s">
        <v>53</v>
      </c>
      <c r="L56" s="12" t="s">
        <v>1572</v>
      </c>
      <c r="M56" s="12" t="s">
        <v>736</v>
      </c>
      <c r="N56" s="12" t="s">
        <v>1290</v>
      </c>
      <c r="O56" s="11">
        <v>124</v>
      </c>
    </row>
    <row r="57" spans="1:15" ht="60" customHeight="1" x14ac:dyDescent="0.35">
      <c r="A57" s="11">
        <v>53</v>
      </c>
      <c r="B57" s="12" t="s">
        <v>1573</v>
      </c>
      <c r="C57" s="11">
        <v>2024</v>
      </c>
      <c r="D57" s="12" t="s">
        <v>537</v>
      </c>
      <c r="E57" s="12" t="s">
        <v>1429</v>
      </c>
      <c r="F57" s="12" t="s">
        <v>1574</v>
      </c>
      <c r="G57" s="12" t="s">
        <v>1575</v>
      </c>
      <c r="H57" s="12" t="s">
        <v>1576</v>
      </c>
      <c r="I57" s="12" t="s">
        <v>1577</v>
      </c>
      <c r="J57" s="12" t="s">
        <v>1578</v>
      </c>
      <c r="K57" s="12" t="s">
        <v>53</v>
      </c>
      <c r="L57" s="12" t="s">
        <v>1579</v>
      </c>
      <c r="M57" s="12" t="s">
        <v>495</v>
      </c>
      <c r="N57" s="12" t="s">
        <v>1580</v>
      </c>
      <c r="O57" s="11">
        <v>78</v>
      </c>
    </row>
    <row r="58" spans="1:15" ht="60" customHeight="1" x14ac:dyDescent="0.35">
      <c r="A58" s="11">
        <v>54</v>
      </c>
      <c r="B58" s="12" t="s">
        <v>1581</v>
      </c>
      <c r="C58" s="11">
        <v>2025</v>
      </c>
      <c r="D58" s="12" t="s">
        <v>851</v>
      </c>
      <c r="E58" s="12" t="s">
        <v>1545</v>
      </c>
      <c r="F58" s="12" t="s">
        <v>1582</v>
      </c>
      <c r="G58" s="12" t="s">
        <v>1583</v>
      </c>
      <c r="H58" s="12" t="s">
        <v>1584</v>
      </c>
      <c r="I58" s="12" t="s">
        <v>1585</v>
      </c>
      <c r="J58" s="12" t="s">
        <v>1586</v>
      </c>
      <c r="K58" s="12" t="s">
        <v>53</v>
      </c>
      <c r="L58" s="12" t="s">
        <v>1587</v>
      </c>
      <c r="M58" s="12" t="s">
        <v>736</v>
      </c>
      <c r="N58" s="12" t="s">
        <v>1588</v>
      </c>
      <c r="O58" s="11">
        <v>143</v>
      </c>
    </row>
    <row r="59" spans="1:15" ht="60" customHeight="1" x14ac:dyDescent="0.35">
      <c r="A59" s="11">
        <v>55</v>
      </c>
      <c r="B59" s="12" t="s">
        <v>1589</v>
      </c>
      <c r="C59" s="11">
        <v>2025</v>
      </c>
      <c r="D59" s="12" t="s">
        <v>841</v>
      </c>
      <c r="E59" s="12" t="s">
        <v>1545</v>
      </c>
      <c r="F59" s="12" t="s">
        <v>1590</v>
      </c>
      <c r="G59" s="12" t="s">
        <v>1591</v>
      </c>
      <c r="H59" s="12" t="s">
        <v>1592</v>
      </c>
      <c r="I59" s="12" t="s">
        <v>1593</v>
      </c>
      <c r="J59" s="12" t="s">
        <v>1594</v>
      </c>
      <c r="K59" s="12" t="s">
        <v>53</v>
      </c>
      <c r="L59" s="12" t="s">
        <v>1595</v>
      </c>
      <c r="M59" s="12" t="s">
        <v>736</v>
      </c>
      <c r="N59" s="12" t="s">
        <v>1170</v>
      </c>
      <c r="O59" s="11">
        <v>144</v>
      </c>
    </row>
    <row r="60" spans="1:15" ht="60" customHeight="1" x14ac:dyDescent="0.35">
      <c r="A60" s="11">
        <v>56</v>
      </c>
      <c r="B60" s="12" t="s">
        <v>1596</v>
      </c>
      <c r="C60" s="11">
        <v>2022</v>
      </c>
      <c r="D60" s="12" t="s">
        <v>860</v>
      </c>
      <c r="E60" s="12" t="s">
        <v>1597</v>
      </c>
      <c r="F60" s="12" t="s">
        <v>1598</v>
      </c>
      <c r="G60" s="12" t="s">
        <v>1599</v>
      </c>
      <c r="H60" s="12" t="s">
        <v>1600</v>
      </c>
      <c r="I60" s="12" t="s">
        <v>1601</v>
      </c>
      <c r="J60" s="12" t="s">
        <v>1602</v>
      </c>
      <c r="K60" s="12" t="s">
        <v>54</v>
      </c>
      <c r="L60" s="12" t="s">
        <v>1603</v>
      </c>
      <c r="M60" s="12" t="s">
        <v>861</v>
      </c>
      <c r="N60" s="12" t="s">
        <v>1604</v>
      </c>
      <c r="O60" s="11">
        <v>145</v>
      </c>
    </row>
    <row r="61" spans="1:15" ht="60" customHeight="1" x14ac:dyDescent="0.35">
      <c r="A61" s="11">
        <v>57</v>
      </c>
      <c r="B61" s="12" t="s">
        <v>1605</v>
      </c>
      <c r="C61" s="11">
        <v>2023</v>
      </c>
      <c r="D61" s="12" t="s">
        <v>551</v>
      </c>
      <c r="E61" s="12" t="s">
        <v>1606</v>
      </c>
      <c r="F61" s="12" t="s">
        <v>1607</v>
      </c>
      <c r="G61" s="12" t="s">
        <v>1608</v>
      </c>
      <c r="H61" s="12" t="s">
        <v>1609</v>
      </c>
      <c r="I61" s="12" t="s">
        <v>1610</v>
      </c>
      <c r="J61" s="12" t="s">
        <v>1611</v>
      </c>
      <c r="K61" s="12" t="s">
        <v>54</v>
      </c>
      <c r="L61" s="12" t="s">
        <v>1612</v>
      </c>
      <c r="M61" s="12" t="s">
        <v>861</v>
      </c>
      <c r="N61" s="12" t="s">
        <v>1290</v>
      </c>
      <c r="O61" s="11">
        <v>146</v>
      </c>
    </row>
    <row r="62" spans="1:15" ht="60" customHeight="1" x14ac:dyDescent="0.35">
      <c r="A62" s="11">
        <v>58</v>
      </c>
      <c r="B62" s="12" t="s">
        <v>1613</v>
      </c>
      <c r="C62" s="11">
        <v>2023</v>
      </c>
      <c r="D62" s="12" t="s">
        <v>565</v>
      </c>
      <c r="E62" s="12" t="s">
        <v>1597</v>
      </c>
      <c r="F62" s="12" t="s">
        <v>1614</v>
      </c>
      <c r="G62" s="12" t="s">
        <v>1615</v>
      </c>
      <c r="H62" s="12" t="s">
        <v>1616</v>
      </c>
      <c r="I62" s="12" t="s">
        <v>1617</v>
      </c>
      <c r="J62" s="12" t="s">
        <v>1618</v>
      </c>
      <c r="K62" s="12" t="s">
        <v>54</v>
      </c>
      <c r="L62" s="12" t="s">
        <v>1619</v>
      </c>
      <c r="M62" s="12" t="s">
        <v>861</v>
      </c>
      <c r="N62" s="12" t="s">
        <v>1170</v>
      </c>
      <c r="O62" s="11">
        <v>164</v>
      </c>
    </row>
    <row r="63" spans="1:15" ht="60" customHeight="1" x14ac:dyDescent="0.35">
      <c r="A63" s="11">
        <v>59</v>
      </c>
      <c r="B63" s="12" t="s">
        <v>1620</v>
      </c>
      <c r="C63" s="11">
        <v>2023</v>
      </c>
      <c r="D63" s="12" t="s">
        <v>565</v>
      </c>
      <c r="E63" s="12" t="s">
        <v>1621</v>
      </c>
      <c r="F63" s="12" t="s">
        <v>1622</v>
      </c>
      <c r="G63" s="12" t="s">
        <v>1623</v>
      </c>
      <c r="H63" s="12" t="s">
        <v>1624</v>
      </c>
      <c r="I63" s="12" t="s">
        <v>1625</v>
      </c>
      <c r="J63" s="12" t="s">
        <v>1626</v>
      </c>
      <c r="K63" s="12" t="s">
        <v>54</v>
      </c>
      <c r="L63" s="12" t="s">
        <v>1627</v>
      </c>
      <c r="M63" s="12" t="s">
        <v>987</v>
      </c>
      <c r="N63" s="12" t="s">
        <v>1170</v>
      </c>
      <c r="O63" s="11">
        <v>176</v>
      </c>
    </row>
    <row r="64" spans="1:15" ht="60" customHeight="1" x14ac:dyDescent="0.35">
      <c r="A64" s="11">
        <v>60</v>
      </c>
      <c r="B64" s="12" t="s">
        <v>1628</v>
      </c>
      <c r="C64" s="11">
        <v>2024</v>
      </c>
      <c r="D64" s="12" t="s">
        <v>299</v>
      </c>
      <c r="E64" s="12" t="s">
        <v>1629</v>
      </c>
      <c r="F64" s="12" t="s">
        <v>1630</v>
      </c>
      <c r="G64" s="12" t="s">
        <v>1631</v>
      </c>
      <c r="H64" s="12" t="s">
        <v>1632</v>
      </c>
      <c r="I64" s="12" t="s">
        <v>1633</v>
      </c>
      <c r="J64" s="12" t="s">
        <v>1634</v>
      </c>
      <c r="K64" s="12" t="s">
        <v>54</v>
      </c>
      <c r="L64" s="12" t="s">
        <v>1635</v>
      </c>
      <c r="M64" s="12" t="s">
        <v>861</v>
      </c>
      <c r="N64" s="12" t="s">
        <v>1201</v>
      </c>
      <c r="O64" s="11">
        <v>156</v>
      </c>
    </row>
    <row r="65" spans="1:15" ht="60" customHeight="1" x14ac:dyDescent="0.35">
      <c r="A65" s="11">
        <v>61</v>
      </c>
      <c r="B65" s="12" t="s">
        <v>1636</v>
      </c>
      <c r="C65" s="11">
        <v>2024</v>
      </c>
      <c r="D65" s="12" t="s">
        <v>1008</v>
      </c>
      <c r="E65" s="12" t="s">
        <v>1637</v>
      </c>
      <c r="F65" s="12" t="s">
        <v>1638</v>
      </c>
      <c r="G65" s="12" t="s">
        <v>1639</v>
      </c>
      <c r="H65" s="12" t="s">
        <v>1640</v>
      </c>
      <c r="I65" s="12" t="s">
        <v>1641</v>
      </c>
      <c r="J65" s="12" t="s">
        <v>1642</v>
      </c>
      <c r="K65" s="12" t="s">
        <v>54</v>
      </c>
      <c r="L65" s="12" t="s">
        <v>1643</v>
      </c>
      <c r="M65" s="12" t="s">
        <v>987</v>
      </c>
      <c r="N65" s="12" t="s">
        <v>1265</v>
      </c>
      <c r="O65" s="11">
        <v>174</v>
      </c>
    </row>
    <row r="66" spans="1:15" ht="60" customHeight="1" x14ac:dyDescent="0.35">
      <c r="A66" s="11">
        <v>62</v>
      </c>
      <c r="B66" s="12" t="s">
        <v>1644</v>
      </c>
      <c r="C66" s="11">
        <v>2024</v>
      </c>
      <c r="D66" s="12" t="s">
        <v>1026</v>
      </c>
      <c r="E66" s="12" t="s">
        <v>1645</v>
      </c>
      <c r="F66" s="12" t="s">
        <v>1646</v>
      </c>
      <c r="G66" s="12" t="s">
        <v>1647</v>
      </c>
      <c r="H66" s="12" t="s">
        <v>1648</v>
      </c>
      <c r="I66" s="12" t="s">
        <v>1649</v>
      </c>
      <c r="J66" s="12" t="s">
        <v>1650</v>
      </c>
      <c r="K66" s="12" t="s">
        <v>54</v>
      </c>
      <c r="L66" s="12" t="s">
        <v>1651</v>
      </c>
      <c r="M66" s="12" t="s">
        <v>987</v>
      </c>
      <c r="N66" s="12" t="s">
        <v>1170</v>
      </c>
      <c r="O66" s="11">
        <v>178</v>
      </c>
    </row>
    <row r="67" spans="1:15" ht="60" customHeight="1" x14ac:dyDescent="0.35">
      <c r="A67" s="11">
        <v>63</v>
      </c>
      <c r="B67" s="12" t="s">
        <v>1652</v>
      </c>
      <c r="C67" s="11">
        <v>2025</v>
      </c>
      <c r="D67" s="12" t="s">
        <v>892</v>
      </c>
      <c r="E67" s="12" t="s">
        <v>1316</v>
      </c>
      <c r="F67" s="12" t="s">
        <v>1653</v>
      </c>
      <c r="G67" s="12" t="s">
        <v>1654</v>
      </c>
      <c r="H67" s="12" t="s">
        <v>1655</v>
      </c>
      <c r="I67" s="12" t="s">
        <v>1656</v>
      </c>
      <c r="J67" s="12" t="s">
        <v>1657</v>
      </c>
      <c r="K67" s="12" t="s">
        <v>54</v>
      </c>
      <c r="L67" s="12" t="s">
        <v>1658</v>
      </c>
      <c r="M67" s="12" t="s">
        <v>861</v>
      </c>
      <c r="N67" s="12" t="s">
        <v>1580</v>
      </c>
      <c r="O67" s="11">
        <v>151</v>
      </c>
    </row>
    <row r="68" spans="1:15" ht="60" customHeight="1" x14ac:dyDescent="0.35">
      <c r="A68" s="11">
        <v>64</v>
      </c>
      <c r="B68" s="12" t="s">
        <v>1659</v>
      </c>
      <c r="C68" s="11">
        <v>2025</v>
      </c>
      <c r="D68" s="12" t="s">
        <v>942</v>
      </c>
      <c r="E68" s="12" t="s">
        <v>1660</v>
      </c>
      <c r="F68" s="12" t="s">
        <v>1661</v>
      </c>
      <c r="G68" s="12" t="s">
        <v>1662</v>
      </c>
      <c r="H68" s="12" t="s">
        <v>1663</v>
      </c>
      <c r="I68" s="12" t="s">
        <v>1664</v>
      </c>
      <c r="J68" s="12" t="s">
        <v>1665</v>
      </c>
      <c r="K68" s="12" t="s">
        <v>54</v>
      </c>
      <c r="L68" s="12" t="s">
        <v>1666</v>
      </c>
      <c r="M68" s="12" t="s">
        <v>861</v>
      </c>
      <c r="N68" s="12" t="s">
        <v>1543</v>
      </c>
      <c r="O68" s="11">
        <v>161</v>
      </c>
    </row>
  </sheetData>
  <autoFilter ref="A4:O68" xr:uid="{00000000-0009-0000-0000-000003000000}"/>
  <mergeCells count="1">
    <mergeCell ref="A2:O2"/>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D42"/>
  <sheetViews>
    <sheetView workbookViewId="0"/>
  </sheetViews>
  <sheetFormatPr defaultRowHeight="14.5" x14ac:dyDescent="0.35"/>
  <cols>
    <col min="1" max="1" width="3" customWidth="1"/>
    <col min="2" max="2" width="58" customWidth="1"/>
    <col min="3" max="3" width="12" customWidth="1"/>
    <col min="4" max="4" width="60" customWidth="1"/>
  </cols>
  <sheetData>
    <row r="2" spans="2:4" ht="18" customHeight="1" x14ac:dyDescent="0.4">
      <c r="B2" s="10" t="s">
        <v>1667</v>
      </c>
    </row>
    <row r="3" spans="2:4" x14ac:dyDescent="0.35">
      <c r="B3" s="17" t="s">
        <v>1668</v>
      </c>
    </row>
    <row r="5" spans="2:4" x14ac:dyDescent="0.35">
      <c r="B5" s="3" t="s">
        <v>1669</v>
      </c>
      <c r="C5" s="3" t="s">
        <v>1670</v>
      </c>
      <c r="D5" s="3" t="s">
        <v>1671</v>
      </c>
    </row>
    <row r="6" spans="2:4" x14ac:dyDescent="0.35">
      <c r="B6" s="5" t="s">
        <v>1672</v>
      </c>
    </row>
    <row r="7" spans="2:4" x14ac:dyDescent="0.35">
      <c r="B7" s="4" t="s">
        <v>1673</v>
      </c>
      <c r="C7" s="18">
        <f>'01 Search log'!E28</f>
        <v>6496</v>
      </c>
      <c r="D7" s="19" t="s">
        <v>1674</v>
      </c>
    </row>
    <row r="8" spans="2:4" x14ac:dyDescent="0.35">
      <c r="B8" s="4" t="s">
        <v>1675</v>
      </c>
      <c r="C8" s="18">
        <f>C7-C9</f>
        <v>6299</v>
      </c>
      <c r="D8" s="19" t="s">
        <v>1676</v>
      </c>
    </row>
    <row r="9" spans="2:4" x14ac:dyDescent="0.35">
      <c r="B9" s="4" t="s">
        <v>74</v>
      </c>
      <c r="C9" s="18">
        <f>'01 Search log'!F28</f>
        <v>197</v>
      </c>
      <c r="D9" s="19" t="s">
        <v>1677</v>
      </c>
    </row>
    <row r="10" spans="2:4" ht="25" customHeight="1" x14ac:dyDescent="0.35">
      <c r="B10" s="4" t="s">
        <v>1678</v>
      </c>
      <c r="C10" s="18">
        <f>C9-C11</f>
        <v>3</v>
      </c>
      <c r="D10" s="19" t="s">
        <v>1679</v>
      </c>
    </row>
    <row r="11" spans="2:4" x14ac:dyDescent="0.35">
      <c r="B11" s="4" t="s">
        <v>1680</v>
      </c>
      <c r="C11" s="18">
        <f>COUNTIF('02 Screening log'!$L$6:$L$400,"Database search")</f>
        <v>194</v>
      </c>
      <c r="D11" s="19" t="s">
        <v>1681</v>
      </c>
    </row>
    <row r="12" spans="2:4" x14ac:dyDescent="0.35">
      <c r="B12" s="4" t="s">
        <v>1682</v>
      </c>
      <c r="C12" s="18">
        <f>COUNTIFS('02 Screening log'!$L$6:$L$400,"Database search",'02 Screening log'!$G$6:$G$400,"DROP")</f>
        <v>106</v>
      </c>
      <c r="D12" s="19" t="s">
        <v>1683</v>
      </c>
    </row>
    <row r="13" spans="2:4" x14ac:dyDescent="0.35">
      <c r="B13" s="4" t="s">
        <v>1684</v>
      </c>
      <c r="C13" s="18">
        <f>COUNTIFS('02 Screening log'!$L$6:$L$400,"Database search",'02 Screening log'!$H$6:$H$400,"DROP")</f>
        <v>3</v>
      </c>
      <c r="D13" s="19" t="s">
        <v>1685</v>
      </c>
    </row>
    <row r="14" spans="2:4" x14ac:dyDescent="0.35">
      <c r="B14" s="4" t="s">
        <v>1686</v>
      </c>
      <c r="C14" s="18">
        <f>C11-C12-C13</f>
        <v>85</v>
      </c>
      <c r="D14" s="19" t="s">
        <v>1687</v>
      </c>
    </row>
    <row r="15" spans="2:4" x14ac:dyDescent="0.35">
      <c r="B15" s="4" t="s">
        <v>1688</v>
      </c>
      <c r="C15" s="18">
        <f>COUNTIFS('02 Screening log'!$L$6:$L$400,"Database search",'02 Screening log'!$I$6:$I$400,"DROP")</f>
        <v>30</v>
      </c>
      <c r="D15" s="19" t="s">
        <v>1689</v>
      </c>
    </row>
    <row r="16" spans="2:4" x14ac:dyDescent="0.35">
      <c r="B16" s="4" t="s">
        <v>1690</v>
      </c>
      <c r="C16" s="18">
        <f>C14-C15</f>
        <v>55</v>
      </c>
      <c r="D16" s="19" t="s">
        <v>1691</v>
      </c>
    </row>
    <row r="17" spans="2:4" x14ac:dyDescent="0.35">
      <c r="B17" s="5" t="s">
        <v>1692</v>
      </c>
    </row>
    <row r="18" spans="2:4" x14ac:dyDescent="0.35">
      <c r="B18" s="4" t="s">
        <v>1693</v>
      </c>
      <c r="C18" s="18">
        <f>COUNTIF('02 Screening log'!$L$6:$L$400,"Citation chasing")</f>
        <v>9</v>
      </c>
      <c r="D18" s="19" t="s">
        <v>1694</v>
      </c>
    </row>
    <row r="19" spans="2:4" x14ac:dyDescent="0.35">
      <c r="B19" s="4" t="s">
        <v>1688</v>
      </c>
      <c r="C19" s="18">
        <f>COUNTIFS('02 Screening log'!$L$6:$L$400,"Citation chasing",'02 Screening log'!$I$6:$I$400,"DROP")</f>
        <v>0</v>
      </c>
      <c r="D19" s="19" t="s">
        <v>1695</v>
      </c>
    </row>
    <row r="20" spans="2:4" x14ac:dyDescent="0.35">
      <c r="B20" s="4" t="s">
        <v>1696</v>
      </c>
      <c r="C20" s="18">
        <f>C18-C19</f>
        <v>9</v>
      </c>
      <c r="D20" s="19" t="s">
        <v>1697</v>
      </c>
    </row>
    <row r="21" spans="2:4" x14ac:dyDescent="0.35">
      <c r="B21" s="4" t="s">
        <v>1698</v>
      </c>
      <c r="C21" s="18">
        <f>C16+C20</f>
        <v>64</v>
      </c>
      <c r="D21" s="19" t="s">
        <v>1699</v>
      </c>
    </row>
    <row r="22" spans="2:4" x14ac:dyDescent="0.35">
      <c r="B22" s="4" t="s">
        <v>1700</v>
      </c>
      <c r="C22" s="18">
        <f>COUNTIF('02 Screening log'!$K$6:$K$400,"YES")</f>
        <v>64</v>
      </c>
      <c r="D22" s="19" t="s">
        <v>1701</v>
      </c>
    </row>
    <row r="25" spans="2:4" x14ac:dyDescent="0.35">
      <c r="B25" s="5" t="s">
        <v>1702</v>
      </c>
    </row>
    <row r="26" spans="2:4" x14ac:dyDescent="0.35">
      <c r="B26" s="3" t="s">
        <v>1703</v>
      </c>
      <c r="C26" s="3" t="s">
        <v>1670</v>
      </c>
      <c r="D26" s="3" t="s">
        <v>1704</v>
      </c>
    </row>
    <row r="27" spans="2:4" ht="30" customHeight="1" x14ac:dyDescent="0.35">
      <c r="B27" s="7" t="s">
        <v>203</v>
      </c>
      <c r="C27" s="20">
        <f>COUNTIF('02 Screening log'!$J$6:$J$400,B27)</f>
        <v>16</v>
      </c>
      <c r="D27" s="19" t="s">
        <v>1705</v>
      </c>
    </row>
    <row r="28" spans="2:4" ht="30" customHeight="1" x14ac:dyDescent="0.35">
      <c r="B28" s="7" t="s">
        <v>1706</v>
      </c>
      <c r="C28" s="20">
        <f>COUNTIF('02 Screening log'!$J$6:$J$400,B28)</f>
        <v>0</v>
      </c>
      <c r="D28" s="19" t="s">
        <v>1707</v>
      </c>
    </row>
    <row r="29" spans="2:4" ht="30" customHeight="1" x14ac:dyDescent="0.35">
      <c r="B29" s="7" t="s">
        <v>1708</v>
      </c>
      <c r="C29" s="20">
        <f>COUNTIF('02 Screening log'!$J$6:$J$400,B29)</f>
        <v>0</v>
      </c>
      <c r="D29" s="19" t="s">
        <v>1709</v>
      </c>
    </row>
    <row r="30" spans="2:4" ht="30" customHeight="1" x14ac:dyDescent="0.35">
      <c r="B30" s="7" t="s">
        <v>313</v>
      </c>
      <c r="C30" s="20">
        <f>COUNTIF('02 Screening log'!$J$6:$J$400,B30)</f>
        <v>8</v>
      </c>
      <c r="D30" s="19" t="s">
        <v>1710</v>
      </c>
    </row>
    <row r="31" spans="2:4" ht="30" customHeight="1" x14ac:dyDescent="0.35">
      <c r="B31" s="7" t="s">
        <v>168</v>
      </c>
      <c r="C31" s="20">
        <f>COUNTIF('02 Screening log'!$J$6:$J$400,B31)</f>
        <v>6</v>
      </c>
      <c r="D31" s="19" t="s">
        <v>1711</v>
      </c>
    </row>
    <row r="32" spans="2:4" x14ac:dyDescent="0.35">
      <c r="B32" s="5" t="s">
        <v>1712</v>
      </c>
      <c r="C32" s="13">
        <f>SUM(C27:C31)</f>
        <v>30</v>
      </c>
      <c r="D32" s="17" t="s">
        <v>1713</v>
      </c>
    </row>
    <row r="35" spans="2:4" x14ac:dyDescent="0.35">
      <c r="B35" s="5" t="s">
        <v>1714</v>
      </c>
    </row>
    <row r="36" spans="2:4" x14ac:dyDescent="0.35">
      <c r="B36" s="3" t="s">
        <v>1715</v>
      </c>
      <c r="C36" s="3" t="s">
        <v>1670</v>
      </c>
      <c r="D36" s="3" t="s">
        <v>1716</v>
      </c>
    </row>
    <row r="37" spans="2:4" x14ac:dyDescent="0.35">
      <c r="B37" s="21" t="s">
        <v>1717</v>
      </c>
      <c r="C37" s="20">
        <f>COUNTIF('03 Extraction matrix'!$K$5:$K$68,B37&amp;"*")</f>
        <v>15</v>
      </c>
      <c r="D37" s="7" t="s">
        <v>1718</v>
      </c>
    </row>
    <row r="38" spans="2:4" x14ac:dyDescent="0.35">
      <c r="B38" s="21" t="s">
        <v>1719</v>
      </c>
      <c r="C38" s="20">
        <f>COUNTIF('03 Extraction matrix'!$K$5:$K$68,B38&amp;"*")</f>
        <v>8</v>
      </c>
      <c r="D38" s="7" t="s">
        <v>1720</v>
      </c>
    </row>
    <row r="39" spans="2:4" x14ac:dyDescent="0.35">
      <c r="B39" s="21" t="s">
        <v>1721</v>
      </c>
      <c r="C39" s="20">
        <f>COUNTIF('03 Extraction matrix'!$K$5:$K$68,B39&amp;"*")</f>
        <v>12</v>
      </c>
      <c r="D39" s="7" t="s">
        <v>1722</v>
      </c>
    </row>
    <row r="40" spans="2:4" x14ac:dyDescent="0.35">
      <c r="B40" s="21" t="s">
        <v>1723</v>
      </c>
      <c r="C40" s="20">
        <f>COUNTIF('03 Extraction matrix'!$K$5:$K$68,B40&amp;"*")</f>
        <v>13</v>
      </c>
      <c r="D40" s="7" t="s">
        <v>1724</v>
      </c>
    </row>
    <row r="41" spans="2:4" x14ac:dyDescent="0.35">
      <c r="B41" s="21" t="s">
        <v>1725</v>
      </c>
      <c r="C41" s="20">
        <f>COUNTIF('03 Extraction matrix'!$K$5:$K$68,B41&amp;"*")</f>
        <v>7</v>
      </c>
      <c r="D41" s="7" t="s">
        <v>1726</v>
      </c>
    </row>
    <row r="42" spans="2:4" x14ac:dyDescent="0.35">
      <c r="B42" s="21" t="s">
        <v>1727</v>
      </c>
      <c r="C42" s="20">
        <f>COUNTIF('03 Extraction matrix'!$K$5:$K$68,B42&amp;"*")</f>
        <v>9</v>
      </c>
      <c r="D42" s="7" t="s">
        <v>1728</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8"/>
  <sheetViews>
    <sheetView workbookViewId="0">
      <pane ySplit="4" topLeftCell="A5" activePane="bottomLeft" state="frozen"/>
      <selection pane="bottomLeft"/>
    </sheetView>
  </sheetViews>
  <sheetFormatPr defaultRowHeight="14.5" x14ac:dyDescent="0.35"/>
  <cols>
    <col min="1" max="1" width="5" customWidth="1"/>
    <col min="2" max="2" width="50" customWidth="1"/>
    <col min="3" max="3" width="24" customWidth="1"/>
    <col min="4" max="4" width="18" customWidth="1"/>
    <col min="5" max="5" width="52" customWidth="1"/>
  </cols>
  <sheetData>
    <row r="1" spans="1:5" ht="18" customHeight="1" x14ac:dyDescent="0.4">
      <c r="A1" s="10" t="s">
        <v>1729</v>
      </c>
    </row>
    <row r="2" spans="1:5" x14ac:dyDescent="0.35">
      <c r="A2" s="27" t="s">
        <v>1730</v>
      </c>
      <c r="B2" s="25"/>
      <c r="C2" s="25"/>
      <c r="D2" s="25"/>
      <c r="E2" s="25"/>
    </row>
    <row r="4" spans="1:5" ht="30" customHeight="1" x14ac:dyDescent="0.35">
      <c r="A4" s="3" t="s">
        <v>69</v>
      </c>
      <c r="B4" s="3" t="s">
        <v>1731</v>
      </c>
      <c r="C4" s="3" t="s">
        <v>1732</v>
      </c>
      <c r="D4" s="3" t="s">
        <v>1733</v>
      </c>
      <c r="E4" s="3" t="s">
        <v>1734</v>
      </c>
    </row>
    <row r="5" spans="1:5" ht="41.5" customHeight="1" x14ac:dyDescent="0.35">
      <c r="A5" s="11">
        <v>1</v>
      </c>
      <c r="B5" s="12" t="s">
        <v>1735</v>
      </c>
      <c r="C5" s="12" t="s">
        <v>1162</v>
      </c>
      <c r="D5" s="12" t="s">
        <v>1736</v>
      </c>
      <c r="E5" s="12" t="s">
        <v>1737</v>
      </c>
    </row>
    <row r="6" spans="1:5" ht="30" customHeight="1" x14ac:dyDescent="0.35">
      <c r="A6" s="11">
        <v>2</v>
      </c>
      <c r="B6" s="12" t="s">
        <v>1738</v>
      </c>
      <c r="C6" s="12" t="s">
        <v>1179</v>
      </c>
      <c r="D6" s="12" t="s">
        <v>1739</v>
      </c>
      <c r="E6" s="12" t="s">
        <v>1740</v>
      </c>
    </row>
    <row r="7" spans="1:5" ht="30" customHeight="1" x14ac:dyDescent="0.35">
      <c r="A7" s="11">
        <v>3</v>
      </c>
      <c r="B7" s="12" t="s">
        <v>1741</v>
      </c>
      <c r="C7" s="12" t="s">
        <v>1323</v>
      </c>
      <c r="D7" s="12" t="s">
        <v>1742</v>
      </c>
      <c r="E7" s="12" t="s">
        <v>1743</v>
      </c>
    </row>
    <row r="8" spans="1:5" ht="30" customHeight="1" x14ac:dyDescent="0.35">
      <c r="A8" s="11">
        <v>4</v>
      </c>
      <c r="B8" s="12" t="s">
        <v>1744</v>
      </c>
      <c r="C8" s="12" t="s">
        <v>1299</v>
      </c>
      <c r="D8" s="12" t="s">
        <v>1745</v>
      </c>
      <c r="E8" s="12" t="s">
        <v>1746</v>
      </c>
    </row>
    <row r="9" spans="1:5" ht="30" customHeight="1" x14ac:dyDescent="0.35">
      <c r="A9" s="11">
        <v>5</v>
      </c>
      <c r="B9" s="12" t="s">
        <v>1747</v>
      </c>
      <c r="C9" s="12" t="s">
        <v>1226</v>
      </c>
      <c r="D9" s="12" t="s">
        <v>1748</v>
      </c>
      <c r="E9" s="12" t="s">
        <v>1749</v>
      </c>
    </row>
    <row r="10" spans="1:5" ht="30" customHeight="1" x14ac:dyDescent="0.35">
      <c r="A10" s="11">
        <v>6</v>
      </c>
      <c r="B10" s="12" t="s">
        <v>1750</v>
      </c>
      <c r="C10" s="12" t="s">
        <v>1218</v>
      </c>
      <c r="D10" s="12" t="s">
        <v>1748</v>
      </c>
      <c r="E10" s="12" t="s">
        <v>1751</v>
      </c>
    </row>
    <row r="11" spans="1:5" ht="30" customHeight="1" x14ac:dyDescent="0.35">
      <c r="A11" s="11">
        <v>7</v>
      </c>
      <c r="B11" s="12" t="s">
        <v>1752</v>
      </c>
      <c r="C11" s="12" t="s">
        <v>1356</v>
      </c>
      <c r="D11" s="12" t="s">
        <v>1753</v>
      </c>
      <c r="E11" s="12" t="s">
        <v>1754</v>
      </c>
    </row>
    <row r="12" spans="1:5" ht="30" customHeight="1" x14ac:dyDescent="0.35">
      <c r="A12" s="11">
        <v>8</v>
      </c>
      <c r="B12" s="12" t="s">
        <v>1755</v>
      </c>
      <c r="C12" s="12" t="s">
        <v>1428</v>
      </c>
      <c r="D12" s="12" t="s">
        <v>1756</v>
      </c>
      <c r="E12" s="12" t="s">
        <v>1757</v>
      </c>
    </row>
    <row r="13" spans="1:5" ht="30" customHeight="1" x14ac:dyDescent="0.35">
      <c r="A13" s="11">
        <v>9</v>
      </c>
      <c r="B13" s="12" t="s">
        <v>1758</v>
      </c>
      <c r="C13" s="12" t="s">
        <v>1552</v>
      </c>
      <c r="D13" s="12" t="s">
        <v>1759</v>
      </c>
      <c r="E13" s="12" t="s">
        <v>1760</v>
      </c>
    </row>
    <row r="14" spans="1:5" ht="30" customHeight="1" x14ac:dyDescent="0.35">
      <c r="A14" s="11">
        <v>10</v>
      </c>
      <c r="B14" s="12" t="s">
        <v>1761</v>
      </c>
      <c r="C14" s="12" t="s">
        <v>1644</v>
      </c>
      <c r="D14" s="12" t="s">
        <v>1762</v>
      </c>
      <c r="E14" s="12" t="s">
        <v>1763</v>
      </c>
    </row>
    <row r="15" spans="1:5" ht="30" customHeight="1" x14ac:dyDescent="0.35">
      <c r="A15" s="11">
        <v>11</v>
      </c>
      <c r="B15" s="12" t="s">
        <v>1764</v>
      </c>
      <c r="C15" s="12" t="s">
        <v>1620</v>
      </c>
      <c r="D15" s="12" t="s">
        <v>1762</v>
      </c>
      <c r="E15" s="12" t="s">
        <v>1765</v>
      </c>
    </row>
    <row r="16" spans="1:5" ht="30" customHeight="1" x14ac:dyDescent="0.35">
      <c r="A16" s="11">
        <v>12</v>
      </c>
      <c r="B16" s="12" t="s">
        <v>1766</v>
      </c>
      <c r="C16" s="12" t="s">
        <v>1490</v>
      </c>
      <c r="D16" s="12" t="s">
        <v>1767</v>
      </c>
      <c r="E16" s="12" t="s">
        <v>1768</v>
      </c>
    </row>
    <row r="17" spans="1:5" ht="30" customHeight="1" x14ac:dyDescent="0.35">
      <c r="A17" s="11">
        <v>13</v>
      </c>
      <c r="B17" s="12" t="s">
        <v>1769</v>
      </c>
      <c r="C17" s="12" t="s">
        <v>1520</v>
      </c>
      <c r="D17" s="12" t="s">
        <v>1770</v>
      </c>
      <c r="E17" s="12" t="s">
        <v>1771</v>
      </c>
    </row>
    <row r="18" spans="1:5" ht="30" customHeight="1" x14ac:dyDescent="0.35">
      <c r="A18" s="11">
        <v>14</v>
      </c>
      <c r="B18" s="12" t="s">
        <v>1772</v>
      </c>
      <c r="C18" s="12" t="s">
        <v>1605</v>
      </c>
      <c r="D18" s="12" t="s">
        <v>1773</v>
      </c>
      <c r="E18" s="12" t="s">
        <v>1774</v>
      </c>
    </row>
  </sheetData>
  <mergeCells count="1">
    <mergeCell ref="A2:E2"/>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11"/>
  <sheetViews>
    <sheetView workbookViewId="0">
      <pane ySplit="4" topLeftCell="A5" activePane="bottomLeft" state="frozen"/>
      <selection pane="bottomLeft"/>
    </sheetView>
  </sheetViews>
  <sheetFormatPr defaultRowHeight="14.5" x14ac:dyDescent="0.35"/>
  <cols>
    <col min="1" max="1" width="5" customWidth="1"/>
    <col min="2" max="2" width="24" customWidth="1"/>
    <col min="3" max="3" width="40" customWidth="1"/>
    <col min="4" max="4" width="50" customWidth="1"/>
    <col min="5" max="5" width="34" customWidth="1"/>
  </cols>
  <sheetData>
    <row r="1" spans="1:5" ht="18" customHeight="1" x14ac:dyDescent="0.4">
      <c r="A1" s="10" t="s">
        <v>1775</v>
      </c>
    </row>
    <row r="2" spans="1:5" ht="28" customHeight="1" x14ac:dyDescent="0.35">
      <c r="A2" s="27" t="s">
        <v>1776</v>
      </c>
      <c r="B2" s="25"/>
      <c r="C2" s="25"/>
      <c r="D2" s="25"/>
      <c r="E2" s="25"/>
    </row>
    <row r="4" spans="1:5" ht="30" customHeight="1" x14ac:dyDescent="0.35">
      <c r="A4" s="3" t="s">
        <v>69</v>
      </c>
      <c r="B4" s="3" t="s">
        <v>1777</v>
      </c>
      <c r="C4" s="3" t="s">
        <v>1778</v>
      </c>
      <c r="D4" s="3" t="s">
        <v>1779</v>
      </c>
      <c r="E4" s="3" t="s">
        <v>1780</v>
      </c>
    </row>
    <row r="5" spans="1:5" ht="41.5" customHeight="1" x14ac:dyDescent="0.35">
      <c r="A5" s="11">
        <v>1</v>
      </c>
      <c r="B5" s="12" t="s">
        <v>1781</v>
      </c>
      <c r="C5" s="12" t="s">
        <v>1782</v>
      </c>
      <c r="D5" s="12" t="s">
        <v>1783</v>
      </c>
      <c r="E5" s="12" t="s">
        <v>1784</v>
      </c>
    </row>
    <row r="6" spans="1:5" ht="41.5" customHeight="1" x14ac:dyDescent="0.35">
      <c r="A6" s="11">
        <v>2</v>
      </c>
      <c r="B6" s="12" t="s">
        <v>1785</v>
      </c>
      <c r="C6" s="12" t="s">
        <v>1786</v>
      </c>
      <c r="D6" s="12" t="s">
        <v>1787</v>
      </c>
      <c r="E6" s="12" t="s">
        <v>1788</v>
      </c>
    </row>
    <row r="7" spans="1:5" ht="54" customHeight="1" x14ac:dyDescent="0.35">
      <c r="A7" s="11">
        <v>3</v>
      </c>
      <c r="B7" s="12" t="s">
        <v>1789</v>
      </c>
      <c r="C7" s="12" t="s">
        <v>1790</v>
      </c>
      <c r="D7" s="12" t="s">
        <v>1791</v>
      </c>
      <c r="E7" s="12" t="s">
        <v>1792</v>
      </c>
    </row>
    <row r="8" spans="1:5" ht="54" customHeight="1" x14ac:dyDescent="0.35">
      <c r="A8" s="11">
        <v>4</v>
      </c>
      <c r="B8" s="12" t="s">
        <v>1793</v>
      </c>
      <c r="C8" s="12" t="s">
        <v>1794</v>
      </c>
      <c r="D8" s="12" t="s">
        <v>1795</v>
      </c>
      <c r="E8" s="12" t="s">
        <v>1796</v>
      </c>
    </row>
    <row r="9" spans="1:5" ht="41.5" customHeight="1" x14ac:dyDescent="0.35">
      <c r="A9" s="11">
        <v>5</v>
      </c>
      <c r="B9" s="12" t="s">
        <v>1797</v>
      </c>
      <c r="C9" s="12" t="s">
        <v>1798</v>
      </c>
      <c r="D9" s="12" t="s">
        <v>1799</v>
      </c>
      <c r="E9" s="12" t="s">
        <v>1800</v>
      </c>
    </row>
    <row r="10" spans="1:5" ht="41.5" customHeight="1" x14ac:dyDescent="0.35">
      <c r="A10" s="11">
        <v>6</v>
      </c>
      <c r="B10" s="12" t="s">
        <v>1762</v>
      </c>
      <c r="C10" s="12" t="s">
        <v>1801</v>
      </c>
      <c r="D10" s="12" t="s">
        <v>1802</v>
      </c>
      <c r="E10" s="12" t="s">
        <v>1803</v>
      </c>
    </row>
    <row r="11" spans="1:5" ht="40" customHeight="1" x14ac:dyDescent="0.35">
      <c r="A11" s="11">
        <v>7</v>
      </c>
      <c r="B11" s="12" t="s">
        <v>1804</v>
      </c>
      <c r="C11" s="12" t="s">
        <v>1805</v>
      </c>
      <c r="D11" s="12" t="s">
        <v>1806</v>
      </c>
      <c r="E11" s="12" t="s">
        <v>1807</v>
      </c>
    </row>
  </sheetData>
  <mergeCells count="1">
    <mergeCell ref="A2:E2"/>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68"/>
  <sheetViews>
    <sheetView workbookViewId="0">
      <pane ySplit="4" topLeftCell="A5" activePane="bottomLeft" state="frozen"/>
      <selection pane="bottomLeft"/>
    </sheetView>
  </sheetViews>
  <sheetFormatPr defaultRowHeight="14.5" x14ac:dyDescent="0.35"/>
  <cols>
    <col min="1" max="1" width="5" customWidth="1"/>
    <col min="2" max="2" width="26" customWidth="1"/>
    <col min="3" max="3" width="90" customWidth="1"/>
    <col min="4" max="4" width="40" customWidth="1"/>
  </cols>
  <sheetData>
    <row r="1" spans="1:4" ht="18" customHeight="1" x14ac:dyDescent="0.4">
      <c r="A1" s="10" t="s">
        <v>1808</v>
      </c>
    </row>
    <row r="2" spans="1:4" x14ac:dyDescent="0.35">
      <c r="A2" s="17" t="s">
        <v>1809</v>
      </c>
    </row>
    <row r="4" spans="1:4" ht="30" customHeight="1" x14ac:dyDescent="0.35">
      <c r="A4" s="3" t="s">
        <v>69</v>
      </c>
      <c r="B4" s="3" t="s">
        <v>1810</v>
      </c>
      <c r="C4" s="3" t="s">
        <v>1811</v>
      </c>
      <c r="D4" s="3" t="s">
        <v>1159</v>
      </c>
    </row>
    <row r="5" spans="1:4" ht="54" customHeight="1" x14ac:dyDescent="0.35">
      <c r="A5" s="22">
        <v>1</v>
      </c>
      <c r="B5" s="23" t="s">
        <v>1348</v>
      </c>
      <c r="C5" s="23" t="s">
        <v>1812</v>
      </c>
      <c r="D5" s="23" t="s">
        <v>1355</v>
      </c>
    </row>
    <row r="6" spans="1:4" ht="54" customHeight="1" x14ac:dyDescent="0.35">
      <c r="A6" s="22">
        <v>2</v>
      </c>
      <c r="B6" s="23" t="s">
        <v>1179</v>
      </c>
      <c r="C6" s="23" t="s">
        <v>1813</v>
      </c>
      <c r="D6" s="23" t="s">
        <v>1185</v>
      </c>
    </row>
    <row r="7" spans="1:4" ht="41.5" customHeight="1" x14ac:dyDescent="0.35">
      <c r="A7" s="22">
        <v>3</v>
      </c>
      <c r="B7" s="23" t="s">
        <v>1412</v>
      </c>
      <c r="C7" s="23" t="s">
        <v>1814</v>
      </c>
      <c r="D7" s="23" t="s">
        <v>1419</v>
      </c>
    </row>
    <row r="8" spans="1:4" ht="41.5" customHeight="1" x14ac:dyDescent="0.35">
      <c r="A8" s="22">
        <v>4</v>
      </c>
      <c r="B8" s="23" t="s">
        <v>1162</v>
      </c>
      <c r="C8" s="23" t="s">
        <v>1815</v>
      </c>
      <c r="D8" s="23" t="s">
        <v>1169</v>
      </c>
    </row>
    <row r="9" spans="1:4" ht="41.5" customHeight="1" x14ac:dyDescent="0.35">
      <c r="A9" s="22">
        <v>5</v>
      </c>
      <c r="B9" s="23" t="s">
        <v>1193</v>
      </c>
      <c r="C9" s="23" t="s">
        <v>1816</v>
      </c>
      <c r="D9" s="23" t="s">
        <v>1200</v>
      </c>
    </row>
    <row r="10" spans="1:4" ht="29" customHeight="1" x14ac:dyDescent="0.35">
      <c r="A10" s="22">
        <v>6</v>
      </c>
      <c r="B10" s="23" t="s">
        <v>1356</v>
      </c>
      <c r="C10" s="23" t="s">
        <v>1817</v>
      </c>
      <c r="D10" s="23" t="s">
        <v>1363</v>
      </c>
    </row>
    <row r="11" spans="1:4" ht="54" customHeight="1" x14ac:dyDescent="0.35">
      <c r="A11" s="22">
        <v>7</v>
      </c>
      <c r="B11" s="23" t="s">
        <v>1444</v>
      </c>
      <c r="C11" s="23" t="s">
        <v>1818</v>
      </c>
      <c r="D11" s="23" t="s">
        <v>1450</v>
      </c>
    </row>
    <row r="12" spans="1:4" ht="54" customHeight="1" x14ac:dyDescent="0.35">
      <c r="A12" s="22">
        <v>8</v>
      </c>
      <c r="B12" s="23" t="s">
        <v>1460</v>
      </c>
      <c r="C12" s="23" t="s">
        <v>1819</v>
      </c>
      <c r="D12" s="23" t="s">
        <v>1466</v>
      </c>
    </row>
    <row r="13" spans="1:4" ht="54" customHeight="1" x14ac:dyDescent="0.35">
      <c r="A13" s="22">
        <v>9</v>
      </c>
      <c r="B13" s="23" t="s">
        <v>1467</v>
      </c>
      <c r="C13" s="23" t="s">
        <v>1820</v>
      </c>
      <c r="D13" s="23" t="s">
        <v>1473</v>
      </c>
    </row>
    <row r="14" spans="1:4" ht="54" customHeight="1" x14ac:dyDescent="0.35">
      <c r="A14" s="22">
        <v>10</v>
      </c>
      <c r="B14" s="23" t="s">
        <v>1581</v>
      </c>
      <c r="C14" s="23" t="s">
        <v>1821</v>
      </c>
      <c r="D14" s="23" t="s">
        <v>1587</v>
      </c>
    </row>
    <row r="15" spans="1:4" ht="29" customHeight="1" x14ac:dyDescent="0.35">
      <c r="A15" s="22">
        <v>11</v>
      </c>
      <c r="B15" s="23" t="s">
        <v>1605</v>
      </c>
      <c r="C15" s="23" t="s">
        <v>1822</v>
      </c>
      <c r="D15" s="23" t="s">
        <v>1612</v>
      </c>
    </row>
    <row r="16" spans="1:4" ht="41.5" customHeight="1" x14ac:dyDescent="0.35">
      <c r="A16" s="22">
        <v>12</v>
      </c>
      <c r="B16" s="23" t="s">
        <v>1613</v>
      </c>
      <c r="C16" s="23" t="s">
        <v>1823</v>
      </c>
      <c r="D16" s="23" t="s">
        <v>1619</v>
      </c>
    </row>
    <row r="17" spans="1:4" ht="41.5" customHeight="1" x14ac:dyDescent="0.35">
      <c r="A17" s="22">
        <v>13</v>
      </c>
      <c r="B17" s="23" t="s">
        <v>1512</v>
      </c>
      <c r="C17" s="23" t="s">
        <v>1824</v>
      </c>
      <c r="D17" s="23" t="s">
        <v>1519</v>
      </c>
    </row>
    <row r="18" spans="1:4" ht="54" customHeight="1" x14ac:dyDescent="0.35">
      <c r="A18" s="22">
        <v>14</v>
      </c>
      <c r="B18" s="23" t="s">
        <v>1202</v>
      </c>
      <c r="C18" s="23" t="s">
        <v>1825</v>
      </c>
      <c r="D18" s="23" t="s">
        <v>1209</v>
      </c>
    </row>
    <row r="19" spans="1:4" ht="41.5" customHeight="1" x14ac:dyDescent="0.35">
      <c r="A19" s="22">
        <v>15</v>
      </c>
      <c r="B19" s="23" t="s">
        <v>1365</v>
      </c>
      <c r="C19" s="23" t="s">
        <v>1826</v>
      </c>
      <c r="D19" s="23" t="s">
        <v>1371</v>
      </c>
    </row>
    <row r="20" spans="1:4" ht="54" customHeight="1" x14ac:dyDescent="0.35">
      <c r="A20" s="22">
        <v>16</v>
      </c>
      <c r="B20" s="23" t="s">
        <v>1210</v>
      </c>
      <c r="C20" s="23" t="s">
        <v>1827</v>
      </c>
      <c r="D20" s="23" t="s">
        <v>1217</v>
      </c>
    </row>
    <row r="21" spans="1:4" ht="41.5" customHeight="1" x14ac:dyDescent="0.35">
      <c r="A21" s="22">
        <v>17</v>
      </c>
      <c r="B21" s="23" t="s">
        <v>1620</v>
      </c>
      <c r="C21" s="23" t="s">
        <v>1828</v>
      </c>
      <c r="D21" s="23" t="s">
        <v>1627</v>
      </c>
    </row>
    <row r="22" spans="1:4" ht="41.5" customHeight="1" x14ac:dyDescent="0.35">
      <c r="A22" s="22">
        <v>18</v>
      </c>
      <c r="B22" s="23" t="s">
        <v>1291</v>
      </c>
      <c r="C22" s="23" t="s">
        <v>1829</v>
      </c>
      <c r="D22" s="23" t="s">
        <v>1128</v>
      </c>
    </row>
    <row r="23" spans="1:4" ht="54" customHeight="1" x14ac:dyDescent="0.35">
      <c r="A23" s="22">
        <v>19</v>
      </c>
      <c r="B23" s="23" t="s">
        <v>1218</v>
      </c>
      <c r="C23" s="23" t="s">
        <v>1830</v>
      </c>
      <c r="D23" s="23" t="s">
        <v>1225</v>
      </c>
    </row>
    <row r="24" spans="1:4" ht="41.5" customHeight="1" x14ac:dyDescent="0.35">
      <c r="A24" s="22">
        <v>20</v>
      </c>
      <c r="B24" s="23" t="s">
        <v>1242</v>
      </c>
      <c r="C24" s="23" t="s">
        <v>1831</v>
      </c>
      <c r="D24" s="23" t="s">
        <v>1248</v>
      </c>
    </row>
    <row r="25" spans="1:4" ht="41.5" customHeight="1" x14ac:dyDescent="0.35">
      <c r="A25" s="22">
        <v>21</v>
      </c>
      <c r="B25" s="23" t="s">
        <v>1596</v>
      </c>
      <c r="C25" s="23" t="s">
        <v>1832</v>
      </c>
      <c r="D25" s="23" t="s">
        <v>1603</v>
      </c>
    </row>
    <row r="26" spans="1:4" ht="41.5" customHeight="1" x14ac:dyDescent="0.35">
      <c r="A26" s="22">
        <v>22</v>
      </c>
      <c r="B26" s="23" t="s">
        <v>1299</v>
      </c>
      <c r="C26" s="23" t="s">
        <v>1833</v>
      </c>
      <c r="D26" s="23" t="s">
        <v>1306</v>
      </c>
    </row>
    <row r="27" spans="1:4" ht="41.5" customHeight="1" x14ac:dyDescent="0.35">
      <c r="A27" s="22">
        <v>23</v>
      </c>
      <c r="B27" s="23" t="s">
        <v>1226</v>
      </c>
      <c r="C27" s="23" t="s">
        <v>1834</v>
      </c>
      <c r="D27" s="23" t="s">
        <v>1233</v>
      </c>
    </row>
    <row r="28" spans="1:4" ht="41.5" customHeight="1" x14ac:dyDescent="0.35">
      <c r="A28" s="22">
        <v>24</v>
      </c>
      <c r="B28" s="23" t="s">
        <v>1307</v>
      </c>
      <c r="C28" s="23" t="s">
        <v>1835</v>
      </c>
      <c r="D28" s="23" t="s">
        <v>1314</v>
      </c>
    </row>
    <row r="29" spans="1:4" ht="41.5" customHeight="1" x14ac:dyDescent="0.35">
      <c r="A29" s="22">
        <v>25</v>
      </c>
      <c r="B29" s="23" t="s">
        <v>1628</v>
      </c>
      <c r="C29" s="23" t="s">
        <v>1836</v>
      </c>
      <c r="D29" s="23" t="s">
        <v>1635</v>
      </c>
    </row>
    <row r="30" spans="1:4" ht="54" customHeight="1" x14ac:dyDescent="0.35">
      <c r="A30" s="22">
        <v>26</v>
      </c>
      <c r="B30" s="23" t="s">
        <v>1186</v>
      </c>
      <c r="C30" s="23" t="s">
        <v>1837</v>
      </c>
      <c r="D30" s="23" t="s">
        <v>1192</v>
      </c>
    </row>
    <row r="31" spans="1:4" ht="41.5" customHeight="1" x14ac:dyDescent="0.35">
      <c r="A31" s="22">
        <v>27</v>
      </c>
      <c r="B31" s="23" t="s">
        <v>1474</v>
      </c>
      <c r="C31" s="23" t="s">
        <v>1838</v>
      </c>
      <c r="D31" s="23" t="s">
        <v>1481</v>
      </c>
    </row>
    <row r="32" spans="1:4" ht="54" customHeight="1" x14ac:dyDescent="0.35">
      <c r="A32" s="22">
        <v>28</v>
      </c>
      <c r="B32" s="23" t="s">
        <v>1331</v>
      </c>
      <c r="C32" s="23" t="s">
        <v>1839</v>
      </c>
      <c r="D32" s="23" t="s">
        <v>1338</v>
      </c>
    </row>
    <row r="33" spans="1:4" ht="41.5" customHeight="1" x14ac:dyDescent="0.35">
      <c r="A33" s="22">
        <v>29</v>
      </c>
      <c r="B33" s="23" t="s">
        <v>1497</v>
      </c>
      <c r="C33" s="23" t="s">
        <v>1840</v>
      </c>
      <c r="D33" s="23" t="s">
        <v>1503</v>
      </c>
    </row>
    <row r="34" spans="1:4" ht="54" customHeight="1" x14ac:dyDescent="0.35">
      <c r="A34" s="22">
        <v>30</v>
      </c>
      <c r="B34" s="23" t="s">
        <v>1636</v>
      </c>
      <c r="C34" s="23" t="s">
        <v>1841</v>
      </c>
      <c r="D34" s="23" t="s">
        <v>1643</v>
      </c>
    </row>
    <row r="35" spans="1:4" ht="54" customHeight="1" x14ac:dyDescent="0.35">
      <c r="A35" s="22">
        <v>31</v>
      </c>
      <c r="B35" s="23" t="s">
        <v>1373</v>
      </c>
      <c r="C35" s="23" t="s">
        <v>1842</v>
      </c>
      <c r="D35" s="23" t="s">
        <v>1380</v>
      </c>
    </row>
    <row r="36" spans="1:4" ht="54" customHeight="1" x14ac:dyDescent="0.35">
      <c r="A36" s="22">
        <v>32</v>
      </c>
      <c r="B36" s="23" t="s">
        <v>1420</v>
      </c>
      <c r="C36" s="23" t="s">
        <v>1843</v>
      </c>
      <c r="D36" s="23" t="s">
        <v>1427</v>
      </c>
    </row>
    <row r="37" spans="1:4" ht="54" customHeight="1" x14ac:dyDescent="0.35">
      <c r="A37" s="22">
        <v>33</v>
      </c>
      <c r="B37" s="23" t="s">
        <v>1283</v>
      </c>
      <c r="C37" s="23" t="s">
        <v>1844</v>
      </c>
      <c r="D37" s="23" t="s">
        <v>1132</v>
      </c>
    </row>
    <row r="38" spans="1:4" ht="29" customHeight="1" x14ac:dyDescent="0.35">
      <c r="A38" s="22">
        <v>34</v>
      </c>
      <c r="B38" s="23" t="s">
        <v>1652</v>
      </c>
      <c r="C38" s="23" t="s">
        <v>1845</v>
      </c>
      <c r="D38" s="23" t="s">
        <v>1658</v>
      </c>
    </row>
    <row r="39" spans="1:4" ht="41.5" customHeight="1" x14ac:dyDescent="0.35">
      <c r="A39" s="22">
        <v>35</v>
      </c>
      <c r="B39" s="23" t="s">
        <v>1249</v>
      </c>
      <c r="C39" s="23" t="s">
        <v>1846</v>
      </c>
      <c r="D39" s="23" t="s">
        <v>1137</v>
      </c>
    </row>
    <row r="40" spans="1:4" ht="41.5" customHeight="1" x14ac:dyDescent="0.35">
      <c r="A40" s="22">
        <v>36</v>
      </c>
      <c r="B40" s="23" t="s">
        <v>1589</v>
      </c>
      <c r="C40" s="23" t="s">
        <v>1847</v>
      </c>
      <c r="D40" s="23" t="s">
        <v>1595</v>
      </c>
    </row>
    <row r="41" spans="1:4" ht="54" customHeight="1" x14ac:dyDescent="0.35">
      <c r="A41" s="22">
        <v>37</v>
      </c>
      <c r="B41" s="23" t="s">
        <v>1483</v>
      </c>
      <c r="C41" s="23" t="s">
        <v>1848</v>
      </c>
      <c r="D41" s="23" t="s">
        <v>1489</v>
      </c>
    </row>
    <row r="42" spans="1:4" ht="41.5" customHeight="1" x14ac:dyDescent="0.35">
      <c r="A42" s="22">
        <v>38</v>
      </c>
      <c r="B42" s="23" t="s">
        <v>1315</v>
      </c>
      <c r="C42" s="23" t="s">
        <v>1849</v>
      </c>
      <c r="D42" s="23" t="s">
        <v>1322</v>
      </c>
    </row>
    <row r="43" spans="1:4" ht="41.5" customHeight="1" x14ac:dyDescent="0.35">
      <c r="A43" s="22">
        <v>39</v>
      </c>
      <c r="B43" s="23" t="s">
        <v>1381</v>
      </c>
      <c r="C43" s="23" t="s">
        <v>1850</v>
      </c>
      <c r="D43" s="23" t="s">
        <v>1388</v>
      </c>
    </row>
    <row r="44" spans="1:4" ht="41.5" customHeight="1" x14ac:dyDescent="0.35">
      <c r="A44" s="22">
        <v>40</v>
      </c>
      <c r="B44" s="23" t="s">
        <v>1389</v>
      </c>
      <c r="C44" s="23" t="s">
        <v>1851</v>
      </c>
      <c r="D44" s="23" t="s">
        <v>1141</v>
      </c>
    </row>
    <row r="45" spans="1:4" ht="29" customHeight="1" x14ac:dyDescent="0.35">
      <c r="A45" s="22">
        <v>41</v>
      </c>
      <c r="B45" s="23" t="s">
        <v>1552</v>
      </c>
      <c r="C45" s="23" t="s">
        <v>1852</v>
      </c>
      <c r="D45" s="23" t="s">
        <v>1558</v>
      </c>
    </row>
    <row r="46" spans="1:4" ht="54" customHeight="1" x14ac:dyDescent="0.35">
      <c r="A46" s="22">
        <v>42</v>
      </c>
      <c r="B46" s="23" t="s">
        <v>1257</v>
      </c>
      <c r="C46" s="23" t="s">
        <v>1853</v>
      </c>
      <c r="D46" s="23" t="s">
        <v>1264</v>
      </c>
    </row>
    <row r="47" spans="1:4" ht="54" customHeight="1" x14ac:dyDescent="0.35">
      <c r="A47" s="22">
        <v>43</v>
      </c>
      <c r="B47" s="23" t="s">
        <v>1644</v>
      </c>
      <c r="C47" s="23" t="s">
        <v>1854</v>
      </c>
      <c r="D47" s="23" t="s">
        <v>1651</v>
      </c>
    </row>
    <row r="48" spans="1:4" ht="41.5" customHeight="1" x14ac:dyDescent="0.35">
      <c r="A48" s="22">
        <v>44</v>
      </c>
      <c r="B48" s="23" t="s">
        <v>1171</v>
      </c>
      <c r="C48" s="23" t="s">
        <v>1855</v>
      </c>
      <c r="D48" s="23" t="s">
        <v>1178</v>
      </c>
    </row>
    <row r="49" spans="1:4" ht="41.5" customHeight="1" x14ac:dyDescent="0.35">
      <c r="A49" s="22">
        <v>45</v>
      </c>
      <c r="B49" s="23" t="s">
        <v>1323</v>
      </c>
      <c r="C49" s="23" t="s">
        <v>1856</v>
      </c>
      <c r="D49" s="23" t="s">
        <v>1330</v>
      </c>
    </row>
    <row r="50" spans="1:4" ht="41.5" customHeight="1" x14ac:dyDescent="0.35">
      <c r="A50" s="22">
        <v>46</v>
      </c>
      <c r="B50" s="23" t="s">
        <v>1559</v>
      </c>
      <c r="C50" s="23" t="s">
        <v>1857</v>
      </c>
      <c r="D50" s="23" t="s">
        <v>1565</v>
      </c>
    </row>
    <row r="51" spans="1:4" ht="41.5" customHeight="1" x14ac:dyDescent="0.35">
      <c r="A51" s="22">
        <v>47</v>
      </c>
      <c r="B51" s="23" t="s">
        <v>1659</v>
      </c>
      <c r="C51" s="23" t="s">
        <v>1858</v>
      </c>
      <c r="D51" s="23" t="s">
        <v>1666</v>
      </c>
    </row>
    <row r="52" spans="1:4" ht="41.5" customHeight="1" x14ac:dyDescent="0.35">
      <c r="A52" s="22">
        <v>48</v>
      </c>
      <c r="B52" s="23" t="s">
        <v>1266</v>
      </c>
      <c r="C52" s="23" t="s">
        <v>1859</v>
      </c>
      <c r="D52" s="23" t="s">
        <v>1273</v>
      </c>
    </row>
    <row r="53" spans="1:4" ht="41.5" customHeight="1" x14ac:dyDescent="0.35">
      <c r="A53" s="22">
        <v>49</v>
      </c>
      <c r="B53" s="23" t="s">
        <v>1436</v>
      </c>
      <c r="C53" s="23" t="s">
        <v>1860</v>
      </c>
      <c r="D53" s="23" t="s">
        <v>1443</v>
      </c>
    </row>
    <row r="54" spans="1:4" ht="29" customHeight="1" x14ac:dyDescent="0.35">
      <c r="A54" s="22">
        <v>50</v>
      </c>
      <c r="B54" s="23" t="s">
        <v>1396</v>
      </c>
      <c r="C54" s="23" t="s">
        <v>1861</v>
      </c>
      <c r="D54" s="23" t="s">
        <v>1403</v>
      </c>
    </row>
    <row r="55" spans="1:4" ht="41.5" customHeight="1" x14ac:dyDescent="0.35">
      <c r="A55" s="22">
        <v>51</v>
      </c>
      <c r="B55" s="23" t="s">
        <v>1535</v>
      </c>
      <c r="C55" s="23" t="s">
        <v>1862</v>
      </c>
      <c r="D55" s="23" t="s">
        <v>1542</v>
      </c>
    </row>
    <row r="56" spans="1:4" ht="29" customHeight="1" x14ac:dyDescent="0.35">
      <c r="A56" s="22">
        <v>52</v>
      </c>
      <c r="B56" s="23" t="s">
        <v>1544</v>
      </c>
      <c r="C56" s="23" t="s">
        <v>1863</v>
      </c>
      <c r="D56" s="23" t="s">
        <v>1551</v>
      </c>
    </row>
    <row r="57" spans="1:4" ht="41.5" customHeight="1" x14ac:dyDescent="0.35">
      <c r="A57" s="22">
        <v>53</v>
      </c>
      <c r="B57" s="23" t="s">
        <v>1566</v>
      </c>
      <c r="C57" s="23" t="s">
        <v>1864</v>
      </c>
      <c r="D57" s="23" t="s">
        <v>1572</v>
      </c>
    </row>
    <row r="58" spans="1:4" ht="41.5" customHeight="1" x14ac:dyDescent="0.35">
      <c r="A58" s="22">
        <v>54</v>
      </c>
      <c r="B58" s="23" t="s">
        <v>1404</v>
      </c>
      <c r="C58" s="23" t="s">
        <v>1865</v>
      </c>
      <c r="D58" s="23" t="s">
        <v>1411</v>
      </c>
    </row>
    <row r="59" spans="1:4" ht="41.5" customHeight="1" x14ac:dyDescent="0.35">
      <c r="A59" s="22">
        <v>55</v>
      </c>
      <c r="B59" s="23" t="s">
        <v>1234</v>
      </c>
      <c r="C59" s="23" t="s">
        <v>1866</v>
      </c>
      <c r="D59" s="23" t="s">
        <v>1241</v>
      </c>
    </row>
    <row r="60" spans="1:4" ht="54" customHeight="1" x14ac:dyDescent="0.35">
      <c r="A60" s="22">
        <v>56</v>
      </c>
      <c r="B60" s="23" t="s">
        <v>1490</v>
      </c>
      <c r="C60" s="23" t="s">
        <v>1867</v>
      </c>
      <c r="D60" s="23" t="s">
        <v>1496</v>
      </c>
    </row>
    <row r="61" spans="1:4" ht="54" customHeight="1" x14ac:dyDescent="0.35">
      <c r="A61" s="22">
        <v>57</v>
      </c>
      <c r="B61" s="23" t="s">
        <v>1520</v>
      </c>
      <c r="C61" s="23" t="s">
        <v>1868</v>
      </c>
      <c r="D61" s="23" t="s">
        <v>1526</v>
      </c>
    </row>
    <row r="62" spans="1:4" ht="41.5" customHeight="1" x14ac:dyDescent="0.35">
      <c r="A62" s="22">
        <v>58</v>
      </c>
      <c r="B62" s="23" t="s">
        <v>1339</v>
      </c>
      <c r="C62" s="23" t="s">
        <v>1869</v>
      </c>
      <c r="D62" s="23" t="s">
        <v>1346</v>
      </c>
    </row>
    <row r="63" spans="1:4" ht="54" customHeight="1" x14ac:dyDescent="0.35">
      <c r="A63" s="22">
        <v>59</v>
      </c>
      <c r="B63" s="23" t="s">
        <v>1451</v>
      </c>
      <c r="C63" s="23" t="s">
        <v>1870</v>
      </c>
      <c r="D63" s="23" t="s">
        <v>1458</v>
      </c>
    </row>
    <row r="64" spans="1:4" ht="54" customHeight="1" x14ac:dyDescent="0.35">
      <c r="A64" s="22">
        <v>60</v>
      </c>
      <c r="B64" s="23" t="s">
        <v>1504</v>
      </c>
      <c r="C64" s="23" t="s">
        <v>1871</v>
      </c>
      <c r="D64" s="23" t="s">
        <v>1510</v>
      </c>
    </row>
    <row r="65" spans="1:4" ht="54" customHeight="1" x14ac:dyDescent="0.35">
      <c r="A65" s="22">
        <v>61</v>
      </c>
      <c r="B65" s="23" t="s">
        <v>1527</v>
      </c>
      <c r="C65" s="23" t="s">
        <v>1872</v>
      </c>
      <c r="D65" s="23" t="s">
        <v>1534</v>
      </c>
    </row>
    <row r="66" spans="1:4" ht="29" customHeight="1" x14ac:dyDescent="0.35">
      <c r="A66" s="22">
        <v>62</v>
      </c>
      <c r="B66" s="23" t="s">
        <v>1573</v>
      </c>
      <c r="C66" s="23" t="s">
        <v>1873</v>
      </c>
      <c r="D66" s="23" t="s">
        <v>1579</v>
      </c>
    </row>
    <row r="67" spans="1:4" ht="54" customHeight="1" x14ac:dyDescent="0.35">
      <c r="A67" s="22">
        <v>63</v>
      </c>
      <c r="B67" s="23" t="s">
        <v>1428</v>
      </c>
      <c r="C67" s="23" t="s">
        <v>1874</v>
      </c>
      <c r="D67" s="23" t="s">
        <v>1435</v>
      </c>
    </row>
    <row r="68" spans="1:4" ht="54" customHeight="1" x14ac:dyDescent="0.35">
      <c r="A68" s="22">
        <v>64</v>
      </c>
      <c r="B68" s="23" t="s">
        <v>1275</v>
      </c>
      <c r="C68" s="23" t="s">
        <v>1875</v>
      </c>
      <c r="D68" s="23" t="s">
        <v>1281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00 How to use</vt:lpstr>
      <vt:lpstr>01 Search log</vt:lpstr>
      <vt:lpstr>02 Screening log</vt:lpstr>
      <vt:lpstr>03 Extraction matrix</vt:lpstr>
      <vt:lpstr>04 PRISMA counts</vt:lpstr>
      <vt:lpstr>05 Gaps register</vt:lpstr>
      <vt:lpstr>06 Technology comparison</vt:lpstr>
      <vt:lpstr>07 Reference 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 T</cp:lastModifiedBy>
  <dcterms:created xsi:type="dcterms:W3CDTF">2026-10-26T04:03:48Z</dcterms:created>
  <dcterms:modified xsi:type="dcterms:W3CDTF">2026-10-30T01:49:20Z</dcterms:modified>
</cp:coreProperties>
</file>