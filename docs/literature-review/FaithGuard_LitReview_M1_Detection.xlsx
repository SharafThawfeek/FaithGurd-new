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mohsh\AppData\Local\Temp\claude\C--Users-mohsh-Documents-Faithgurd\3138b89d-a9e8-4af8-b6b1-502fd4023457\scratchpad\docs-papers\out\"/>
    </mc:Choice>
  </mc:AlternateContent>
  <xr:revisionPtr revIDLastSave="0" documentId="13_ncr:1_{C82FE607-3AD4-4569-83A2-861C7808AFDD}" xr6:coauthVersionLast="47" xr6:coauthVersionMax="47" xr10:uidLastSave="{00000000-0000-0000-0000-000000000000}"/>
  <bookViews>
    <workbookView xWindow="-110" yWindow="-110" windowWidth="25820" windowHeight="15500" xr2:uid="{00000000-000D-0000-FFFF-FFFF00000000}"/>
  </bookViews>
  <sheets>
    <sheet name="00 How to use" sheetId="1" r:id="rId1"/>
    <sheet name="01 Search log" sheetId="2" r:id="rId2"/>
    <sheet name="02 Screening log" sheetId="3" r:id="rId3"/>
    <sheet name="03 Extraction matrix" sheetId="4" r:id="rId4"/>
    <sheet name="04 PRISMA counts" sheetId="5" r:id="rId5"/>
    <sheet name="05 Gaps register" sheetId="6" r:id="rId6"/>
    <sheet name="06 Technology comparison" sheetId="7" r:id="rId7"/>
    <sheet name="07 Reference list" sheetId="8" r:id="rId8"/>
  </sheets>
  <definedNames>
    <definedName name="_xlnm._FilterDatabase" localSheetId="2" hidden="1">'02 Screening log'!$A$4:$O$235</definedName>
    <definedName name="_xlnm._FilterDatabase" localSheetId="3" hidden="1">'03 Extraction matrix'!$A$4:$O$68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2" i="5" l="1"/>
  <c r="C41" i="5"/>
  <c r="C40" i="5"/>
  <c r="C39" i="5"/>
  <c r="C38" i="5"/>
  <c r="C37" i="5"/>
  <c r="C31" i="5"/>
  <c r="C30" i="5"/>
  <c r="C29" i="5"/>
  <c r="C28" i="5"/>
  <c r="C27" i="5"/>
  <c r="C32" i="5" s="1"/>
  <c r="C19" i="5"/>
  <c r="C18" i="5"/>
  <c r="C15" i="5"/>
  <c r="C13" i="5"/>
  <c r="C12" i="5"/>
  <c r="C11" i="5"/>
  <c r="C9" i="5"/>
  <c r="C7" i="5"/>
  <c r="C8" i="5" s="1"/>
  <c r="K235" i="3"/>
  <c r="K234" i="3"/>
  <c r="K233" i="3"/>
  <c r="K232" i="3"/>
  <c r="K231" i="3"/>
  <c r="K230" i="3"/>
  <c r="K229" i="3"/>
  <c r="K228" i="3"/>
  <c r="K227" i="3"/>
  <c r="K226" i="3"/>
  <c r="K225" i="3"/>
  <c r="K224" i="3"/>
  <c r="K223" i="3"/>
  <c r="K222" i="3"/>
  <c r="K221" i="3"/>
  <c r="K220" i="3"/>
  <c r="K219" i="3"/>
  <c r="K218" i="3"/>
  <c r="K217" i="3"/>
  <c r="K216" i="3"/>
  <c r="K215" i="3"/>
  <c r="K214" i="3"/>
  <c r="K213" i="3"/>
  <c r="K212" i="3"/>
  <c r="K211" i="3"/>
  <c r="K210" i="3"/>
  <c r="K209" i="3"/>
  <c r="K208" i="3"/>
  <c r="K207" i="3"/>
  <c r="K206" i="3"/>
  <c r="K205" i="3"/>
  <c r="K204" i="3"/>
  <c r="K203" i="3"/>
  <c r="K202" i="3"/>
  <c r="K201" i="3"/>
  <c r="K200" i="3"/>
  <c r="K199" i="3"/>
  <c r="K198" i="3"/>
  <c r="K197" i="3"/>
  <c r="K196" i="3"/>
  <c r="K195" i="3"/>
  <c r="K194" i="3"/>
  <c r="K193" i="3"/>
  <c r="K192" i="3"/>
  <c r="K191" i="3"/>
  <c r="K190" i="3"/>
  <c r="K189" i="3"/>
  <c r="K188" i="3"/>
  <c r="K187" i="3"/>
  <c r="K186" i="3"/>
  <c r="K185" i="3"/>
  <c r="K184" i="3"/>
  <c r="K183" i="3"/>
  <c r="K182" i="3"/>
  <c r="K181" i="3"/>
  <c r="K180" i="3"/>
  <c r="K179" i="3"/>
  <c r="K178" i="3"/>
  <c r="K177" i="3"/>
  <c r="K176" i="3"/>
  <c r="K175" i="3"/>
  <c r="K174" i="3"/>
  <c r="K173" i="3"/>
  <c r="K172" i="3"/>
  <c r="K171" i="3"/>
  <c r="K170" i="3"/>
  <c r="K169" i="3"/>
  <c r="K168" i="3"/>
  <c r="K167" i="3"/>
  <c r="K166" i="3"/>
  <c r="K165" i="3"/>
  <c r="K164" i="3"/>
  <c r="K163" i="3"/>
  <c r="K162" i="3"/>
  <c r="K161" i="3"/>
  <c r="K160" i="3"/>
  <c r="K159" i="3"/>
  <c r="K158" i="3"/>
  <c r="K157" i="3"/>
  <c r="K156" i="3"/>
  <c r="K155" i="3"/>
  <c r="K154" i="3"/>
  <c r="K153" i="3"/>
  <c r="K152" i="3"/>
  <c r="K151" i="3"/>
  <c r="K150" i="3"/>
  <c r="K149" i="3"/>
  <c r="K148" i="3"/>
  <c r="K147" i="3"/>
  <c r="K146" i="3"/>
  <c r="K145" i="3"/>
  <c r="K144" i="3"/>
  <c r="K143" i="3"/>
  <c r="K142" i="3"/>
  <c r="K141" i="3"/>
  <c r="K140" i="3"/>
  <c r="K139" i="3"/>
  <c r="K138" i="3"/>
  <c r="K137" i="3"/>
  <c r="K136" i="3"/>
  <c r="K135" i="3"/>
  <c r="K134" i="3"/>
  <c r="K133" i="3"/>
  <c r="K132" i="3"/>
  <c r="K131" i="3"/>
  <c r="K130" i="3"/>
  <c r="K129" i="3"/>
  <c r="K128" i="3"/>
  <c r="K127" i="3"/>
  <c r="K126" i="3"/>
  <c r="K125" i="3"/>
  <c r="K124" i="3"/>
  <c r="K123" i="3"/>
  <c r="K122" i="3"/>
  <c r="K121" i="3"/>
  <c r="K120" i="3"/>
  <c r="K119" i="3"/>
  <c r="K118" i="3"/>
  <c r="K117" i="3"/>
  <c r="K116" i="3"/>
  <c r="K115" i="3"/>
  <c r="K114" i="3"/>
  <c r="K113" i="3"/>
  <c r="K112" i="3"/>
  <c r="K111" i="3"/>
  <c r="K110" i="3"/>
  <c r="K109" i="3"/>
  <c r="K108" i="3"/>
  <c r="K107" i="3"/>
  <c r="K106" i="3"/>
  <c r="K105" i="3"/>
  <c r="K104" i="3"/>
  <c r="K103" i="3"/>
  <c r="K102" i="3"/>
  <c r="K101" i="3"/>
  <c r="K100" i="3"/>
  <c r="K99" i="3"/>
  <c r="K98" i="3"/>
  <c r="K97" i="3"/>
  <c r="K96" i="3"/>
  <c r="K95" i="3"/>
  <c r="K94" i="3"/>
  <c r="K93" i="3"/>
  <c r="K92" i="3"/>
  <c r="K91" i="3"/>
  <c r="K90" i="3"/>
  <c r="K89" i="3"/>
  <c r="K88" i="3"/>
  <c r="K87" i="3"/>
  <c r="K86" i="3"/>
  <c r="K85" i="3"/>
  <c r="K84" i="3"/>
  <c r="K83" i="3"/>
  <c r="K82" i="3"/>
  <c r="K81" i="3"/>
  <c r="K80" i="3"/>
  <c r="K79" i="3"/>
  <c r="K78" i="3"/>
  <c r="K77" i="3"/>
  <c r="K76" i="3"/>
  <c r="K75" i="3"/>
  <c r="K74" i="3"/>
  <c r="K73" i="3"/>
  <c r="K72" i="3"/>
  <c r="K71" i="3"/>
  <c r="K70" i="3"/>
  <c r="K69" i="3"/>
  <c r="K68" i="3"/>
  <c r="K67" i="3"/>
  <c r="K66" i="3"/>
  <c r="K65" i="3"/>
  <c r="K64" i="3"/>
  <c r="K63" i="3"/>
  <c r="K62" i="3"/>
  <c r="K61" i="3"/>
  <c r="K60" i="3"/>
  <c r="K59" i="3"/>
  <c r="K58" i="3"/>
  <c r="K57" i="3"/>
  <c r="K56" i="3"/>
  <c r="K55"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F28" i="2"/>
  <c r="E28" i="2"/>
  <c r="C22" i="5" l="1"/>
  <c r="C20" i="5"/>
  <c r="C10" i="5"/>
  <c r="C14" i="5"/>
  <c r="C16" i="5" s="1"/>
  <c r="C21" i="5" l="1"/>
  <c r="B20" i="1" s="1"/>
</calcChain>
</file>

<file path=xl/sharedStrings.xml><?xml version="1.0" encoding="utf-8"?>
<sst xmlns="http://schemas.openxmlformats.org/spreadsheetml/2006/main" count="3329" uniqueCount="1901">
  <si>
    <t>FaithGuard Literature Review Workbook - Member: Detection</t>
  </si>
  <si>
    <t>Member: M.L Ahamed  |  Component: Detection: Channel A learned span detector, Channel B rule checker, fused and calibrated score</t>
  </si>
  <si>
    <t>Review question: How can unsupported or wrong claims, especially numeric ones, be found in generated answers by checking them against source documents and tables, and how can a detector's threshold be calibrated with a guarantee?</t>
  </si>
  <si>
    <t>Note added 30 Oct 2026: this workbook was made with Claude (Anthropic) at the team's direction, and some cells were corrected; see 'Provenance and corrections' at the end of this sheet.</t>
  </si>
  <si>
    <t>Sheet</t>
  </si>
  <si>
    <t>What it is for</t>
  </si>
  <si>
    <t>Feeds</t>
  </si>
  <si>
    <t>01 Search log</t>
  </si>
  <si>
    <t>Every search exactly as run, with date, total hits and records exported; citation-chasing lookups listed separately</t>
  </si>
  <si>
    <t>04 PRISMA counts</t>
  </si>
  <si>
    <t>02 Screening log</t>
  </si>
  <si>
    <t>One row per record with title (P1), abstract (P2) and full-text (P3) decisions, exclusion reason and notes</t>
  </si>
  <si>
    <t>03, 04</t>
  </si>
  <si>
    <t>03 Extraction matrix</t>
  </si>
  <si>
    <t>Included studies: focus, setting, method, key results, authors' stated limitations, subtopic, free full-text route</t>
  </si>
  <si>
    <t>05, 06, 07</t>
  </si>
  <si>
    <t>PRISMA flow counts and exclusion reasons, all calculated by formula</t>
  </si>
  <si>
    <t>Report / slides</t>
  </si>
  <si>
    <t>05 Gaps register</t>
  </si>
  <si>
    <t>Gaps stated by authors and how FaithGuard addresses each (or not)</t>
  </si>
  <si>
    <t>Problem statement, novelty</t>
  </si>
  <si>
    <t>06 Technology comparison</t>
  </si>
  <si>
    <t>Alternatives, criteria and FaithGuard's provisional decision for each design choice</t>
  </si>
  <si>
    <t>Methodology chapter</t>
  </si>
  <si>
    <t>07 Reference list</t>
  </si>
  <si>
    <t>Full APA 7 references for every included study</t>
  </si>
  <si>
    <t>Report bibliography</t>
  </si>
  <si>
    <t>Colour key</t>
  </si>
  <si>
    <t>Pale yellow cells: You type here</t>
  </si>
  <si>
    <t>White cells with formulas: Calculated - do not overwrite</t>
  </si>
  <si>
    <t>Green INCLUDED cell: the record passed all three screening passes</t>
  </si>
  <si>
    <t>Golden rule</t>
  </si>
  <si>
    <t>Every included study has a verified peer-reviewed venue and a legal free full-text route (publisher open access, open proceedings, or the authors' own arXiv version), and every number in sheet 03 comes from the paper itself.</t>
  </si>
  <si>
    <t>Eligibility criteria</t>
  </si>
  <si>
    <t>Include (all must hold)</t>
  </si>
  <si>
    <t>I1. Peer-reviewed archival publication: journal article, or paper in conference or workshop proceedings.</t>
  </si>
  <si>
    <t>I2. Published from 1 January 2017 onwards (search filter).</t>
  </si>
  <si>
    <t>I3. Written in English.</t>
  </si>
  <si>
    <t>I4. A legal free full text exists: publisher open access, open proceedings (ACL Anthology, PMLR, NeurIPS, AAAI) or the authors' own version (arXiv).</t>
  </si>
  <si>
    <t>I5. Primary study, benchmark, method or survey that meets the member's scope below.</t>
  </si>
  <si>
    <t>Scope (in): Methods, benchmarks and surveys that check generated or claimed text against evidence (documents, tables, knowledge): hallucination, faithfulness and factual-consistency detection; fact verification including numerical and table claims; financial QA and claim verification; XBRL numeric tagging; calibration and certified thresholds for a classifier's decision (batch setting).</t>
  </si>
  <si>
    <t>Scope (out, applied at P1 and P2): Mitigation-only methods with no detection evaluated (decoding, fine-tuning, retrieval tricks); white-box detectors that need the generator's internal states or token probabilities (FaithGuard's checker must audit any generator); non-text modalities; domain-specific applications outside finance; accounting studies of XBRL adoption; online and non-exchangeable calibration (reviewed by Member 3).</t>
  </si>
  <si>
    <t>Full-text exclusion reasons (P3)</t>
  </si>
  <si>
    <t>E1. Not peer-reviewed: preprints and technical reports with no archival version found, non-archival workshop papers, and journals whose peer review cannot be verified (open-access journals not listed in DOAJ).</t>
  </si>
  <si>
    <t>E2. Outside date range: published before 2017.</t>
  </si>
  <si>
    <t>E3. Outside scope: fails the member's scope at full-text stage.</t>
  </si>
  <si>
    <t>E4. Free full text unavailable: subscription-only and no author version found (arXiv searched by title).</t>
  </si>
  <si>
    <t>E5. Duplicate/secondary version: another version (e.g. arXiv copy) of a paper already in the log.</t>
  </si>
  <si>
    <t>Subtopics</t>
  </si>
  <si>
    <t>A  Hallucination and faithfulness detection</t>
  </si>
  <si>
    <t>B  Span- and token-level detection</t>
  </si>
  <si>
    <t>C  Claim verification over tables and numbers</t>
  </si>
  <si>
    <t>D  Financial QA and document verification</t>
  </si>
  <si>
    <t>E  XBRL and financial numeric tagging</t>
  </si>
  <si>
    <t>F  Calibration and certified thresholds</t>
  </si>
  <si>
    <t>Method notes</t>
  </si>
  <si>
    <t>- Bounded review: each search exported the 25 most-cited records (OpenAlex order), and every exported record was screened.</t>
  </si>
  <si>
    <t>- Planned indexes were DBLP and Semantic Scholar; their APIs refused automated queries (bot check; HTTP 429), so OpenAlex was used for every search. OpenAlex indexes ACL Anthology, arXiv, ACM, IEEE, Springer and other publishers.</t>
  </si>
  <si>
    <t>- When a record was an arXiv copy, the peer-reviewed version was located (title lookups in sheet 01) and assessed; the venue was checked on the proceedings or publisher page, or with Crossref.</t>
  </si>
  <si>
    <t>- Citation chasing: backward (an included study cites the paper) or forward (the paper cites an included study); each link is given in sheet 02.</t>
  </si>
  <si>
    <t>- Peer-review check for open-access journals: listing in DOAJ.</t>
  </si>
  <si>
    <t>- Screening by one reviewer; a second reader should re-check a sample of P1 and P2 decisions (record who in column M).</t>
  </si>
  <si>
    <t>Provenance and corrections (added 30 Oct 2026)</t>
  </si>
  <si>
    <t>- Who made it. Claude (Anthropic) ran the OpenAlex searches in sheet 01 as automated API queries on 25 Oct 2026, screened the records in sheet 02, filled sheets 03 to 07 and wrote this workbook with a script, at the team's direction (commit bf55341, 26 Oct 2026, which carries a Co-Authored-By: Claude line). The member named in row 3 is the paper's lead author. No second reader of the screening is recorded (see the last method note above).</t>
  </si>
  <si>
    <t>- Shared lookups. The citation-chasing lookup CC-01 is the same row in all three workbooks (detection, repair, policy), and CC-02 in the detection and repair workbooks: one set of lookups served all three.</t>
  </si>
  <si>
    <t>- Corrected cells. On 30 Oct 2026 these cells were corrected because the project's record (docs/decision-log.md and the papers) does not support them; the old text is kept here. sheet '05 Gaps register', cell E9, said: "Benchmark items record a second human reader (checked_by) before use."; sheet '06 Technology comparison', cell D6, said: "Need exact, explainable checks of figures in filings. Decision: deterministic rule checker over XBRL facts and tables (Channel B) alongside the learned detector."</t>
  </si>
  <si>
    <t>- Other cells. Every other cell in sheets 05 and 06 is left as written on 26 Oct 2026 and records the design as planned then; where it differs from the decision log, the log holds. Since 26 Oct the benchmark's labels, the second reading of its questions and every check were made by blind Claude passes, not people (D-103).</t>
  </si>
  <si>
    <t>01 - Search log: Detection</t>
  </si>
  <si>
    <t>Every search below was run as written on the date shown. Database searches used the OpenAlex works API (filter title_and_abstract.search, publication date from 2017-01-01, sorted by citation count, first 25 records exported). DBLP's API answered with a bot check and the Semantic Scholar API with HTTP 429 (rate limit), so OpenAlex, which indexes ACL Anthology, arXiv, ACM, IEEE, Springer and other publishers, was used for all searches.</t>
  </si>
  <si>
    <t>#</t>
  </si>
  <si>
    <t>Database</t>
  </si>
  <si>
    <t>Search string (exactly as run)</t>
  </si>
  <si>
    <t>Date run</t>
  </si>
  <si>
    <t>Results (total hits)</t>
  </si>
  <si>
    <t>Records exported for screening</t>
  </si>
  <si>
    <t>Notes / filters applied</t>
  </si>
  <si>
    <t>M1-01</t>
  </si>
  <si>
    <t>OpenAlex (works API)</t>
  </si>
  <si>
    <t>"hallucination detection" AND ("retrieval-augmented" OR RAG)</t>
  </si>
  <si>
    <t>2026-10-25</t>
  </si>
  <si>
    <t>title_and_abstract.search; from_publication_date:2017-01-01; sort cited_by_count desc; per-page 25</t>
  </si>
  <si>
    <t>M1-02</t>
  </si>
  <si>
    <t>hallucination AND ("token-level" OR "span-level") AND detection</t>
  </si>
  <si>
    <t>M1-03</t>
  </si>
  <si>
    <t>"factual consistency" AND (evaluation OR detection) AND (entailment OR NLI)</t>
  </si>
  <si>
    <t>M1-04</t>
  </si>
  <si>
    <t>"fact verification" AND (table OR tabular)</t>
  </si>
  <si>
    <t>M1-05</t>
  </si>
  <si>
    <t>(financial OR finance) AND ("claim verification" OR "fact-checking" OR "hallucination")</t>
  </si>
  <si>
    <t>M1-06</t>
  </si>
  <si>
    <t>XBRL AND ("language model" OR "natural language processing" OR tagging)</t>
  </si>
  <si>
    <t>M1-07</t>
  </si>
  <si>
    <t>"numerical claims" AND ("fact-checking" OR verification)</t>
  </si>
  <si>
    <t>M1-08</t>
  </si>
  <si>
    <t>("risk control" OR "risk-controlling") AND (conformal OR "distribution-free")</t>
  </si>
  <si>
    <t>TOTAL RECORDS IDENTIFIED</t>
  </si>
  <si>
    <t>Citation-chasing lookups (other methods; not counted as database identification)</t>
  </si>
  <si>
    <t>Records returned</t>
  </si>
  <si>
    <t>Purpose</t>
  </si>
  <si>
    <t>CC-01</t>
  </si>
  <si>
    <t>SelfCheckGPT OR FActScore OR HaluEval OR MiniCheck OR SummaC OR FinQA OR FinDVer OR "Learn then Test" OR "On Calibration of Modern Neural Networks" OR "Conformal Factuality Guarantees"</t>
  </si>
  <si>
    <t>title.search; sort cited_by_count desc; per-page 50. Exact-title lookup to locate citation-chased papers and published versions</t>
  </si>
  <si>
    <t>CC-02</t>
  </si>
  <si>
    <t>"Survey of Hallucination in Natural Language Generation" OR RAGTruth OR "Fine-grained Hallucination Detection and Editing" OR "Re-evaluating Factual Consistency Evaluation" OR TabFact OR FEVEROUS OR "TAT-QA" OR ConvFinQA OR "TAT-LLM"</t>
  </si>
  <si>
    <t>02 - Screening log: Detection</t>
  </si>
  <si>
    <t>One row per unique record. P1 = title pass, P2 = abstract pass (title and venue when no abstract was indexed), P3 = full-text pass. Type KEEP or DROP; the INCLUDED column is a formula. Database records are numbered in search order; citation-chased records follow.</t>
  </si>
  <si>
    <t>Title</t>
  </si>
  <si>
    <t>First author</t>
  </si>
  <si>
    <t>Year</t>
  </si>
  <si>
    <t>Venue</t>
  </si>
  <si>
    <t>Database / index searched</t>
  </si>
  <si>
    <t>P1 Title</t>
  </si>
  <si>
    <t>P2 Abstract</t>
  </si>
  <si>
    <t>P3 Full text</t>
  </si>
  <si>
    <t>Exclusion reason (P3)</t>
  </si>
  <si>
    <t>INCLUDED</t>
  </si>
  <si>
    <t>Route</t>
  </si>
  <si>
    <t>Screening note</t>
  </si>
  <si>
    <t>OpenAlex ID</t>
  </si>
  <si>
    <t>DOI / link</t>
  </si>
  <si>
    <t>A Survey on Hallucination in Large Language Models: Principles, Taxonomy, Challenges, and Open Questions</t>
  </si>
  <si>
    <t>Lei Huang</t>
  </si>
  <si>
    <t>ACM TOIS 43(2)</t>
  </si>
  <si>
    <t>OpenAlex: M1-01</t>
  </si>
  <si>
    <t>KEEP</t>
  </si>
  <si>
    <t>Database search</t>
  </si>
  <si>
    <t>W4404534210</t>
  </si>
  <si>
    <t>https://doi.org/10.1145/3703155</t>
  </si>
  <si>
    <t>RAG-HAT: A Hallucination-Aware Tuning Pipeline for LLM in Retrieval-Augmented Generation</t>
  </si>
  <si>
    <t>Juntong Song</t>
  </si>
  <si>
    <t>Conference on Empirical Methods in Natural Language Processing: Industry Track (EMNLP)</t>
  </si>
  <si>
    <t>DROP</t>
  </si>
  <si>
    <t>Mitigation or generation method; no detection evaluated (hallucination-aware fine-tuning pipeline)</t>
  </si>
  <si>
    <t>W4404783652</t>
  </si>
  <si>
    <t>https://doi.org/10.18653/v1/2024.emnlp-industry.113</t>
  </si>
  <si>
    <t>Citation-Enhanced Generation for LLM-based Chatbots</t>
  </si>
  <si>
    <t>Weitao Li</t>
  </si>
  <si>
    <t>Annual Meeting of the Association for Computational Linguistics (ACL)</t>
  </si>
  <si>
    <t>Mitigation or generation method; no detection evaluated (citation generation)</t>
  </si>
  <si>
    <t>W4402671914</t>
  </si>
  <si>
    <t>https://doi.org/10.18653/v1/2024.acl-long.79</t>
  </si>
  <si>
    <t>A scalable framework for evaluating multiple language models through cross-domain generation and hallucination detection</t>
  </si>
  <si>
    <t>Sorup Chakraborty</t>
  </si>
  <si>
    <t>Scientific Reports</t>
  </si>
  <si>
    <t>Benchmarks generator LLMs across domains; hallucination detection is only a metric, not evaluated as a method</t>
  </si>
  <si>
    <t>W4413269875</t>
  </si>
  <si>
    <t>https://doi.org/10.1038/s41598-025-15203-5</t>
  </si>
  <si>
    <t>AI Overview Capture Registry — Batch 1, June 2026 (EA-WG-CAPTURES-01 v1.0)</t>
  </si>
  <si>
    <t>Lee Sharks</t>
  </si>
  <si>
    <t>Zenodo</t>
  </si>
  <si>
    <t>Not a research study: data registry on Zenodo</t>
  </si>
  <si>
    <t>W7164760417</t>
  </si>
  <si>
    <t>https://doi.org/10.5281/zenodo.20683855</t>
  </si>
  <si>
    <t>Fine-grained Hallucination Detection and Editing for Language Models</t>
  </si>
  <si>
    <t>Abhika Mishra</t>
  </si>
  <si>
    <t>COLM 2024</t>
  </si>
  <si>
    <t>W4391013695</t>
  </si>
  <si>
    <t>https://doi.org/10.48550/arxiv.2401.06855</t>
  </si>
  <si>
    <t>Mitigating hallucinations in healthcare AI: a systematic review of evidence-based strategies</t>
  </si>
  <si>
    <t>Sanjay Basu</t>
  </si>
  <si>
    <t>BMC Health Services Research</t>
  </si>
  <si>
    <t>Domain-specific application outside finance: healthcare (mitigation review)</t>
  </si>
  <si>
    <t>W7163771632</t>
  </si>
  <si>
    <t>https://doi.org/10.1186/s12913-026-14851-1</t>
  </si>
  <si>
    <t>Lrp4rag: Detecting Hallucinations in Retrieval-Augmented Generation Via Layer-Wise Relevance Propagation</t>
  </si>
  <si>
    <t>Haichuan Hu</t>
  </si>
  <si>
    <t>SSRN Electronic Journal</t>
  </si>
  <si>
    <t>White-box: needs the generator's internal states (layer-wise relevance propagation; no abstract, decided on title)</t>
  </si>
  <si>
    <t>W4409352943</t>
  </si>
  <si>
    <t>https://doi.org/10.2139/ssrn.5199254</t>
  </si>
  <si>
    <t>RAGTruth: A Hallucination Corpus for Developing Trustworthy Retrieval-Augmented Language Models</t>
  </si>
  <si>
    <t>Cheng Niu</t>
  </si>
  <si>
    <t>ACL 2024 (Long Papers)</t>
  </si>
  <si>
    <t>Record is the arXiv version; the peer-reviewed version was assessed</t>
  </si>
  <si>
    <t>W4390528749</t>
  </si>
  <si>
    <t>https://doi.org/10.48550/arxiv.2401.00396</t>
  </si>
  <si>
    <t>Chainpoll: A high efficacy method for LLM hallucination detection</t>
  </si>
  <si>
    <t>Friel, Robert</t>
  </si>
  <si>
    <t>arXiv preprint</t>
  </si>
  <si>
    <t>Not peer-reviewed</t>
  </si>
  <si>
    <t>arXiv preprint (2023); no peer-reviewed version found</t>
  </si>
  <si>
    <t>W4388092399</t>
  </si>
  <si>
    <t>https://doi.org/10.48550/arxiv.2310.18344</t>
  </si>
  <si>
    <t>Rowen: Adaptive Retrieval-Augmented Generation for Hallucination Mitigation in LLMs</t>
  </si>
  <si>
    <t>Hanxing Ding</t>
  </si>
  <si>
    <t>Annual International ACM SIGIR Conference on Research and Development in Information Retrieval in the Asia Pacific Region (SIGIR-AP)</t>
  </si>
  <si>
    <t>Mitigation or generation method; no detection evaluated (adaptive retrieval)</t>
  </si>
  <si>
    <t>W7108320559</t>
  </si>
  <si>
    <t>https://doi.org/10.1145/3767695.3769500</t>
  </si>
  <si>
    <t>Lynx: An Open Source Hallucination Evaluation Model</t>
  </si>
  <si>
    <t>Ravi, Selvan Sunitha</t>
  </si>
  <si>
    <t>arXiv preprint (2024); no peer-reviewed version found</t>
  </si>
  <si>
    <t>W4400611869</t>
  </si>
  <si>
    <t>https://doi.org/10.48550/arxiv.2407.08488</t>
  </si>
  <si>
    <t>ReDeEP: Detecting Hallucination in Retrieval-Augmented Generation via Mechanistic Interpretability</t>
  </si>
  <si>
    <t>Zhongxiang Sun</t>
  </si>
  <si>
    <t>White-box: needs the generator's internal states (mechanistic interpretability)</t>
  </si>
  <si>
    <t>W4403574069</t>
  </si>
  <si>
    <t>https://doi.org/10.48550/arxiv.2410.11414</t>
  </si>
  <si>
    <t>ChemLit-QA: a human evaluated dataset for chemistry RAG tasks</t>
  </si>
  <si>
    <t>Geemi P. Wellawatte</t>
  </si>
  <si>
    <t>Machine Learning Science and Technology</t>
  </si>
  <si>
    <t>Domain-specific application outside finance: chemistry QA dataset</t>
  </si>
  <si>
    <t>W4408605330</t>
  </si>
  <si>
    <t>https://doi.org/10.1088/2632-2153/adc2d6</t>
  </si>
  <si>
    <t>RaDIO: Real-Time Hallucination Detection with Contextual Index Optimized Query Formulation for Dynamic Retrieval Augmented Generation</t>
  </si>
  <si>
    <t>Jia Zhu</t>
  </si>
  <si>
    <t>Proceedings of the AAAI Conference on Artificial Intelligence</t>
  </si>
  <si>
    <t>Detection only triggers retrieval inside the generation loop (mitigation)</t>
  </si>
  <si>
    <t>W4409362638</t>
  </si>
  <si>
    <t>https://doi.org/10.1609/aaai.v39i24.34809</t>
  </si>
  <si>
    <t>LLM-Based Automated Hallucination Detection in Multilingual Customer Service RAG Applications</t>
  </si>
  <si>
    <t>N.R. Patel</t>
  </si>
  <si>
    <t>IFIP advances in information and communication technology</t>
  </si>
  <si>
    <t>Domain-specific application outside finance: customer-service deployment</t>
  </si>
  <si>
    <t>W4411531956</t>
  </si>
  <si>
    <t>https://doi.org/10.1007/978-3-031-96235-6_26</t>
  </si>
  <si>
    <t>Efficient Dynamic Clustering-Based Document Compression for Retrieval-Augmented-Generation</t>
  </si>
  <si>
    <t>Conference-paper</t>
  </si>
  <si>
    <t>Off-topic: document compression for RAG</t>
  </si>
  <si>
    <t>W4416034634</t>
  </si>
  <si>
    <t>https://doi.org/10.18653/v1/2025.findings-emnlp.522</t>
  </si>
  <si>
    <t>Mitigating Hallucinations in AI</t>
  </si>
  <si>
    <t>Poonam C. Sharma</t>
  </si>
  <si>
    <t>Advances in computational intelligence and robotics book series</t>
  </si>
  <si>
    <t>Not a research study: book chapter on mitigation</t>
  </si>
  <si>
    <t>W7160539097</t>
  </si>
  <si>
    <t>https://doi.org/10.4018/979-8-3373-7320-1.ch012</t>
  </si>
  <si>
    <t>A framework for hallucination mitigation in domain-specialized large language models with application to aviation maintenance decision support</t>
  </si>
  <si>
    <t>Xuanting Lu</t>
  </si>
  <si>
    <t>Information Processing &amp; Management</t>
  </si>
  <si>
    <t>Domain-specific application outside finance: aviation maintenance (mitigation)</t>
  </si>
  <si>
    <t>W7141989338</t>
  </si>
  <si>
    <t>https://doi.org/10.1016/j.ipm.2026.104762</t>
  </si>
  <si>
    <t>Learned Hallucination Detection in Black-Box LLMs Using Token-Level Entropy Production Rate</t>
  </si>
  <si>
    <t>Charles Moslonka</t>
  </si>
  <si>
    <t>Lecture notes in computer science</t>
  </si>
  <si>
    <t>OpenAlex: M1-01, M1-02</t>
  </si>
  <si>
    <t>Needs the generator's token probabilities (token-level entropy; no abstract, decided on title)</t>
  </si>
  <si>
    <t>W7140082075</t>
  </si>
  <si>
    <t>https://doi.org/10.1007/978-3-032-21289-4_8</t>
  </si>
  <si>
    <t>Relational reasoning image captioning via multi-agent retrieval-augmented generation</t>
  </si>
  <si>
    <t>Aiwen Jiang</t>
  </si>
  <si>
    <t>Knowledge-Based Systems</t>
  </si>
  <si>
    <t>Non-text modality: image captioning</t>
  </si>
  <si>
    <t>W4417027849</t>
  </si>
  <si>
    <t>https://doi.org/10.1016/j.knosys.2025.114977</t>
  </si>
  <si>
    <t>Turk-LettuceDetect: A Hallucination Detection Model for Turkish RAG Applications</t>
  </si>
  <si>
    <t>Selva Taş</t>
  </si>
  <si>
    <t>IEEE FLLM 2025</t>
  </si>
  <si>
    <t>W7130593875</t>
  </si>
  <si>
    <t>https://doi.org/10.1109/fllm67465.2025.11390913</t>
  </si>
  <si>
    <t>Attention Mapping for Hallucination Reduction in Arabic Financial Using Retrieval-Augmented Generation Systems</t>
  </si>
  <si>
    <t>Hasan A. Hasan</t>
  </si>
  <si>
    <t>Journal of Intelligent Informatics Networking and Cybersecurity</t>
  </si>
  <si>
    <t>Mitigation or generation method; no detection evaluated (attention mapping)</t>
  </si>
  <si>
    <t>W4416917045</t>
  </si>
  <si>
    <t>https://doi.org/10.65445/3106-1192.1006</t>
  </si>
  <si>
    <t>A Unified Framework for Mitigating Hallucinations in Large Language Models: Integrating Internal and External Validation Strategies</t>
  </si>
  <si>
    <t>Akshay Mittal</t>
  </si>
  <si>
    <t>Mitigation or generation method; no detection evaluated (mitigation framework)</t>
  </si>
  <si>
    <t>W4417003022</t>
  </si>
  <si>
    <t>https://doi.org/10.1109/uemcon67449.2025.11267527</t>
  </si>
  <si>
    <t>Hallucination Detection with Small Language Models</t>
  </si>
  <si>
    <t>Ming Cheung</t>
  </si>
  <si>
    <t>IEEE ICDE Workshops 2025</t>
  </si>
  <si>
    <t>W4413461262</t>
  </si>
  <si>
    <t>https://doi.org/10.1109/icdew67478.2025.00033</t>
  </si>
  <si>
    <t>A Token-level Reference-free Hallucination Detection Benchmark for Free-form Text Generation</t>
  </si>
  <si>
    <t>Tianyu Liu</t>
  </si>
  <si>
    <t>ACL 2022 (Long Papers)</t>
  </si>
  <si>
    <t>OpenAlex: M1-02</t>
  </si>
  <si>
    <t>W3155332104</t>
  </si>
  <si>
    <t>https://doi.org/10.18653/v1/2022.acl-long.464</t>
  </si>
  <si>
    <t>KCTS: Knowledge-Constrained Tree Search Decoding with Token-Level Hallucination Detection</t>
  </si>
  <si>
    <t>Se-Hyun Choi</t>
  </si>
  <si>
    <t>Conference on Empirical Methods in Natural Language Processing (EMNLP)</t>
  </si>
  <si>
    <t>Mitigation or generation method; no detection evaluated (decoding-time search)</t>
  </si>
  <si>
    <t>W4389519596</t>
  </si>
  <si>
    <t>https://doi.org/10.18653/v1/2023.emnlp-main.867</t>
  </si>
  <si>
    <t>Duplicate/secondary version</t>
  </si>
  <si>
    <t>arXiv version of HADES (ACL 2022, record 26)</t>
  </si>
  <si>
    <t>W4296300649</t>
  </si>
  <si>
    <t>https://doi.org/10.48550/arxiv.2104.08704</t>
  </si>
  <si>
    <t>Analyzing LLM Behavior in Dialogue Summarization: Unveiling Circumstantial Hallucination Trends</t>
  </si>
  <si>
    <t>Sanjana Ramprasad</t>
  </si>
  <si>
    <t>W4402672049</t>
  </si>
  <si>
    <t>https://doi.org/10.18653/v1/2024.acl-long.677</t>
  </si>
  <si>
    <t>Do Androids Know They’re Only Dreaming of Electric Sheep?</t>
  </si>
  <si>
    <t>Sky CH-Wang</t>
  </si>
  <si>
    <t>White-box: needs the generator's internal states (probes on internal representations)</t>
  </si>
  <si>
    <t>W4402670439</t>
  </si>
  <si>
    <t>https://doi.org/10.18653/v1/2024.findings-acl.260</t>
  </si>
  <si>
    <t>HalLoc: Token-level Localization of Hallucinations for Vision Language Models</t>
  </si>
  <si>
    <t>EunKyu Park</t>
  </si>
  <si>
    <t>IEEE Computer Society Conference on Computer Vision and Pattern Recognition/Proceedings - IEEE Computer Society Conference on Computer Vision and Pattern Recognition/Proceedings</t>
  </si>
  <si>
    <t>Non-text modality: vision-language models</t>
  </si>
  <si>
    <t>W4413146493</t>
  </si>
  <si>
    <t>https://doi.org/10.1109/cvpr52734.2025.02782</t>
  </si>
  <si>
    <t>Quantifying Factual Divergence in Generative Models: SHAP-LIME Based Hallucination Score for LLMs</t>
  </si>
  <si>
    <t>Ijazul Haq</t>
  </si>
  <si>
    <t>Multimedia Systems</t>
  </si>
  <si>
    <t>Free full text unavailable</t>
  </si>
  <si>
    <t>Springer subscription article; no author version found on arXiv</t>
  </si>
  <si>
    <t>W7128010324</t>
  </si>
  <si>
    <t>https://doi.org/10.1007/s00530-025-02150-4</t>
  </si>
  <si>
    <t>Mitigating LLM Hallucination Snowballing in Multiagent Systems via Context-Aware Semantic Consistency Reasoning</t>
  </si>
  <si>
    <t>Xijian Xu</t>
  </si>
  <si>
    <t>IEEE Transactions on Neural Networks and Learning Systems</t>
  </si>
  <si>
    <t>Mitigation or generation method; no detection evaluated (multi-agent systems)</t>
  </si>
  <si>
    <t>W7125906888</t>
  </si>
  <si>
    <t>https://doi.org/10.1109/tnnls.2026.3655508</t>
  </si>
  <si>
    <t>HaluGNN: Hallucination detection in large language models using graph neural network</t>
  </si>
  <si>
    <t>Linggang Kong</t>
  </si>
  <si>
    <t>Expert Systems with Applications</t>
  </si>
  <si>
    <t>Elsevier subscription article; no author version found on arXiv</t>
  </si>
  <si>
    <t>W7117319847</t>
  </si>
  <si>
    <t>https://doi.org/10.1016/j.eswa.2025.130857</t>
  </si>
  <si>
    <t>Unsupervised Token-level Hallucination Detection from Summary Generation By-products</t>
  </si>
  <si>
    <t>Andreas Marfurt</t>
  </si>
  <si>
    <t>White-box: needs the generator's internal states (the summariser's own generation by-products)</t>
  </si>
  <si>
    <t>W4385573613</t>
  </si>
  <si>
    <t>https://doi.org/10.18653/v1/2022.gem-1.21</t>
  </si>
  <si>
    <t>Theoretical Foundations and Mitigation of Hallucination in Large Language Models</t>
  </si>
  <si>
    <t>Esmail Gumaan</t>
  </si>
  <si>
    <t>Mitigation or generation method; no detection evaluated (theory and mitigation)</t>
  </si>
  <si>
    <t>W4414930427</t>
  </si>
  <si>
    <t>https://doi.org/10.48550/arxiv.2507.22915</t>
  </si>
  <si>
    <t>LettuceDetect: A Hallucination Detection Framework for RAG Applications</t>
  </si>
  <si>
    <t>Kovács, Ádám</t>
  </si>
  <si>
    <t>arXiv preprint (6 pages); kept as background in sheet 06</t>
  </si>
  <si>
    <t>W4414848608</t>
  </si>
  <si>
    <t>https://doi.org/10.48550/arxiv.2502.17125</t>
  </si>
  <si>
    <t>MetaToken: Detecting Hallucination in Image Descriptions by Meta Classification</t>
  </si>
  <si>
    <t>Laura Fieback</t>
  </si>
  <si>
    <t>International Joint Conference on Computer Vision, Imaging and Computer Graphics Theory and Applications (VISIGRAPP)</t>
  </si>
  <si>
    <t>Non-text modality: image descriptions</t>
  </si>
  <si>
    <t>W4408111725</t>
  </si>
  <si>
    <t>https://doi.org/10.5220/0013165700003912</t>
  </si>
  <si>
    <t>When Models Lie, We Learn: Multilingual Span-Level Hallucination Detection with PsiloQA</t>
  </si>
  <si>
    <t>Elisei Rykov</t>
  </si>
  <si>
    <t>Findings of EMNLP 2025</t>
  </si>
  <si>
    <t>W4416034343</t>
  </si>
  <si>
    <t>https://doi.org/10.18653/v1/2025.findings-emnlp.626</t>
  </si>
  <si>
    <t>Confidence-weighted semantic entropy: A robust framework for hallucination detection and uncertainty estimation in large language models</t>
  </si>
  <si>
    <t>Zhipeng Wang</t>
  </si>
  <si>
    <t>Neurocomputing</t>
  </si>
  <si>
    <t>W7203717763</t>
  </si>
  <si>
    <t>https://doi.org/10.1016/j.neucom.2026.134859</t>
  </si>
  <si>
    <t>Detecting Hallucinations in Retrieval-Augmented Generation via Semantic-level Internal Reasoning Graph</t>
  </si>
  <si>
    <t>Jianpeng Hu</t>
  </si>
  <si>
    <t>White-box: needs the generator's internal states (relevance propagation over internal reasoning)</t>
  </si>
  <si>
    <t>W7166840430</t>
  </si>
  <si>
    <t>https://doi.org/10.18653/v1/2026.findings-acl.1385</t>
  </si>
  <si>
    <t>Learning to Reason for Hallucination Span Detection</t>
  </si>
  <si>
    <t>Su, Hsuan</t>
  </si>
  <si>
    <t>ICLR 2026</t>
  </si>
  <si>
    <t>W4414821065</t>
  </si>
  <si>
    <t>https://doi.org/10.48550/arxiv.2510.02173</t>
  </si>
  <si>
    <t>Integrating Token-Level Uncertainty, Bidirectional NLI, and Semantic Entropy for Robust Hallucination Detection in Large Language Models</t>
  </si>
  <si>
    <t>Shalini Raghuvanshi</t>
  </si>
  <si>
    <t>Needs the generator's token probabilities (averaged log-likelihoods)</t>
  </si>
  <si>
    <t>W4415709332</t>
  </si>
  <si>
    <t>https://doi.org/10.1109/icaiet65052.2025.11211393</t>
  </si>
  <si>
    <t>The Impact of Negated Text on Hallucination with Large Language Models</t>
  </si>
  <si>
    <t>Jaehyung Seo</t>
  </si>
  <si>
    <t>EMNLP 2025 (Main)</t>
  </si>
  <si>
    <t>W4416036295</t>
  </si>
  <si>
    <t>https://doi.org/10.18653/v1/2025.emnlp-main.684</t>
  </si>
  <si>
    <t>AG Metric Benchmark</t>
  </si>
  <si>
    <t>Anonymous</t>
  </si>
  <si>
    <t>Not a research study: benchmark files on Zenodo</t>
  </si>
  <si>
    <t>W7223202947</t>
  </si>
  <si>
    <t>https://doi.org/10.5281/zenodo.23572893</t>
  </si>
  <si>
    <t>DETECTING AND MITIGATING HALLUCINATIONS IN LARGE LANGUAGE MODELS: A REVIEW OF UNCERTAINTY, EVIDENCE GROUNDING, AND AGENTIC WORKFLOWS</t>
  </si>
  <si>
    <t>Anindya Singh</t>
  </si>
  <si>
    <t>IJARCCE</t>
  </si>
  <si>
    <t>Peer review not verifiable: open-access journal not listed in DOAJ</t>
  </si>
  <si>
    <t>W7223013490</t>
  </si>
  <si>
    <t>https://doi.org/10.17148/ijarcce.2026.151059</t>
  </si>
  <si>
    <t>SHAM-Bench: A Span-level Hallucination Benchmark Across Multiple Tasks</t>
  </si>
  <si>
    <t>Sicong Huang</t>
  </si>
  <si>
    <t>arXiv preprint (2026); no peer-reviewed version found</t>
  </si>
  <si>
    <t>W7223081911</t>
  </si>
  <si>
    <t>https://doi.org/10.48550/arxiv.2610.27370</t>
  </si>
  <si>
    <t>A Meta-study of Hallucination Detection Across Provenance, Typology, and Granularities</t>
  </si>
  <si>
    <t>Julia Belikova</t>
  </si>
  <si>
    <t>Springer LNCS chapter; no author version found on arXiv</t>
  </si>
  <si>
    <t>W7222108177</t>
  </si>
  <si>
    <t>https://doi.org/10.1007/978-3-032-41546-2_17</t>
  </si>
  <si>
    <t>Towards Mitigating LLM Hallucination via Self Reflection</t>
  </si>
  <si>
    <t>Ziwei Ji</t>
  </si>
  <si>
    <t>OpenAlex: M1-03</t>
  </si>
  <si>
    <t>Mitigation or generation method; no detection evaluated (self-reflection)</t>
  </si>
  <si>
    <t>W4389519928</t>
  </si>
  <si>
    <t>https://doi.org/10.18653/v1/2023.findings-emnlp.123</t>
  </si>
  <si>
    <t>Q2: : Evaluating Factual Consistency in Knowledge-Grounded Dialogues via Question Generation and Question Answering</t>
  </si>
  <si>
    <t>Or Honovich</t>
  </si>
  <si>
    <t>EMNLP 2021 (Main)</t>
  </si>
  <si>
    <t>W3153947101</t>
  </si>
  <si>
    <t>https://doi.org/10.18653/v1/2021.emnlp-main.619</t>
  </si>
  <si>
    <t>AlignScore: Evaluating Factual Consistency with A Unified Alignment Function</t>
  </si>
  <si>
    <t>Yuheng Zha</t>
  </si>
  <si>
    <t>ACL 2023 (Long Papers)</t>
  </si>
  <si>
    <t>W4385572448</t>
  </si>
  <si>
    <t>https://doi.org/10.18653/v1/2023.acl-long.634</t>
  </si>
  <si>
    <t>TrueTeacher: Learning Factual Consistency Evaluation with Large Language Models</t>
  </si>
  <si>
    <t>Zorik Gekhman</t>
  </si>
  <si>
    <t>EMNLP 2023 (Main)</t>
  </si>
  <si>
    <t>W4389519430</t>
  </si>
  <si>
    <t>https://doi.org/10.18653/v1/2023.emnlp-main.127</t>
  </si>
  <si>
    <t>Multilingual Summarization with Factual Consistency Evaluation</t>
  </si>
  <si>
    <t>Roee Aharoni</t>
  </si>
  <si>
    <t>Uses existing consistency models to filter data and control generation (mitigation); no new detector</t>
  </si>
  <si>
    <t>W4385570231</t>
  </si>
  <si>
    <t>https://doi.org/10.18653/v1/2023.findings-acl.220</t>
  </si>
  <si>
    <t>Towards Mitigating Hallucination in Large Language Models via Self-Reflection</t>
  </si>
  <si>
    <t>W4387560883</t>
  </si>
  <si>
    <t>https://doi.org/10.48550/arxiv.2310.06271</t>
  </si>
  <si>
    <t>TRUE: Re-evaluating Factual Consistency Evaluation</t>
  </si>
  <si>
    <t>NAACL-HLT 2022 (Main)</t>
  </si>
  <si>
    <t>W4229019162</t>
  </si>
  <si>
    <t>https://doi.org/10.48550/arxiv.2204.04991</t>
  </si>
  <si>
    <t>Utilizing GPT to Enhance Text Summarization: A Strategy to Minimize Hallucinations</t>
  </si>
  <si>
    <t>Hassan Shakil</t>
  </si>
  <si>
    <t>Procedia Computer Science</t>
  </si>
  <si>
    <t>Mitigation or generation method; no detection evaluated (summarisation prompting)</t>
  </si>
  <si>
    <t>W4403768626</t>
  </si>
  <si>
    <t>https://doi.org/10.1016/j.procs.2024.10.197</t>
  </si>
  <si>
    <t>SWING: Balancing Coverage and Faithfulness for Dialogue Summarization</t>
  </si>
  <si>
    <t>Kung-Hsiang Huang</t>
  </si>
  <si>
    <t>Findings of the Association for Computational Linguistics: EACL</t>
  </si>
  <si>
    <t>Mitigation or generation method; no detection evaluated (summarisation training)</t>
  </si>
  <si>
    <t>W4386566433</t>
  </si>
  <si>
    <t>https://doi.org/10.18653/v1/2023.findings-eacl.37</t>
  </si>
  <si>
    <t>Just ClozE! A Novel Framework for Evaluating the Factual Consistency Faster in Abstractive Summarization</t>
  </si>
  <si>
    <t>Yiyang Li</t>
  </si>
  <si>
    <t>Research Square</t>
  </si>
  <si>
    <t>Research Square preprint; the arXiv version is a journal submission; no published version found</t>
  </si>
  <si>
    <t>W4389342716</t>
  </si>
  <si>
    <t>https://doi.org/10.21203/rs.3.rs-3695932/v1</t>
  </si>
  <si>
    <t>mFACE: Multilingual Summarization with Factual Consistency Evaluation</t>
  </si>
  <si>
    <t>W4312107301</t>
  </si>
  <si>
    <t>https://doi.org/10.48550/arxiv.2212.10622</t>
  </si>
  <si>
    <t>MoFE: Mixture of Factual Experts for Controlling Hallucinations in Abstractive Summarization.</t>
  </si>
  <si>
    <t>Prafulla Kumar Choubey</t>
  </si>
  <si>
    <t>Mitigation or generation method; no detection evaluated (mixture of experts)</t>
  </si>
  <si>
    <t>W3205556807</t>
  </si>
  <si>
    <t>http://arxiv.org/pdf/2110.07166.pdf</t>
  </si>
  <si>
    <t>Factually Consistent Summarization via Reinforcement Learning with Textual Entailment Feedback</t>
  </si>
  <si>
    <t>Paul Roit</t>
  </si>
  <si>
    <t>Mitigation or generation method; no detection evaluated (RL with entailment reward)</t>
  </si>
  <si>
    <t>W4379251951</t>
  </si>
  <si>
    <t>https://doi.org/10.48550/arxiv.2306.00186</t>
  </si>
  <si>
    <t>WeCheck: Strong Factual Consistency Checker via Weakly Supervised Learning</t>
  </si>
  <si>
    <t>Wenhao Wu</t>
  </si>
  <si>
    <t>W4385571035</t>
  </si>
  <si>
    <t>https://doi.org/10.18653/v1/2023.acl-long.18</t>
  </si>
  <si>
    <t>VerifAI: A Verifiable Open-Source Search Engine for Biomedical Question Answering</t>
  </si>
  <si>
    <t>Miloš Košprdić</t>
  </si>
  <si>
    <t>IEEE Access</t>
  </si>
  <si>
    <t>Domain-specific application outside finance: biomedical search engine</t>
  </si>
  <si>
    <t>W7140119110</t>
  </si>
  <si>
    <t>https://doi.org/10.1109/access.2026.3676985</t>
  </si>
  <si>
    <t>Are Large Language Models Reliable Judges? A Study on the Factuality Evaluation Capabilities of LLMs</t>
  </si>
  <si>
    <t>Xue-Yong Fu</t>
  </si>
  <si>
    <t>GEM Workshop 2023 (EMNLP)</t>
  </si>
  <si>
    <t>W4388276249</t>
  </si>
  <si>
    <t>https://doi.org/10.48550/arxiv.2311.00681</t>
  </si>
  <si>
    <t>A Novel Clinical Trial Prediction-Based Factual Inconsistency Detection Approach for Medical Text Summarization</t>
  </si>
  <si>
    <t>Shuaimin Li</t>
  </si>
  <si>
    <t>Domain-specific application outside finance: medical summarisation</t>
  </si>
  <si>
    <t>W4385488826</t>
  </si>
  <si>
    <t>https://doi.org/10.1109/ijcnn54540.2023.10191247</t>
  </si>
  <si>
    <t>QAFactEval: Improved QA-Based Factual Consistency Evaluation for Summarization</t>
  </si>
  <si>
    <t>Alexander R. Fabbri</t>
  </si>
  <si>
    <t>W4306291189</t>
  </si>
  <si>
    <t>https://doi.org/10.48550/arxiv.2112.08542</t>
  </si>
  <si>
    <t>Multi-Dimensional Evaluation of Auto-Generated Chain-of-Thought Traces in Reasoning Models</t>
  </si>
  <si>
    <t>Luis F. Becerra-Monsalve</t>
  </si>
  <si>
    <t>AI</t>
  </si>
  <si>
    <t>Off-topic: quality of reasoning traces, not source-grounded checking</t>
  </si>
  <si>
    <t>W7125271932</t>
  </si>
  <si>
    <t>https://doi.org/10.3390/ai7010035</t>
  </si>
  <si>
    <t>PlainQAFact: Retrieval-augmented factual consistency evaluation metric for biomedical plain language summarization</t>
  </si>
  <si>
    <t>Zhiwen You</t>
  </si>
  <si>
    <t>Journal of Biomedical Informatics</t>
  </si>
  <si>
    <t>Domain-specific application outside finance: biomedical summaries</t>
  </si>
  <si>
    <t>W4415058447</t>
  </si>
  <si>
    <t>https://doi.org/10.1016/j.jbi.2026.105019</t>
  </si>
  <si>
    <t>Comparative Fine-Tuning of GPT-2 on Question Answering and Dialogue Datasets for Medical Text Generation</t>
  </si>
  <si>
    <t>Caleb Nhkum</t>
  </si>
  <si>
    <t>Communications in computer and information science</t>
  </si>
  <si>
    <t>Domain-specific application outside finance: medical text generation</t>
  </si>
  <si>
    <t>W7117967869</t>
  </si>
  <si>
    <t>https://doi.org/10.1007/978-3-032-08977-9_38</t>
  </si>
  <si>
    <t>Retrieval Augmented Generation Enhanced RLHF Framework for Factuality Verification Improvement</t>
  </si>
  <si>
    <t>Xiaobo Zhou</t>
  </si>
  <si>
    <t>RLHF training with an NLI reward (mitigation); no detector evaluated</t>
  </si>
  <si>
    <t>W7124941590</t>
  </si>
  <si>
    <t>https://doi.org/10.1109/icftic68075.2025.11325091</t>
  </si>
  <si>
    <t>Text Alignment Is An Efficient Unified Model for Massive NLP Tasks</t>
  </si>
  <si>
    <t>NeurIPS 2023</t>
  </si>
  <si>
    <t>W7133229395</t>
  </si>
  <si>
    <t>https://doi.org/10.52202/075280-3405</t>
  </si>
  <si>
    <t>arXiv version of WeCheck (ACL 2023, record 62)</t>
  </si>
  <si>
    <t>W4312091043</t>
  </si>
  <si>
    <t>https://doi.org/10.48550/arxiv.2212.10057</t>
  </si>
  <si>
    <t>What Was Your Name Again? Interrogating Generative Conversational Models For Factual Consistency Evaluation</t>
  </si>
  <si>
    <t>Ehsan Lotfi</t>
  </si>
  <si>
    <t>GEM Workshop 2022 (EMNLP)</t>
  </si>
  <si>
    <t>W4385573542</t>
  </si>
  <si>
    <t>https://doi.org/10.18653/v1/2022.gem-1.47</t>
  </si>
  <si>
    <t>TabFact: A Large-scale Dataset for Table-based Fact Verification</t>
  </si>
  <si>
    <t>Wenhu Chen</t>
  </si>
  <si>
    <t>ICLR 2020</t>
  </si>
  <si>
    <t>OpenAlex: M1-04</t>
  </si>
  <si>
    <t>W2971822538</t>
  </si>
  <si>
    <t>https://doi.org/10.48550/arxiv.1909.02164</t>
  </si>
  <si>
    <t>Large Language Models are few(1)-shot Table Reasoners</t>
  </si>
  <si>
    <t>Findings of EACL 2023</t>
  </si>
  <si>
    <t>W4386566488</t>
  </si>
  <si>
    <t>https://doi.org/10.18653/v1/2023.findings-eacl.83</t>
  </si>
  <si>
    <t>FEVEROUS: Fact Extraction and VERification Over Unstructured and Structured information</t>
  </si>
  <si>
    <t>Rami Aly</t>
  </si>
  <si>
    <t>NeurIPS 2021 Datasets and Benchmarks</t>
  </si>
  <si>
    <t>W4287121227</t>
  </si>
  <si>
    <t>https://doi.org/10.48550/arxiv.2106.05707</t>
  </si>
  <si>
    <t>Table Fact Verification with Structure-Aware Transformer</t>
  </si>
  <si>
    <t>Hongzhi Zhang</t>
  </si>
  <si>
    <t>EMNLP 2020 (Main)</t>
  </si>
  <si>
    <t>W3099873751</t>
  </si>
  <si>
    <t>https://doi.org/10.18653/v1/2020.emnlp-main.126</t>
  </si>
  <si>
    <t>Program Enhanced Fact Verification with Verbalization and Graph Attention Network</t>
  </si>
  <si>
    <t>Xiaoyu Yang</t>
  </si>
  <si>
    <t>W3098295417</t>
  </si>
  <si>
    <t>https://doi.org/10.18653/v1/2020.emnlp-main.628</t>
  </si>
  <si>
    <t>SemEval-2021 Task 9: Fact Verification and Evidence Finding for Tabular Data in Scientific Documents (SEM-TAB-FACTS)</t>
  </si>
  <si>
    <t>Nancy X. R. Wang</t>
  </si>
  <si>
    <t>SemEval-2021 (ACL workshop)</t>
  </si>
  <si>
    <t>W3164841497</t>
  </si>
  <si>
    <t>https://doi.org/10.18653/v1/2021.semeval-1.39</t>
  </si>
  <si>
    <t>Learn to Combine Linguistic and Symbolic Information for Table-based Fact Verification</t>
  </si>
  <si>
    <t>Qi Shi</t>
  </si>
  <si>
    <t>COLING 2020</t>
  </si>
  <si>
    <t>W3114740437</t>
  </si>
  <si>
    <t>https://doi.org/10.18653/v1/2020.coling-main.466</t>
  </si>
  <si>
    <t>TFGIN: Tight-Fitting Graph Inference Network for Table-based Fact Verification</t>
  </si>
  <si>
    <t>Lianwei Wu</t>
  </si>
  <si>
    <t>ACM TOIS 43(5)</t>
  </si>
  <si>
    <t>W4410118875</t>
  </si>
  <si>
    <t>https://doi.org/10.1145/3734520</t>
  </si>
  <si>
    <t>PASTA: Table-Operations Aware Fact Verification via Sentence-Table Cloze Pre-training</t>
  </si>
  <si>
    <t>Zihui Gu</t>
  </si>
  <si>
    <t>EMNLP 2022 (Main)</t>
  </si>
  <si>
    <t>W4385573115</t>
  </si>
  <si>
    <t>https://doi.org/10.18653/v1/2022.emnlp-main.331</t>
  </si>
  <si>
    <t>Zenodo dataset deposit of FEVEROUS (record 76)</t>
  </si>
  <si>
    <t>W3198633256</t>
  </si>
  <si>
    <t>https://doi.org/10.5281/zenodo.4911507</t>
  </si>
  <si>
    <t>Logic-level Evidence Retrieval and Graph-based Verification Network for Table-based Fact Verification</t>
  </si>
  <si>
    <t>W3213399018</t>
  </si>
  <si>
    <t>https://doi.org/10.18653/v1/2021.emnlp-main.16</t>
  </si>
  <si>
    <t>ReasTAP: Injecting Table Reasoning Skills During Pre-training via Synthetic Reasoning Examples</t>
  </si>
  <si>
    <t>Yilun Zhao</t>
  </si>
  <si>
    <t>W4385573499</t>
  </si>
  <si>
    <t>https://doi.org/10.18653/v1/2022.emnlp-main.615</t>
  </si>
  <si>
    <t>Chain-of-Table: Evolving Tables in the Reasoning Chain for Table Understanding</t>
  </si>
  <si>
    <t>Zilong Wang</t>
  </si>
  <si>
    <t>ICLR 2024</t>
  </si>
  <si>
    <t>W4390784213</t>
  </si>
  <si>
    <t>https://doi.org/10.48550/arxiv.2401.04398</t>
  </si>
  <si>
    <t>Exploring Decomposition for Table-based Fact Verification</t>
  </si>
  <si>
    <t>Findings of EMNLP 2021</t>
  </si>
  <si>
    <t>W3198948523</t>
  </si>
  <si>
    <t>https://doi.org/10.18653/v1/2021.findings-emnlp.90</t>
  </si>
  <si>
    <t>LoFT: Enhancing Faithfulness and Diversity for Table-to-Text Generation via Logic Form Control</t>
  </si>
  <si>
    <t>Conference of the European Chapter of the Association for Computational Linguistics</t>
  </si>
  <si>
    <t>Mitigation or generation method; no detection evaluated (table-to-text generation)</t>
  </si>
  <si>
    <t>W4386566859</t>
  </si>
  <si>
    <t>https://doi.org/10.18653/v1/2023.eacl-main.40</t>
  </si>
  <si>
    <t>Heuristic Heterogeneous Graph Reasoning Networks for Fact Verification</t>
  </si>
  <si>
    <t>IEEE subscription article; no author version found on arXiv</t>
  </si>
  <si>
    <t>W4380519997</t>
  </si>
  <si>
    <t>https://doi.org/10.1109/tnnls.2023.3282380</t>
  </si>
  <si>
    <t>Table-based Fact Verification with Self-adaptive Mixture of Experts</t>
  </si>
  <si>
    <t>Yuxuan Zhou</t>
  </si>
  <si>
    <t>Findings of ACL 2022</t>
  </si>
  <si>
    <t>W4224873813</t>
  </si>
  <si>
    <t>https://doi.org/10.18653/v1/2022.findings-acl.13</t>
  </si>
  <si>
    <t>Dual-Channel Evidence Fusion for Fact Verification over Texts and Tables</t>
  </si>
  <si>
    <t>Nan Hu</t>
  </si>
  <si>
    <t>W4287887710</t>
  </si>
  <si>
    <t>https://doi.org/10.18653/v1/2022.naacl-main.384</t>
  </si>
  <si>
    <t>Table-based Fact Verification With Salience-aware Learning</t>
  </si>
  <si>
    <t>Fei Wang</t>
  </si>
  <si>
    <t>W3198480521</t>
  </si>
  <si>
    <t>https://doi.org/10.18653/v1/2021.findings-emnlp.338</t>
  </si>
  <si>
    <t>ChartCheck: Explainable Fact-Checking over Real-World Chart Images</t>
  </si>
  <si>
    <t>Mubashara Akhtar</t>
  </si>
  <si>
    <t>Non-text modality: chart images</t>
  </si>
  <si>
    <t>W4402669758</t>
  </si>
  <si>
    <t>https://doi.org/10.18653/v1/2024.findings-acl.828</t>
  </si>
  <si>
    <t>Learning to Generate Programs for Table Fact Verification via Structure-Aware Semantic Parsing</t>
  </si>
  <si>
    <t>Suixin Ou</t>
  </si>
  <si>
    <t>W4285305556</t>
  </si>
  <si>
    <t>https://doi.org/10.18653/v1/2022.acl-long.525</t>
  </si>
  <si>
    <t>Structural Encoding and Pre-training Matter: Adapting BERT for Table-Based Fact Verification</t>
  </si>
  <si>
    <t>Rui Dong</t>
  </si>
  <si>
    <t>EACL 2021 (Main)</t>
  </si>
  <si>
    <t>W3156392851</t>
  </si>
  <si>
    <t>https://doi.org/10.18653/v1/2021.eacl-main.201</t>
  </si>
  <si>
    <t>Are Large Language Models Table-based Fact-Checkers?</t>
  </si>
  <si>
    <t>Hanwen Zhang</t>
  </si>
  <si>
    <t>IEEE CSCWD 2024</t>
  </si>
  <si>
    <t>W4400490306</t>
  </si>
  <si>
    <t>https://doi.org/10.1109/cscwd61410.2024.10580146</t>
  </si>
  <si>
    <t>Table-R1: Inference-Time Scaling for Table Reasoning Tasks</t>
  </si>
  <si>
    <t>Zheyuan Yang</t>
  </si>
  <si>
    <t>W4416036470</t>
  </si>
  <si>
    <t>https://doi.org/10.18653/v1/2025.emnlp-main.1040</t>
  </si>
  <si>
    <t>Toward a Unified Framework for Unsupervised Complex Tabular Reasoning</t>
  </si>
  <si>
    <t>Zhenyu Li</t>
  </si>
  <si>
    <t>Proceedings - International Conference on Data Engineering</t>
  </si>
  <si>
    <t>IEEE subscription paper; no author version found on arXiv</t>
  </si>
  <si>
    <t>W4385281527</t>
  </si>
  <si>
    <t>https://doi.org/10.1109/icde55515.2023.00133</t>
  </si>
  <si>
    <t>The spread of true and false news online</t>
  </si>
  <si>
    <t>Soroush Vosoughi</t>
  </si>
  <si>
    <t>Science</t>
  </si>
  <si>
    <t>OpenAlex: M1-05</t>
  </si>
  <si>
    <t>Off-topic: spread of news on social media</t>
  </si>
  <si>
    <t>W2790166049</t>
  </si>
  <si>
    <t>https://doi.org/10.1126/science.aap9559</t>
  </si>
  <si>
    <t>Transformative effects of ChatGPT on modern education: Emerging Era of AI Chatbots</t>
  </si>
  <si>
    <t>Sukhpal Singh Gill</t>
  </si>
  <si>
    <t>Internet of Things and Cyber-Physical Systems</t>
  </si>
  <si>
    <t>Off-topic: education</t>
  </si>
  <si>
    <t>W4381252082</t>
  </si>
  <si>
    <t>https://doi.org/10.1016/j.iotcps.2023.06.002</t>
  </si>
  <si>
    <t>The ASAM Clinical Practice Guideline on Alcohol Withdrawal Management</t>
  </si>
  <si>
    <t>-</t>
  </si>
  <si>
    <t>Journal of Addiction Medicine</t>
  </si>
  <si>
    <t>Off-topic: clinical guideline</t>
  </si>
  <si>
    <t>W3033273022</t>
  </si>
  <si>
    <t>https://doi.org/10.1097/adm.0000000000000668</t>
  </si>
  <si>
    <t>A Comprehensive Survey of Hallucination Mitigation Techniques in Large Language Models</t>
  </si>
  <si>
    <t>S. M Towhidul Islam Tonmoy</t>
  </si>
  <si>
    <t>Mitigation or generation method; no detection evaluated (mitigation survey)</t>
  </si>
  <si>
    <t>W4390602555</t>
  </si>
  <si>
    <t>https://doi.org/10.48550/arxiv.2401.01313</t>
  </si>
  <si>
    <t>History of anaesthesia</t>
  </si>
  <si>
    <t>Georges Mion</t>
  </si>
  <si>
    <t>European Journal of Anaesthesiology</t>
  </si>
  <si>
    <t>Off-topic: medical history</t>
  </si>
  <si>
    <t>W2737205065</t>
  </si>
  <si>
    <t>https://doi.org/10.1097/eja.0000000000000638</t>
  </si>
  <si>
    <t>LLMs Will Always Hallucinate, and We Need to Live with This</t>
  </si>
  <si>
    <t>Sourav Banerjee</t>
  </si>
  <si>
    <t>Lecture notes in networks and systems</t>
  </si>
  <si>
    <t>Off-topic: position paper on inevitability of hallucination</t>
  </si>
  <si>
    <t>W4413328432</t>
  </si>
  <si>
    <t>https://doi.org/10.1007/978-3-031-99965-9_39</t>
  </si>
  <si>
    <t>Fake News</t>
  </si>
  <si>
    <t>Bente Kalsnes</t>
  </si>
  <si>
    <t>Oxford Research Encyclopedia of Communication</t>
  </si>
  <si>
    <t>Not a research study: encyclopedia entry</t>
  </si>
  <si>
    <t>W4251817558</t>
  </si>
  <si>
    <t>https://doi.org/10.1093/acrefore/9780190228613.013.809</t>
  </si>
  <si>
    <t>Large Language Models in Finance (FinLLMs)</t>
  </si>
  <si>
    <t>Jean Lee</t>
  </si>
  <si>
    <t>Neural Computing and Applications</t>
  </si>
  <si>
    <t>General survey of financial LLMs; detection is not its focus</t>
  </si>
  <si>
    <t>W4406272066</t>
  </si>
  <si>
    <t>https://doi.org/10.1007/s00521-024-10495-6</t>
  </si>
  <si>
    <t>The state of human-centered NLP technology for fact-checking</t>
  </si>
  <si>
    <t>Anubrata Das</t>
  </si>
  <si>
    <t>Information Processing &amp; Management 60(2)</t>
  </si>
  <si>
    <t>W4312158082</t>
  </si>
  <si>
    <t>https://doi.org/10.1016/j.ipm.2022.103219</t>
  </si>
  <si>
    <t>Limitations and Loopholes in the EU AI Act and AI Liability Directives: What This Means for the European Union, the United States, and Beyond</t>
  </si>
  <si>
    <t>Sandra Wachter</t>
  </si>
  <si>
    <t>Off-topic: law and policy</t>
  </si>
  <si>
    <t>W4402551159</t>
  </si>
  <si>
    <t>https://doi.org/10.2139/ssrn.4924553</t>
  </si>
  <si>
    <t>The metaverse as virtual heterotopia</t>
  </si>
  <si>
    <t>David Frederick van der Merwe</t>
  </si>
  <si>
    <t>Off-topic: metaverse</t>
  </si>
  <si>
    <t>W4285343781</t>
  </si>
  <si>
    <t>https://doi.org/10.33422/3rd.socialsciencesconf.2021.10.61</t>
  </si>
  <si>
    <t>Thus spoke GPT-3: Interviewing a large-language model on climate finance</t>
  </si>
  <si>
    <t>Markus Leippold</t>
  </si>
  <si>
    <t>Finance research letters</t>
  </si>
  <si>
    <t>Off-topic: interview with GPT-3 on climate finance</t>
  </si>
  <si>
    <t>W4313334409</t>
  </si>
  <si>
    <t>https://doi.org/10.1016/j.frl.2022.103617</t>
  </si>
  <si>
    <t>Clinical Practice Guidelines for the Management of Generalised Anxiety Disorder (GAD) and Panic Disorder (PD)</t>
  </si>
  <si>
    <t>Shiv Gautam</t>
  </si>
  <si>
    <t>Indian Journal of Psychiatry</t>
  </si>
  <si>
    <t>W2569832883</t>
  </si>
  <si>
    <t>https://doi.org/10.4103/0019-5545.196975</t>
  </si>
  <si>
    <t>Systems engineering issues for industry applications of large language model</t>
  </si>
  <si>
    <t>Wang Chen</t>
  </si>
  <si>
    <t>Applied Soft Computing</t>
  </si>
  <si>
    <t>Off-topic: systems engineering of LLM applications</t>
  </si>
  <si>
    <t>W4389903865</t>
  </si>
  <si>
    <t>https://doi.org/10.1016/j.asoc.2023.111165</t>
  </si>
  <si>
    <t>Can we disrupt the momentum of the AI colonization of science education?</t>
  </si>
  <si>
    <t>Lucy Avraamidou</t>
  </si>
  <si>
    <t>Journal of Research in Science Teaching</t>
  </si>
  <si>
    <t>Off-topic: science education</t>
  </si>
  <si>
    <t>W4399046994</t>
  </si>
  <si>
    <t>https://doi.org/10.1002/tea.21961</t>
  </si>
  <si>
    <t>FlowMind: Automatic Workflow Generation with LLMs</t>
  </si>
  <si>
    <t>Zhen Zeng</t>
  </si>
  <si>
    <t>ACM International Conference on AI in Finance (ICAIF)</t>
  </si>
  <si>
    <t>Off-topic: workflow generation</t>
  </si>
  <si>
    <t>W4388994320</t>
  </si>
  <si>
    <t>https://doi.org/10.1145/3604237.3626908</t>
  </si>
  <si>
    <t>SARS‐CoV ‐2 pandemics: The lack of critical reflection addressing short‐ and long‐term challenges</t>
  </si>
  <si>
    <t>Tiago Correia</t>
  </si>
  <si>
    <t>The International Journal of Health Planning and Management</t>
  </si>
  <si>
    <t>Off-topic: public health</t>
  </si>
  <si>
    <t>W3013822680</t>
  </si>
  <si>
    <t>https://doi.org/10.1002/hpm.2977</t>
  </si>
  <si>
    <t>Knowledge Graphs and Their Reciprocal Relationship with Large Language Models</t>
  </si>
  <si>
    <t>Ramandeep Singh Dehal</t>
  </si>
  <si>
    <t>Machine Learning and Knowledge Extraction</t>
  </si>
  <si>
    <t>Off-topic: knowledge graphs and LLMs review</t>
  </si>
  <si>
    <t>W4409634738</t>
  </si>
  <si>
    <t>https://doi.org/10.3390/make7020038</t>
  </si>
  <si>
    <t>The challenge of healthcare big data to China’s commercial health insurance industry: evaluation and recommendations</t>
  </si>
  <si>
    <t>Jun Wu</t>
  </si>
  <si>
    <t>Off-topic: health insurance</t>
  </si>
  <si>
    <t>W4296613854</t>
  </si>
  <si>
    <t>https://doi.org/10.1186/s12913-022-08574-2</t>
  </si>
  <si>
    <t>A High Precision Pipeline for Financial Knowledge Graph Construction</t>
  </si>
  <si>
    <t>Sarah Elhammadi</t>
  </si>
  <si>
    <t>International Conference on Computational Linguistics</t>
  </si>
  <si>
    <t>Off-topic: knowledge-graph construction</t>
  </si>
  <si>
    <t>W3114211574</t>
  </si>
  <si>
    <t>https://doi.org/10.18653/v1/2020.coling-main.84</t>
  </si>
  <si>
    <t>A Survey of Hallucination Problems Based on Large Language Models</t>
  </si>
  <si>
    <t>Xinxin Liu</t>
  </si>
  <si>
    <t>Applied and Computational Engineering</t>
  </si>
  <si>
    <t>Peer review not verifiable: open-access proceedings series not listed in DOAJ</t>
  </si>
  <si>
    <t>W4404682098</t>
  </si>
  <si>
    <t>https://doi.org/10.54254/2755-2721/2024.17851</t>
  </si>
  <si>
    <t>HaluCheck: Explainable and verifiable automation for detecting hallucinations in LLM responses</t>
  </si>
  <si>
    <t>Sangwoo Heo</t>
  </si>
  <si>
    <t>W4407100297</t>
  </si>
  <si>
    <t>https://doi.org/10.1016/j.eswa.2025.126712</t>
  </si>
  <si>
    <t>FinTral: A Family of GPT-4 Level Multimodal Financial Large Language Models</t>
  </si>
  <si>
    <t>Gagan Bhatia</t>
  </si>
  <si>
    <t>Off-topic: financial LLM development</t>
  </si>
  <si>
    <t>W4402670321</t>
  </si>
  <si>
    <t>https://doi.org/10.18653/v1/2024.findings-acl.774</t>
  </si>
  <si>
    <t>Transformative Effects of ChatGPT on Modern Education: Emerging Era of AI Chatbots</t>
  </si>
  <si>
    <t>W4379925138</t>
  </si>
  <si>
    <t>https://doi.org/10.48550/arxiv.2306.03823</t>
  </si>
  <si>
    <t>Clinical Manifestations of Early-Onset Dementia With Lewy Bodies Compared With Late-Onset Dementia With Lewy Bodies and Early-Onset Alzheimer Disease</t>
  </si>
  <si>
    <t>Jingwei Sim</t>
  </si>
  <si>
    <t>JAMA Neurology</t>
  </si>
  <si>
    <t>Off-topic: neurology</t>
  </si>
  <si>
    <t>W4281384854</t>
  </si>
  <si>
    <t>https://doi.org/10.1001/jamaneurol.2022.1133</t>
  </si>
  <si>
    <t>Measuring Accounting Reporting Complexity with XBRL</t>
  </si>
  <si>
    <t>Rani Hoitash</t>
  </si>
  <si>
    <t>The Accounting Review</t>
  </si>
  <si>
    <t>OpenAlex: M1-06</t>
  </si>
  <si>
    <t>Accounting research on XBRL adoption; no NLP method</t>
  </si>
  <si>
    <t>W3123132665</t>
  </si>
  <si>
    <t>https://doi.org/10.2308/accr-51762</t>
  </si>
  <si>
    <t>The Impact of Information Processing Costs on Firm Disclosure Choice: Evidence from the XBRL Mandate</t>
  </si>
  <si>
    <t>Elizabeth Blankespoor</t>
  </si>
  <si>
    <t>Journal of Accounting Research</t>
  </si>
  <si>
    <t>W6003277</t>
  </si>
  <si>
    <t>https://doi.org/10.1111/1475-679x.12268</t>
  </si>
  <si>
    <t>FiNER: Financial Numeric Entity Recognition for XBRL Tagging</t>
  </si>
  <si>
    <t>Lefteris Loukas</t>
  </si>
  <si>
    <t>W4285137661</t>
  </si>
  <si>
    <t>https://doi.org/10.18653/v1/2022.acl-long.303</t>
  </si>
  <si>
    <t>Can XBRL detailed tagging of footnotes improve financial analysts' information environment?</t>
  </si>
  <si>
    <t>Andrew J. Felo</t>
  </si>
  <si>
    <t>International Journal of Accounting Information Systems</t>
  </si>
  <si>
    <t>W2778150163</t>
  </si>
  <si>
    <t>https://doi.org/10.1016/j.accinf.2017.12.003</t>
  </si>
  <si>
    <t>XBRL and the qualitative characteristics of useful financial information</t>
  </si>
  <si>
    <t>Jacqueline L. Birt</t>
  </si>
  <si>
    <t>Accounting Research Journal</t>
  </si>
  <si>
    <t>W2606813422</t>
  </si>
  <si>
    <t>https://doi.org/10.1108/arj-11-2014-0105</t>
  </si>
  <si>
    <t>XBRL Adoption and Bank Loan Contracting: Early Evidence</t>
  </si>
  <si>
    <t>Gary Chen</t>
  </si>
  <si>
    <t>Journal of Information Systems</t>
  </si>
  <si>
    <t>W2584084874</t>
  </si>
  <si>
    <t>https://doi.org/10.2308/isys-51688</t>
  </si>
  <si>
    <t>XBRL Mandate and Timeliness of Financial Reporting: The Effect of Internal Control Problems</t>
  </si>
  <si>
    <t>Seokyoun Hwang</t>
  </si>
  <si>
    <t>Journal of Accounting Auditing &amp; Finance</t>
  </si>
  <si>
    <t>W3035609299</t>
  </si>
  <si>
    <t>https://doi.org/10.1177/0148558x20929854</t>
  </si>
  <si>
    <t>Do Managers Use Extension Elements Strategically in the SEC's Tagged Data for Financial Statements? Evidence from XBRL Complexity</t>
  </si>
  <si>
    <t>Feiqi Huang</t>
  </si>
  <si>
    <t>W2808093737</t>
  </si>
  <si>
    <t>https://doi.org/10.2308/isys-52162</t>
  </si>
  <si>
    <t>Using GPT to Measure Business Complexity</t>
  </si>
  <si>
    <t>Darren Bernard</t>
  </si>
  <si>
    <t>Accounting research on XBRL adoption; no NLP method (GPT used to measure complexity)</t>
  </si>
  <si>
    <t>W7124431829</t>
  </si>
  <si>
    <t>https://doi.org/10.2308/tar-2023-0716</t>
  </si>
  <si>
    <t>Big data and algorithmic trading against periodic and tangible asset reporting: The need for U-XBRL</t>
  </si>
  <si>
    <t>Duo Pei</t>
  </si>
  <si>
    <t>W3018406296</t>
  </si>
  <si>
    <t>https://doi.org/10.1016/j.accinf.2020.100453</t>
  </si>
  <si>
    <t>Sustainability accounting for greenhouse gas emissions measurement using the GREET LCA model: practical review of automotive ESG reporting</t>
  </si>
  <si>
    <t>Péter Molnár</t>
  </si>
  <si>
    <t>Clean Technologies and Environmental Policy</t>
  </si>
  <si>
    <t>Off-topic: emissions accounting</t>
  </si>
  <si>
    <t>W4385580318</t>
  </si>
  <si>
    <t>https://doi.org/10.1007/s10098-023-02588-y</t>
  </si>
  <si>
    <t>Cloud-Computing Risk Disclosure and ICFR Material Weakness: The Moderating Role of Accounting Reporting Complexity</t>
  </si>
  <si>
    <t>Antoinette L. Smith</t>
  </si>
  <si>
    <t>W2800335447</t>
  </si>
  <si>
    <t>https://doi.org/10.2308/isys-52134</t>
  </si>
  <si>
    <t>The effect of XBRL adoption on corporate tax avoidance: empirical evidence from an emerging country</t>
  </si>
  <si>
    <t>Arfah Habib Saragih</t>
  </si>
  <si>
    <t>Journal of financial reporting &amp; accounting</t>
  </si>
  <si>
    <t>W4220967938</t>
  </si>
  <si>
    <t>https://doi.org/10.1108/jfra-09-2021-0281</t>
  </si>
  <si>
    <t>How to Read a Financial Report: Wringing Vital Signs Out of the Numbers</t>
  </si>
  <si>
    <t>John A. Tracy</t>
  </si>
  <si>
    <t>Other</t>
  </si>
  <si>
    <t>Not a research study: book</t>
  </si>
  <si>
    <t>W1534120717</t>
  </si>
  <si>
    <t>The role of XBRL adoption on the association between managerial ability and corporate tax outcomes: empirical evidence from Indonesia</t>
  </si>
  <si>
    <t>Journal of Applied Accounting Research</t>
  </si>
  <si>
    <t>W4282926913</t>
  </si>
  <si>
    <t>https://doi.org/10.1108/jaar-10-2021-0267</t>
  </si>
  <si>
    <t>Factors influencing the usage of XBRL tools</t>
  </si>
  <si>
    <t>Badi Salem Rawashdeh</t>
  </si>
  <si>
    <t>Management Science Letters</t>
  </si>
  <si>
    <t>W3108742785</t>
  </si>
  <si>
    <t>https://doi.org/10.5267/j.msl.2020.11.005</t>
  </si>
  <si>
    <t>XBRL Tag Extensions and Tax Accrual Quality</t>
  </si>
  <si>
    <t>Stephanie Walton</t>
  </si>
  <si>
    <t>W3087855235</t>
  </si>
  <si>
    <t>https://doi.org/10.2308/isys-19-054</t>
  </si>
  <si>
    <t>Extended XBRL Tags and Financial Analysts' Forecast Error and Dispersion</t>
  </si>
  <si>
    <t>Joseph Atkins Johnston</t>
  </si>
  <si>
    <t>W3037385060</t>
  </si>
  <si>
    <t>https://doi.org/10.2308/isys-16-013</t>
  </si>
  <si>
    <t>XBRL Agent: Leveraging Large Language Models for Financial Report Analysis</t>
  </si>
  <si>
    <t>Shijie Han</t>
  </si>
  <si>
    <t>ACM ICAIF 2024</t>
  </si>
  <si>
    <t>W4404351567</t>
  </si>
  <si>
    <t>https://doi.org/10.1145/3677052.3698614</t>
  </si>
  <si>
    <t>Knowledge and Skills in Complex Assurance Engagements: The Case of XBRL</t>
  </si>
  <si>
    <t>Roger S. Debreceny</t>
  </si>
  <si>
    <t>W2951601396</t>
  </si>
  <si>
    <t>https://doi.org/10.2308/isys-52461</t>
  </si>
  <si>
    <t>Does Financial Statement Line-item Comparability Affect Analysts’ Forecasts?</t>
  </si>
  <si>
    <t>Elaine Henry</t>
  </si>
  <si>
    <t>W2892143279</t>
  </si>
  <si>
    <t>https://doi.org/10.2139/ssrn.3133324</t>
  </si>
  <si>
    <t>Knowledge Management of Web Financial Reporting in Human-Computer Interactive Perspective</t>
  </si>
  <si>
    <t>Yujing Chen</t>
  </si>
  <si>
    <t>Eurasia Journal of Mathematics Science and Technology Education</t>
  </si>
  <si>
    <t>Off-topic: knowledge management</t>
  </si>
  <si>
    <t>W2629324772</t>
  </si>
  <si>
    <t>https://doi.org/10.12973/eurasia.2017.00733a</t>
  </si>
  <si>
    <t>Does XBRL Tagging Indicate Disclosure Quality? The Relationship Between XBRL Standard and Extension Tags and Stock Return Synchronicity</t>
  </si>
  <si>
    <t>J.J. Lim</t>
  </si>
  <si>
    <t>W4386257272</t>
  </si>
  <si>
    <t>https://doi.org/10.2308/isys-2022-027</t>
  </si>
  <si>
    <t>Excessive custom XBRL tag usage in 10-K filings and SEC oversight</t>
  </si>
  <si>
    <t>Joung W. Kim</t>
  </si>
  <si>
    <t>W4408594841</t>
  </si>
  <si>
    <t>https://doi.org/10.1016/j.accinf.2025.100742</t>
  </si>
  <si>
    <t>Does Financial Statement Line-Item Comparability Affect Analysts’ Forecasts?</t>
  </si>
  <si>
    <t>W4376617417</t>
  </si>
  <si>
    <t>https://doi.org/10.1177/0148558x231167461</t>
  </si>
  <si>
    <t>An Extensible Framework for Verification of Numerical Claims</t>
  </si>
  <si>
    <t>James Peter Thorne</t>
  </si>
  <si>
    <t>EACL 2017 (Demonstrations)</t>
  </si>
  <si>
    <t>OpenAlex: M1-07</t>
  </si>
  <si>
    <t>W2621778545</t>
  </si>
  <si>
    <t>https://doi.org/10.18653/v1/e17-3010</t>
  </si>
  <si>
    <t>QuanTemp: A real-world open-domain benchmark for fact-checking numerical claims</t>
  </si>
  <si>
    <t>V Venktesh</t>
  </si>
  <si>
    <t>ACM SIGIR 2024</t>
  </si>
  <si>
    <t>W4400528878</t>
  </si>
  <si>
    <t>https://doi.org/10.1145/3626772.3657874</t>
  </si>
  <si>
    <t>Mathematical Materiality: a status report</t>
  </si>
  <si>
    <t>Ugo Lanciano</t>
  </si>
  <si>
    <t>Not a research study: report on Zenodo</t>
  </si>
  <si>
    <t>W7172535677</t>
  </si>
  <si>
    <t>https://doi.org/10.5281/zenodo.21802475</t>
  </si>
  <si>
    <t>Channel Theory for Polynomial Continued Fractions: Asymptotic Channels, the ξ₀ = 2/√β₂ Identity, and a Bridge Conjecture</t>
  </si>
  <si>
    <t>papanokechi papanokechi</t>
  </si>
  <si>
    <t>Off-topic: mathematics</t>
  </si>
  <si>
    <t>W7159644942</t>
  </si>
  <si>
    <t>https://doi.org/10.5281/zenodo.19941678</t>
  </si>
  <si>
    <t>The trustworthiness of peers and public discourse: exploring how people navigate numerical dis/misinformation on personal messaging platforms</t>
  </si>
  <si>
    <t>Brendan T Lawson</t>
  </si>
  <si>
    <t>Information Communication &amp; Society</t>
  </si>
  <si>
    <t>Off-topic: social study of misinformation sharing</t>
  </si>
  <si>
    <t>W4402381938</t>
  </si>
  <si>
    <t>https://doi.org/10.1080/1369118x.2024.2400141</t>
  </si>
  <si>
    <t>Code for "Cold Dark Matter Cannot Supply Local Dissipative Friction to Dark Energy: A Structural No-Go from the Influence Kernel"</t>
  </si>
  <si>
    <t>Everton Behenck</t>
  </si>
  <si>
    <t>Not a research study: software on Zenodo</t>
  </si>
  <si>
    <t>W7163586512</t>
  </si>
  <si>
    <t>https://doi.org/10.5281/zenodo.20547190</t>
  </si>
  <si>
    <t>Dirac Operator, Generation Count, Chirality Structure, and the m₃ Integer</t>
  </si>
  <si>
    <t>Luke Martin</t>
  </si>
  <si>
    <t>Off-topic: physics</t>
  </si>
  <si>
    <t>W7154946928</t>
  </si>
  <si>
    <t>https://doi.org/10.5281/zenodo.19658758</t>
  </si>
  <si>
    <t>Overview of the CLEF-2025 CheckThat! Lab: Subjectivity, Fact-Checking, Claim Normalization, and Retrieval</t>
  </si>
  <si>
    <t>Firoj Alam</t>
  </si>
  <si>
    <t>W4413942418</t>
  </si>
  <si>
    <t>https://doi.org/10.1007/978-3-032-04354-2_13</t>
  </si>
  <si>
    <t>Prompt-based Masked Language Modeling for Numerical Reasoning</t>
  </si>
  <si>
    <t>Sujit Kumar</t>
  </si>
  <si>
    <t>ACM Transactions on Intelligent Systems and Technology</t>
  </si>
  <si>
    <t>Off-topic: numerical reasoning, not claim verification</t>
  </si>
  <si>
    <t>W4411712574</t>
  </si>
  <si>
    <t>https://doi.org/10.1145/3746455</t>
  </si>
  <si>
    <t>The CLEF-2025 CheckThat! Lab: Subjectivity, Fact-Checking, Claim Normalization, and Retrieval</t>
  </si>
  <si>
    <t>Lab announcement (ECIR) describing planned tasks; results appear in the CLEF overview (no abstract, decided on title and venue)</t>
  </si>
  <si>
    <t>W4409166923</t>
  </si>
  <si>
    <t>https://doi.org/10.1007/978-3-031-88720-8_68</t>
  </si>
  <si>
    <t>Numerical Claim Detection in Finance: A New Financial Dataset, Weak-Supervision Model, and Market Analysis</t>
  </si>
  <si>
    <t>Agam Shah</t>
  </si>
  <si>
    <t>FEVER Workshop 2024</t>
  </si>
  <si>
    <t>W4404781989</t>
  </si>
  <si>
    <t>https://doi.org/10.18653/v1/2024.fever-1.21</t>
  </si>
  <si>
    <t>Automatic Verification of Data Summaries</t>
  </si>
  <si>
    <t>Rayhane Rezgui</t>
  </si>
  <si>
    <t>INLG 2021</t>
  </si>
  <si>
    <t>W3203234816</t>
  </si>
  <si>
    <t>https://doi.org/10.18653/v1/2021.inlg-1.27</t>
  </si>
  <si>
    <t>Certified finite-volume computations in lattice gauge theory and a random-matrix sign-problem model</t>
  </si>
  <si>
    <t>Bryan W. Daugherty</t>
  </si>
  <si>
    <t>W7220447434</t>
  </si>
  <si>
    <t>https://doi.org/10.5281/zenodo.23163224</t>
  </si>
  <si>
    <t>Neal's Net: A Self-Verifying Trigonometric System on the Fibonacci 60-Ring</t>
  </si>
  <si>
    <t>Neal Strassner</t>
  </si>
  <si>
    <t>W7165391428</t>
  </si>
  <si>
    <t>https://doi.org/10.5281/zenodo.20754147</t>
  </si>
  <si>
    <t>A Spectral Barrier for Paley Tournament Discrepancy, with an Application to a Maximum-Principle Refutation in Bradley–Terry Sigmoid-Tilt Models</t>
  </si>
  <si>
    <t>Vladimir Riabov</t>
  </si>
  <si>
    <t>W7164594909</t>
  </si>
  <si>
    <t>https://doi.org/10.5281/zenodo.20670428</t>
  </si>
  <si>
    <t>Code and figure for "Quintessence with Memory: Perturbative Non-Degeneracy and the Unerasable Imprint of Early Tracking"</t>
  </si>
  <si>
    <t>W7163671795</t>
  </si>
  <si>
    <t>https://doi.org/10.5281/zenodo.20562068</t>
  </si>
  <si>
    <t>Toward Verifiable Misinformation Detection: A Multi-Tool LLM Agent Framework</t>
  </si>
  <si>
    <t>Zikun Cui</t>
  </si>
  <si>
    <t>ACM GAIB 2025</t>
  </si>
  <si>
    <t>W4415736465</t>
  </si>
  <si>
    <t>https://doi.org/10.1145/3766918.3766948</t>
  </si>
  <si>
    <t>Think Right, Not More: Test-Time Scaling for Numerical Claim Verification</t>
  </si>
  <si>
    <t>Primakov Chungkham</t>
  </si>
  <si>
    <t>W4416033877</t>
  </si>
  <si>
    <t>https://doi.org/10.18653/v1/2025.findings-emnlp.1322</t>
  </si>
  <si>
    <t>Convergents and limits of a boundary family of polynomial continued fractions, and a census application</t>
  </si>
  <si>
    <t>Papanokechi</t>
  </si>
  <si>
    <t>W7223247270</t>
  </si>
  <si>
    <t>https://doi.org/10.5281/zenodo.23581162</t>
  </si>
  <si>
    <t>FDCL Part XI: Dynamical SU(2) Gauge Fields on FDCL Graphs — Hierarchical Curvature Completion and Local Spectral Bounds</t>
  </si>
  <si>
    <t>Bin Seol</t>
  </si>
  <si>
    <t>W7220996853</t>
  </si>
  <si>
    <t>https://doi.org/10.5281/zenodo.23227355</t>
  </si>
  <si>
    <t>Explicit rates for the EKG sequence</t>
  </si>
  <si>
    <t>Tomer Haver</t>
  </si>
  <si>
    <t>W7214774442</t>
  </si>
  <si>
    <t>https://doi.org/10.5281/zenodo.23035624</t>
  </si>
  <si>
    <t>The Ruler Is Part of the Result: Content-Bound Measurement Identity and Comparability Dispositions for Language-Model Audits</t>
  </si>
  <si>
    <t>Andrew Cousins</t>
  </si>
  <si>
    <t>Off-topic: measurement identity for audits</t>
  </si>
  <si>
    <t>W7214125621</t>
  </si>
  <si>
    <t>https://doi.org/10.5281/zenodo.22919867</t>
  </si>
  <si>
    <t>Spare capacity, narrow surface: the exposure record of a production agent-memory system</t>
  </si>
  <si>
    <t>Luiz Antonio Busnello</t>
  </si>
  <si>
    <t>Off-topic: agent memory systems</t>
  </si>
  <si>
    <t>W7204722346</t>
  </si>
  <si>
    <t>https://doi.org/10.5281/zenodo.22181414</t>
  </si>
  <si>
    <t>Prescribed 2-Adic Spectral Cores and Gate-Controlled Shattering of Carmichael Numbers</t>
  </si>
  <si>
    <t>Suvajit Das</t>
  </si>
  <si>
    <t>W7202141276</t>
  </si>
  <si>
    <t>https://doi.org/10.5281/zenodo.21856040</t>
  </si>
  <si>
    <t>How Many Carmichael Numbers Sound the Same? 2-Adic Korselt Structure and Large Miller–Rabin-Isospectral Families</t>
  </si>
  <si>
    <t>W7201877137</t>
  </si>
  <si>
    <t>https://doi.org/10.5281/zenodo.21827288</t>
  </si>
  <si>
    <t>Distribution-free, Risk-controlling Prediction Sets</t>
  </si>
  <si>
    <t>Stephen Bates</t>
  </si>
  <si>
    <t>Journal of the ACM 68(6)</t>
  </si>
  <si>
    <t>OpenAlex: M1-08</t>
  </si>
  <si>
    <t>W3118640283</t>
  </si>
  <si>
    <t>https://doi.org/10.1145/3478535</t>
  </si>
  <si>
    <t>Fully printable integrated multifunctional sensor arrays for intelligent lithium-ion batteries</t>
  </si>
  <si>
    <t>Nuo Sun</t>
  </si>
  <si>
    <t>Nature Communications</t>
  </si>
  <si>
    <t>Off-topic: battery sensors</t>
  </si>
  <si>
    <t>W4413094348</t>
  </si>
  <si>
    <t>https://doi.org/10.1038/s41467-025-62657-2</t>
  </si>
  <si>
    <t>Conformal Risk Control</t>
  </si>
  <si>
    <t>Anastasios N. Angelopoulos</t>
  </si>
  <si>
    <t>W4290055968</t>
  </si>
  <si>
    <t>https://doi.org/10.48550/arxiv.2208.02814</t>
  </si>
  <si>
    <t>A real-world pharmacovigilance study of FDA Adverse Event Reporting System (FAERS) events for venetoclax</t>
  </si>
  <si>
    <t>Yang Yang</t>
  </si>
  <si>
    <t>PLoS ONE</t>
  </si>
  <si>
    <t>Off-topic: pharmacovigilance</t>
  </si>
  <si>
    <t>W4311579537</t>
  </si>
  <si>
    <t>https://doi.org/10.1371/journal.pone.0278725</t>
  </si>
  <si>
    <t>Heavy metal exposure to a migratory waterfowl, Northern Pintail (Anas acuta), in two peri-urban wetlands</t>
  </si>
  <si>
    <t>Arkajyoti Mukherjee</t>
  </si>
  <si>
    <t>The Science of The Total Environment</t>
  </si>
  <si>
    <t>Off-topic: ecology</t>
  </si>
  <si>
    <t>W4292559702</t>
  </si>
  <si>
    <t>https://doi.org/10.1016/j.scitotenv.2022.158238</t>
  </si>
  <si>
    <t>Forking Uncertainties: Reliable Prediction and Model Predictive Control With Sequence Models via Conformal Risk Control</t>
  </si>
  <si>
    <t>Matteo Zecchin</t>
  </si>
  <si>
    <t>IEEE Journal on Selected Areas in Information Theory</t>
  </si>
  <si>
    <t>Off-topic: model predictive control</t>
  </si>
  <si>
    <t>W4392151733</t>
  </si>
  <si>
    <t>https://doi.org/10.1109/jsait.2024.3368229</t>
  </si>
  <si>
    <t>Fatty liver classification via risk controlled neural networks trained on grouped ultrasound image data</t>
  </si>
  <si>
    <t>Tso-Jung Yen</t>
  </si>
  <si>
    <t>Domain-specific application outside finance: medical imaging</t>
  </si>
  <si>
    <t>W4393272674</t>
  </si>
  <si>
    <t>https://doi.org/10.1038/s41598-024-57386-3</t>
  </si>
  <si>
    <t>Achieving Risk Control in Online Learning Settings</t>
  </si>
  <si>
    <t>Feldman, Shai</t>
  </si>
  <si>
    <t>Online setting; this review covers batch calibration (online methods are reviewed by Member 3)</t>
  </si>
  <si>
    <t>W4281257214</t>
  </si>
  <si>
    <t>https://doi.org/10.48550/arxiv.2205.09095</t>
  </si>
  <si>
    <t>Fast yet Safe: Early-Exiting with Risk Control</t>
  </si>
  <si>
    <t>Metod Jazbec</t>
  </si>
  <si>
    <t>neural information processing systems</t>
  </si>
  <si>
    <t>Off-topic: risk control for early-exit inference, not detector calibration</t>
  </si>
  <si>
    <t>W4415800631</t>
  </si>
  <si>
    <t>https://doi.org/10.52202/079017-4124</t>
  </si>
  <si>
    <t>Sustainable Portfolio Rebalancing Under Uncertainty: A Multi-Objective Framework with Interval Analysis and Behavioral Strategies</t>
  </si>
  <si>
    <t>Florentin Şerban</t>
  </si>
  <si>
    <t>Sustainability</t>
  </si>
  <si>
    <t>Off-topic: portfolio management</t>
  </si>
  <si>
    <t>W4411740365</t>
  </si>
  <si>
    <t>https://doi.org/10.3390/su17135886</t>
  </si>
  <si>
    <t>Cross-Validation Conformal Risk Control</t>
  </si>
  <si>
    <t>Kfir M. Cohen</t>
  </si>
  <si>
    <t>IEEE ISIT 2024</t>
  </si>
  <si>
    <t>W4401692489</t>
  </si>
  <si>
    <t>https://doi.org/10.1109/isit57864.2024.10619172</t>
  </si>
  <si>
    <t>CPSC: Conformal Prediction With Shrunken Centroids for Efficient Prediction Reliability Quantification and Data Augmentation, a Case in Alternative Herbal Medicine Classification With Electronic Nose</t>
  </si>
  <si>
    <t>Li Liu</t>
  </si>
  <si>
    <t>IEEE Transactions on Instrumentation and Measurement</t>
  </si>
  <si>
    <t>Domain-specific application outside finance: electronic nose</t>
  </si>
  <si>
    <t>W3189590337</t>
  </si>
  <si>
    <t>https://doi.org/10.1109/tim.2021.3134321</t>
  </si>
  <si>
    <t>Research on risk propagation mechanism and control strategy of prefabricated building supply chain: based on complex network model and dynamic simulation analysis</t>
  </si>
  <si>
    <t>Wei Liu</t>
  </si>
  <si>
    <t>Engineering Construction &amp; Architectural Management</t>
  </si>
  <si>
    <t>Off-topic: supply chains</t>
  </si>
  <si>
    <t>W4410788331</t>
  </si>
  <si>
    <t>https://doi.org/10.1108/ecam-10-2024-1480</t>
  </si>
  <si>
    <t>Conformal Distributed Remote Inference in Sensor Networks Under Reliability and Communication Constraints</t>
  </si>
  <si>
    <t>Meiyi Zhu</t>
  </si>
  <si>
    <t>IEEE Transactions on Signal Processing</t>
  </si>
  <si>
    <t>Off-topic: sensor networks</t>
  </si>
  <si>
    <t>W4408235809</t>
  </si>
  <si>
    <t>https://doi.org/10.1109/tsp.2025.3549222</t>
  </si>
  <si>
    <t>Conformal Loss-Controlling Prediction</t>
  </si>
  <si>
    <t>Di Wang</t>
  </si>
  <si>
    <t>IEEE TNNLS 36(2)</t>
  </si>
  <si>
    <t>W4391341342</t>
  </si>
  <si>
    <t>https://doi.org/10.1109/tnnls.2024.3356512</t>
  </si>
  <si>
    <t>You Don't Bring Me Flowers: Mitigating Unwanted Recommendations Through Conformal Risk Control</t>
  </si>
  <si>
    <t>Giovanni De Toni</t>
  </si>
  <si>
    <t>Off-topic: recommender systems</t>
  </si>
  <si>
    <t>W4414035058</t>
  </si>
  <si>
    <t>https://doi.org/10.1145/3705328.3748054</t>
  </si>
  <si>
    <t>Conformal Segmentation in Industrial Surface Defect Detection with Statistical Guarantees</t>
  </si>
  <si>
    <t>Cheng Shen</t>
  </si>
  <si>
    <t>Mathematics</t>
  </si>
  <si>
    <t>Non-text modality: industrial images</t>
  </si>
  <si>
    <t>W4412699456</t>
  </si>
  <si>
    <t>https://doi.org/10.3390/math13152430</t>
  </si>
  <si>
    <t>Towards Rationality in Language and Multimodal Agents: A Survey</t>
  </si>
  <si>
    <t>Bowen Jiang</t>
  </si>
  <si>
    <t>Off-topic: agent rationality survey</t>
  </si>
  <si>
    <t>W4399355044</t>
  </si>
  <si>
    <t>https://doi.org/10.48550/arxiv.2406.00252</t>
  </si>
  <si>
    <t>Non-Exchangeable Conformal Risk Control</t>
  </si>
  <si>
    <t>António Farinhas</t>
  </si>
  <si>
    <t>IT University Of Copenhagen (IT University of Copenhagen)</t>
  </si>
  <si>
    <t>Non-exchangeable setting; this review covers batch calibration with exchangeable data</t>
  </si>
  <si>
    <t>W4387322853</t>
  </si>
  <si>
    <t>https://doi.org/10.48550/arxiv.2310.01262</t>
  </si>
  <si>
    <t>Netizens’ risk perception in new coronary pneumonia public health events: an analysis of spatiotemporal distribution and influencing factors</t>
  </si>
  <si>
    <t>Yanling Li</t>
  </si>
  <si>
    <t>BMC Public Health</t>
  </si>
  <si>
    <t>W4288694717</t>
  </si>
  <si>
    <t>https://doi.org/10.1186/s12889-022-13852-z</t>
  </si>
  <si>
    <t>Trustworthy Glucose Forecasting With Physiology-Constrained Neural Dynamics, Conformal Risk Control, and Risk-Sensitive Reinforcement Learning</t>
  </si>
  <si>
    <t>Sarmad Maqsood</t>
  </si>
  <si>
    <t>Domain-specific application outside finance: glucose forecasting</t>
  </si>
  <si>
    <t>W7134930873</t>
  </si>
  <si>
    <t>https://doi.org/10.1109/access.2026.3672553</t>
  </si>
  <si>
    <t>Conformal Selection for Efficient and Accurate Compound Screening in Drug Discovery</t>
  </si>
  <si>
    <t>Tian Bai</t>
  </si>
  <si>
    <t>Journal of Chemical Information and Modeling</t>
  </si>
  <si>
    <t>Domain-specific application outside finance: drug discovery</t>
  </si>
  <si>
    <t>W4417163219</t>
  </si>
  <si>
    <t>https://doi.org/10.1021/acs.jcim.5c01633</t>
  </si>
  <si>
    <t>CRC-SGAD: Conformal Risk Control for Supervised Graph Anomaly Detection</t>
  </si>
  <si>
    <t>Songran Bai</t>
  </si>
  <si>
    <t>IEEE International Conference on Intelligence and Security Informatics (ISI)</t>
  </si>
  <si>
    <t>Off-topic: graph anomaly detection</t>
  </si>
  <si>
    <t>W4415378125</t>
  </si>
  <si>
    <t>https://doi.org/10.1109/isi65680.2025.11201206</t>
  </si>
  <si>
    <t>A Comprehensive Survey on Evidential Deep Learning and Its Applications</t>
  </si>
  <si>
    <t>Badjie, Bakary</t>
  </si>
  <si>
    <t>Off-topic: evidential deep learning survey</t>
  </si>
  <si>
    <t>W4403594115</t>
  </si>
  <si>
    <t>https://doi.org/10.4230/oasics.aeic.2026.1</t>
  </si>
  <si>
    <t>How to Trust Your Diffusion Model: A Convex Optimization Approach to Conformal Risk Control</t>
  </si>
  <si>
    <t>Jacopo Teneggi</t>
  </si>
  <si>
    <t>Non-text modality: diffusion models for images</t>
  </si>
  <si>
    <t>W4319792338</t>
  </si>
  <si>
    <t>https://doi.org/10.48550/arxiv.2302.03791</t>
  </si>
  <si>
    <t>Learn then Test: Calibrating Predictive Algorithms to Achieve Risk Control</t>
  </si>
  <si>
    <t>A. Angelopoulos</t>
  </si>
  <si>
    <t>Annals of Applied Statistics 19(2)</t>
  </si>
  <si>
    <t>Citation chasing; located with OpenAlex title lookup CC-01</t>
  </si>
  <si>
    <t>Citation chasing</t>
  </si>
  <si>
    <t>Backward: cited by CRC, CV-CRC, Wang 2025 (CLCP). Title and abstract judged relevant before retrieval</t>
  </si>
  <si>
    <t>https://doi.org/10.1214/24-AOAS1998</t>
  </si>
  <si>
    <t>FinQA: A Dataset of Numerical Reasoning over Financial Data</t>
  </si>
  <si>
    <t>Z. Chen</t>
  </si>
  <si>
    <t>Backward: cited by Chen 2023, ReasTAP, Table-R1, Shah 2024. Title and abstract judged relevant before retrieval</t>
  </si>
  <si>
    <t>https://doi.org/10.18653/v1/2021.emnlp-main.300</t>
  </si>
  <si>
    <t>On Calibration of Modern Neural Networks</t>
  </si>
  <si>
    <t>C. Guo</t>
  </si>
  <si>
    <t>ICML 2017 (PMLR 70)</t>
  </si>
  <si>
    <t>Backward: cited by RAGTruth, Cheung 2025. Title and abstract judged relevant before retrieval</t>
  </si>
  <si>
    <t>https://proceedings.mlr.press/v70/guo17a/guo17a.pdf</t>
  </si>
  <si>
    <t>Survey of Hallucination in Natural Language Generation</t>
  </si>
  <si>
    <t>Z. Ji</t>
  </si>
  <si>
    <t>ACM Computing Surveys 55(12)</t>
  </si>
  <si>
    <t>Citation chasing; located with OpenAlex title lookup CC-02</t>
  </si>
  <si>
    <t>Backward: cited by Huang 2025, RAGTruth, FAVA, NegHalu. Title and abstract judged relevant before retrieval</t>
  </si>
  <si>
    <t>https://doi.org/10.1145/3571730</t>
  </si>
  <si>
    <t>SummaC: Re-Visiting NLI-based Models for Inconsistency Detection in Summarization</t>
  </si>
  <si>
    <t>P. Laban</t>
  </si>
  <si>
    <t>TACL 10</t>
  </si>
  <si>
    <t>Backward: cited by AlignScore, TRUE, TrueTeacher, WeCheck, QAFactEval. Title and abstract judged relevant before retrieval</t>
  </si>
  <si>
    <t>https://doi.org/10.1162/tacl_a_00453</t>
  </si>
  <si>
    <t>HaluEval: A Large-Scale Hallucination Evaluation Benchmark for Large Language Models</t>
  </si>
  <si>
    <t>J. Li</t>
  </si>
  <si>
    <t>Backward: cited by Huang 2025, RAGTruth, PsiloQA, RL4HS. Title and abstract judged relevant before retrieval</t>
  </si>
  <si>
    <t>https://doi.org/10.18653/v1/2023.emnlp-main.397</t>
  </si>
  <si>
    <t>SelfCheckGPT: Zero-Resource Black-Box Hallucination Detection for Generative Large Language Models</t>
  </si>
  <si>
    <t>P. Manakul</t>
  </si>
  <si>
    <t>Backward: cited by Huang 2025, RAGTruth, FAVA, RL4HS. Title and abstract judged relevant before retrieval</t>
  </si>
  <si>
    <t>https://doi.org/10.18653/v1/2023.emnlp-main.557</t>
  </si>
  <si>
    <t>FActScore: Fine-grained Atomic Evaluation of Factual Precision in Long Form Text Generation</t>
  </si>
  <si>
    <t>S. Min</t>
  </si>
  <si>
    <t>Backward: cited by Huang 2025, FAVA, PsiloQA. Title and abstract judged relevant before retrieval</t>
  </si>
  <si>
    <t>https://doi.org/10.18653/v1/2023.emnlp-main.741</t>
  </si>
  <si>
    <t>Language Models with Conformal Factuality Guarantees</t>
  </si>
  <si>
    <t>C. Mohri</t>
  </si>
  <si>
    <t>ICML 2024 (PMLR 235)</t>
  </si>
  <si>
    <t>Forward: cites CRC (included). Title and abstract judged relevant before retrieval</t>
  </si>
  <si>
    <t>https://arxiv.org/pdf/2402.10978</t>
  </si>
  <si>
    <t>MiniCheck: Efficient Fact-Checking of LLMs on Grounding Documents</t>
  </si>
  <si>
    <t>L. Tang</t>
  </si>
  <si>
    <t>EMNLP 2024 (Main)</t>
  </si>
  <si>
    <t>Backward: cited by RL4HS. Title and abstract judged relevant before retrieval</t>
  </si>
  <si>
    <t>https://doi.org/10.18653/v1/2024.emnlp-main.499</t>
  </si>
  <si>
    <t>FinDVer: Explainable Claim Verification over Long and Hybrid-content Financial Documents</t>
  </si>
  <si>
    <t>Y. Zhao</t>
  </si>
  <si>
    <t>Forward: cites TabFact and FEVEROUS (included). Title and abstract judged relevant before retrieval</t>
  </si>
  <si>
    <t>https://doi.org/10.18653/v1/2024.emnlp-main.818</t>
  </si>
  <si>
    <t>TAT-QA: A Question Answering Benchmark on a Hybrid of Tabular and Textual Content in Finance</t>
  </si>
  <si>
    <t>F. Zhu</t>
  </si>
  <si>
    <t>ACL-IJCNLP 2021 (Long Papers)</t>
  </si>
  <si>
    <t>Backward: cited by Chen 2023, ReasTAP. Title and abstract judged relevant before retrieval</t>
  </si>
  <si>
    <t>https://doi.org/10.18653/v1/2021.acl-long.254</t>
  </si>
  <si>
    <t>03 - Extraction matrix: Detection (included studies)</t>
  </si>
  <si>
    <t>One row per included study, ordered by subtopic. Every figure is taken from the paper itself; 'Limitations / gap' records what the authors state (or 'No limitations section' when they state none). Column O links back to the screening log.</t>
  </si>
  <si>
    <t>Citation (Author, Year)</t>
  </si>
  <si>
    <t>Study type</t>
  </si>
  <si>
    <t>Research focus</t>
  </si>
  <si>
    <t>Data / evaluation setting</t>
  </si>
  <si>
    <t>Method / model</t>
  </si>
  <si>
    <t>Dataset, metrics and key results</t>
  </si>
  <si>
    <t>Limitations / gap stated by authors</t>
  </si>
  <si>
    <t>Member subtopic</t>
  </si>
  <si>
    <t>Free full-text URL</t>
  </si>
  <si>
    <t>Free-access route</t>
  </si>
  <si>
    <t>Screening log #</t>
  </si>
  <si>
    <t>Honovich et al., 2021</t>
  </si>
  <si>
    <t>Evaluation metric and dataset</t>
  </si>
  <si>
    <t>Reference-free factual-consistency metric for knowledge-grounded dialogue</t>
  </si>
  <si>
    <t>Wizard-of-Wikipedia responses annotated for factual consistency; also Topical-Chat and DialogueNLI</t>
  </si>
  <si>
    <t>Q2: generate questions from the response, answer them on the knowledge, compare answer spans with NLI</t>
  </si>
  <si>
    <t>Q2 correlates more strongly with human judgements than token-overlap and other baselines on all three datasets</t>
  </si>
  <si>
    <t>Authors propose mapping response parts (chit-chat, persona, factual) to their own source of truth as future work</t>
  </si>
  <si>
    <t>https://aclanthology.org/2021.emnlp-main.619.pdf</t>
  </si>
  <si>
    <t>ACL Anthology (open access)</t>
  </si>
  <si>
    <t>Fabbri et al., 2022</t>
  </si>
  <si>
    <t>Evaluation metric</t>
  </si>
  <si>
    <t>Whether QA-based or entailment-based metrics are better for summary consistency, under a fair comparison</t>
  </si>
  <si>
    <t>SummaC factual-consistency benchmark (six summarisation datasets)</t>
  </si>
  <si>
    <t>Systematic ablation of QA-metric components (question generation, answerability); optimised QAFactEval; combination with entailment</t>
  </si>
  <si>
    <t>14% average improvement over earlier QA-based metrics on SummaC; beats the best entailment metric; QA and NLI signals are complementary</t>
  </si>
  <si>
    <t>Underlying models are trained on English documents only; question generation and answerability remain the key components to improve</t>
  </si>
  <si>
    <t>https://aclanthology.org/2022.naacl-main.187.pdf</t>
  </si>
  <si>
    <t>ACL Anthology (open access); found as arXiv record, peer-reviewed version assessed</t>
  </si>
  <si>
    <t>Honovich et al., 2022</t>
  </si>
  <si>
    <t>Meta-evaluation</t>
  </si>
  <si>
    <t>Fair, example-level comparison of factual-consistency metrics across tasks</t>
  </si>
  <si>
    <t>11 datasets from summarisation, dialogue, fact verification and paraphrasing in one labelling scheme</t>
  </si>
  <si>
    <t>Example-level ROC AUC for 12 metrics</t>
  </si>
  <si>
    <t>Large NLI and QG-QA methods perform best and are complementary</t>
  </si>
  <si>
    <t>Headroom remains, shown by the complementarity of the best methods</t>
  </si>
  <si>
    <t>https://aclanthology.org/2022.naacl-main.287.pdf</t>
  </si>
  <si>
    <t>Laban et al., 2022</t>
  </si>
  <si>
    <t>Method and benchmark</t>
  </si>
  <si>
    <t>Making NLI models work for summary inconsistency detection</t>
  </si>
  <si>
    <t>SummaC benchmark: six inconsistency-detection datasets</t>
  </si>
  <si>
    <t>Sentence-level NLI scoring (SummaCZS) and a learned aggregation (SummaCConv)</t>
  </si>
  <si>
    <t>Balanced accuracy 74.4%, five points above prior work</t>
  </si>
  <si>
    <t>Granularity mismatch between sentence-level NLI and document-level checking is the core issue addressed</t>
  </si>
  <si>
    <t>https://arxiv.org/pdf/2111.09525</t>
  </si>
  <si>
    <t>arXiv author version (pre-MIT Press TACL version)</t>
  </si>
  <si>
    <t>Lotfi et al., 2022</t>
  </si>
  <si>
    <t>Benchmark and evaluation pipeline</t>
  </si>
  <si>
    <t>Testing whether chatbots stay factually consistent with their persona and the conversation history</t>
  </si>
  <si>
    <t>ConsisTest: WH and yes/no questions built on PersonaChat; BART-family generators</t>
  </si>
  <si>
    <t>Hybrid evaluation pipeline that combines symbolic matching with neural (sub-symbolic) scoring</t>
  </si>
  <si>
    <t>Pipeline correlates well with human judgement; staying consistent with history is harder than with persona</t>
  </si>
  <si>
    <t>Only short, clear question-answer pairs; consistency is not only factual; the benchmark needs more and better-balanced instances</t>
  </si>
  <si>
    <t>https://aclanthology.org/2022.gem-1.47.pdf</t>
  </si>
  <si>
    <t>Fu et al., 2023</t>
  </si>
  <si>
    <t>Empirical evaluation</t>
  </si>
  <si>
    <t>Whether LLMs can be trusted to judge the factual consistency of summaries</t>
  </si>
  <si>
    <t>Standard summary-factuality benchmarks with human labels; GPT-3.5, GPT-4, PaLM-2</t>
  </si>
  <si>
    <t>Single-LLM QA-based factuality pipeline and direct LLM scoring, compared by correlation with humans</t>
  </si>
  <si>
    <t>No approach reached a correlation above 0.3 with human factuality judgements for GPT-4 or PaLM-2 (GPT-3.5 only in two error types)</t>
  </si>
  <si>
    <t>Closed models are continuously updated, so results may not replicate</t>
  </si>
  <si>
    <t>https://arxiv.org/pdf/2311.00681</t>
  </si>
  <si>
    <t>arXiv author version of the GEM 2023 paper</t>
  </si>
  <si>
    <t>Gekhman et al., 2023</t>
  </si>
  <si>
    <t>Method (synthetic training data)</t>
  </si>
  <si>
    <t>Training consistency checkers on LLM-labelled real model summaries</t>
  </si>
  <si>
    <t>1.4M model-generated summaries labelled by a 540B LLM; TRUE benchmark and a multilingual setting</t>
  </si>
  <si>
    <t>TrueTeacher: generate diverse summaries, label them with an LLM, train a T5 checker</t>
  </si>
  <si>
    <t>ROC-AUC improves from 82.7 to 87.8 over the same model trained on prior synthetic data</t>
  </si>
  <si>
    <t>LLM labels are noisy; relies on a very large labelling LLM</t>
  </si>
  <si>
    <t>https://aclanthology.org/2023.emnlp-main.127.pdf</t>
  </si>
  <si>
    <t>Ji et al., 2023</t>
  </si>
  <si>
    <t>Survey</t>
  </si>
  <si>
    <t>Hallucination across natural language generation tasks</t>
  </si>
  <si>
    <t>Review covering summarisation, dialogue, QA, data-to-text, translation and more</t>
  </si>
  <si>
    <t>Defines intrinsic vs extrinsic hallucination; reviews causes, metrics and mitigation per task</t>
  </si>
  <si>
    <t>Common vocabulary and metric families (statistical, model-based) for hallucination</t>
  </si>
  <si>
    <t>Calls for fine-grained metrics that separate intrinsic from extrinsic errors and locate the hallucinated sub-strings</t>
  </si>
  <si>
    <t>https://arxiv.org/pdf/2202.03629</t>
  </si>
  <si>
    <t>arXiv author version of the journal article</t>
  </si>
  <si>
    <t>Li et al., 2023</t>
  </si>
  <si>
    <t>Benchmark</t>
  </si>
  <si>
    <t>How often LLMs hallucinate and whether they can recognise hallucinations</t>
  </si>
  <si>
    <t>Generated and human-annotated hallucinated samples for QA, dialogue, summarisation and general queries</t>
  </si>
  <si>
    <t>Sampling-then-filtering generation of hallucinated samples; human labelling</t>
  </si>
  <si>
    <t>About 19.5% of ChatGPT responses contain hallucinations; LLMs struggle to recognise them</t>
  </si>
  <si>
    <t>Sample quality is bounded by ChatGPT; causes of hallucination not studied</t>
  </si>
  <si>
    <t>https://aclanthology.org/2023.emnlp-main.397.pdf</t>
  </si>
  <si>
    <t>Manakul et al., 2023</t>
  </si>
  <si>
    <t>Method (detector)</t>
  </si>
  <si>
    <t>Detecting hallucinations in black-box LLM output without external resources</t>
  </si>
  <si>
    <t>238 GPT-3 WikiBio passages with sentence-level factuality labels</t>
  </si>
  <si>
    <t>SelfCheckGPT: compare the response with stochastically sampled responses (BERTScore, QA, n-gram, NLI, prompt variants)</t>
  </si>
  <si>
    <t>Beats grey-box and black-box baselines at sentence and passage level; grey-box token probabilities lift NonFact AUC-PR from 72.96 (random) to 83.21</t>
  </si>
  <si>
    <t>Tested on biographies of individuals; sentence-level only; prompt variant is computationally heavy</t>
  </si>
  <si>
    <t>https://aclanthology.org/2023.emnlp-main.557.pdf</t>
  </si>
  <si>
    <t>Min et al., 2023</t>
  </si>
  <si>
    <t>Scoring long-form factual precision by atomic facts</t>
  </si>
  <si>
    <t>People biographies checked against Wikipedia; 6,500 generations from 13 LMs</t>
  </si>
  <si>
    <t>FActScore: split output into atomic facts, check each against a knowledge source; automated estimator</t>
  </si>
  <si>
    <t>ChatGPT reaches only 58%; the automated estimator is within 2% error of human scores</t>
  </si>
  <si>
    <t>Biographies and Wikipedia only; not suited to nuanced, debatable or conflicting facts</t>
  </si>
  <si>
    <t>https://aclanthology.org/2023.emnlp-main.741.pdf</t>
  </si>
  <si>
    <t>Wu et al., 2023</t>
  </si>
  <si>
    <t>Method (factual-consistency checker)</t>
  </si>
  <si>
    <t>Training a factual-consistency checker on real model outputs instead of synthetic data</t>
  </si>
  <si>
    <t>TRUE benchmark (summarisation, dialogue, paraphrase, fact verification)</t>
  </si>
  <si>
    <t>Weak labels from several metrics aggregated by a generative labelling model, then noise-aware fine-tuning of a 435M classifier</t>
  </si>
  <si>
    <t>+3.3% average absolute over 11B state-of-the-art checkers on TRUE with 435M parameters; up to 30x faster</t>
  </si>
  <si>
    <t>Hyper-parameters need careful per-task selection; noise from the weak-labelling step carries into training (end-to-end training suggested)</t>
  </si>
  <si>
    <t>https://aclanthology.org/2023.acl-long.18.pdf</t>
  </si>
  <si>
    <t>Zha et al., 2023a</t>
  </si>
  <si>
    <t>One alignment function for factual consistency across tasks</t>
  </si>
  <si>
    <t>4.7M training examples from 7 tasks; 22 evaluation datasets (19 unseen)</t>
  </si>
  <si>
    <t>AlignScore: RoBERTa alignment model with chunk-and-sentence splitting</t>
  </si>
  <si>
    <t>State of the art on SummaC and TRUE; a 355M model matches or beats ChatGPT and GPT-4 based metrics</t>
  </si>
  <si>
    <t>No span-level localisation of errors; noisy synthetic training data; English only</t>
  </si>
  <si>
    <t>https://aclanthology.org/2023.acl-long.634.pdf</t>
  </si>
  <si>
    <t>Zha et al., 2023b</t>
  </si>
  <si>
    <t>Method (unified alignment model)</t>
  </si>
  <si>
    <t>One small text-alignment model for entailment, QA answerability and factual consistency</t>
  </si>
  <si>
    <t>5.9M examples from 28 datasets for training; 20+ NLU datasets and 23 factual-consistency datasets for testing</t>
  </si>
  <si>
    <t>ALIGN: RoBERTa (355M) fine-tuned to score how well one text's information aligns with another's</t>
  </si>
  <si>
    <t>Matches or beats FLAN-T5 models with 2-10x more parameters; on factual consistency beats baselines including GPT-3.5 and sometimes GPT-4; flags unanswerable questions for LLM QA</t>
  </si>
  <si>
    <t>Splitting long text into sentences assumes they are self-contained, losing document-level meaning and slowing long inputs; dataset and synthetic-data biases</t>
  </si>
  <si>
    <t>https://arxiv.org/pdf/2307.02729</t>
  </si>
  <si>
    <t>arXiv author version of the NeurIPS paper</t>
  </si>
  <si>
    <t>Ramprasad et al., 2024</t>
  </si>
  <si>
    <t>Benchmark and empirical analysis</t>
  </si>
  <si>
    <t>How faithful LLM dialogue summaries are, at span level, and whether existing detectors catch the errors</t>
  </si>
  <si>
    <t>Dialogue summaries from GPT-4 and Alpaca-13B with human span-level annotations</t>
  </si>
  <si>
    <t>Human annotation with a refined error taxonomy; evaluation of automatic detectors; two prompt-based fine-grained detectors</t>
  </si>
  <si>
    <t>LLMs often make 'circumstantial inferences' (plausible but unsupported); existing automatic detectors struggle to find them; the prompt-based detectors show progress</t>
  </si>
  <si>
    <t>Annotation is costly, so only two LLMs were studied; the GPT-4-based detectors are closed and expensive, which limits reproducibility</t>
  </si>
  <si>
    <t>https://aclanthology.org/2024.acl-long.677.pdf</t>
  </si>
  <si>
    <t>Tang et al., 2024</t>
  </si>
  <si>
    <t>Method (fact-checker)</t>
  </si>
  <si>
    <t>Small grounding fact-checkers with GPT-4-level accuracy</t>
  </si>
  <si>
    <t>LLM-AggreFact benchmark of grounded generation</t>
  </si>
  <si>
    <t>MiniCheck models trained on GPT-4-generated synthetic claims that need multi-sentence reasoning</t>
  </si>
  <si>
    <t>A 770M model reaches GPT-4 level at about 400 times lower cost</t>
  </si>
  <si>
    <t>Gives a sentence-level label; cannot localise errors to spans</t>
  </si>
  <si>
    <t>https://aclanthology.org/2024.emnlp-main.499.pdf</t>
  </si>
  <si>
    <t>Cheung, 2025</t>
  </si>
  <si>
    <t>Verifying RAG answers with several small language models</t>
  </si>
  <si>
    <t>Over 100 question-answer-context sets with fully and partially correct answers</t>
  </si>
  <si>
    <t>Split the answer into sentences; multiple small LMs check each against the retrieved context</t>
  </si>
  <si>
    <t>F1 for separating correct responses from hallucinations improves by 10%</t>
  </si>
  <si>
    <t>No limitations section; small evaluation set</t>
  </si>
  <si>
    <t>https://arxiv.org/pdf/2506.22486</t>
  </si>
  <si>
    <t>arXiv author version of the IEEE paper</t>
  </si>
  <si>
    <t>Huang et al., 2025</t>
  </si>
  <si>
    <t>Taxonomy, causes, detection, benchmarks and mitigation of LLM hallucination</t>
  </si>
  <si>
    <t>Review of LLM hallucination literature, incl. retrieval-augmented systems</t>
  </si>
  <si>
    <t>Structured survey: factuality vs faithfulness hallucinations; data, training and inference causes; detection methods and benchmarks</t>
  </si>
  <si>
    <t>Organises detectors (fact-checking, uncertainty, faithfulness metrics) and benchmarks; shows retrieval alone does not remove hallucination</t>
  </si>
  <si>
    <t>Retrieval-augmented LLMs still hallucinate; future work on vision-language hallucination and on LLM knowledge boundaries</t>
  </si>
  <si>
    <t>https://arxiv.org/pdf/2311.05232</t>
  </si>
  <si>
    <t>Seo et al., 2025</t>
  </si>
  <si>
    <t>Whether LLMs can still detect hallucinations when the text contains negation</t>
  </si>
  <si>
    <t>NegHalu: existing hallucination-detection sets (HaluEval subset, BamBoo) rewritten with negated expressions</t>
  </si>
  <si>
    <t>Pre- vs post-negation detection experiments across LLMs; token-level tracing of internal states</t>
  </si>
  <si>
    <t>LLMs struggle to detect hallucinations in negated text, often giving logically inconsistent or unfaithful judgements</t>
  </si>
  <si>
    <t>Only a subset of HaluEval; slight label imbalance; larger models not tested for compute reasons; GPT-4 used as both generator and judge may add bias</t>
  </si>
  <si>
    <t>https://aclanthology.org/2025.emnlp-main.684.pdf</t>
  </si>
  <si>
    <t>Liu et al., 2022</t>
  </si>
  <si>
    <t>Token-level hallucination detection without a reference text</t>
  </si>
  <si>
    <t>HADES: perturbed Wikipedia text with token-level labels</t>
  </si>
  <si>
    <t>Model-in-the-loop iterative annotation; feature-based and pretrained (BERT, RoBERTa) detectors</t>
  </si>
  <si>
    <t>Accuracy 71.92 (BERT) and 72.83 (RoBERTa) on token-level detection</t>
  </si>
  <si>
    <t>Hallucinations are simulated by perturbation rather than produced by real generators</t>
  </si>
  <si>
    <t>https://aclanthology.org/2022.acl-long.464.pdf</t>
  </si>
  <si>
    <t>Mishra et al., 2024</t>
  </si>
  <si>
    <t>Benchmark and method</t>
  </si>
  <si>
    <t>Fine-grained hallucination detection and editing by error type</t>
  </si>
  <si>
    <t>FavaBench: about 1,000 fine-grained human judgements on outputs of three LMs</t>
  </si>
  <si>
    <t>Six-type hallucination taxonomy; FAVA, a retrieval-augmented LM trained on synthetic data to detect and edit</t>
  </si>
  <si>
    <t>FAVA beats ChatGPT by 23.7% on fine-grained detection and improves factuality through edits</t>
  </si>
  <si>
    <t>Large room for improvement remains in fine-grained detection</t>
  </si>
  <si>
    <t>https://arxiv.org/pdf/2401.06855</t>
  </si>
  <si>
    <t>arXiv author version of the COLM paper</t>
  </si>
  <si>
    <t>Niu et al., 2024</t>
  </si>
  <si>
    <t>Benchmark and detector evaluation</t>
  </si>
  <si>
    <t>Word-level hallucinations in real retrieval-augmented outputs</t>
  </si>
  <si>
    <t>Nearly 18,000 RAG responses from several LLMs across QA, data-to-text and summarisation</t>
  </si>
  <si>
    <t>Human word-level annotation; benchmark of prompt-based and fine-tuned detectors</t>
  </si>
  <si>
    <t>A modest fine-tuned Llama detector is competitive with GPT-4 prompting at response and span level</t>
  </si>
  <si>
    <t>Detector generality across datasets untested; trade-off between manual and synthetic annotation</t>
  </si>
  <si>
    <t>https://aclanthology.org/2024.acl-long.585.pdf</t>
  </si>
  <si>
    <t>Rykov et al., 2025</t>
  </si>
  <si>
    <t>Multilingual span-level hallucination detection</t>
  </si>
  <si>
    <t>PsiloQA: span-annotated QA hallucinations in 14 languages</t>
  </si>
  <si>
    <t>Automated pipeline: GPT-4o QA generation, hallucination elicitation, GPT-4o span annotation; encoder and LLM detectors compared</t>
  </si>
  <si>
    <t>Encoder models (e.g. mmBERT, ModernBERT) perform best; best AP 80.1% and IoU 76.8%</t>
  </si>
  <si>
    <t>GPT-4o annotation may be biased; QA only; hallucination types not controlled</t>
  </si>
  <si>
    <t>https://aclanthology.org/2025.findings-emnlp.626.pdf</t>
  </si>
  <si>
    <t>Taş et al., 2025</t>
  </si>
  <si>
    <t>Method (encoder span detector)</t>
  </si>
  <si>
    <t>Token-level hallucination detection for RAG in a morphologically rich, low-resource language</t>
  </si>
  <si>
    <t>Machine-translated RAGTruth (17,790 instances: QA, data-to-text, summarisation) in Turkish</t>
  </si>
  <si>
    <t>LettuceDetect-style token classification with Turkish ModernBERT, TurkEmbed4STS and EuroBERT encoders (8,192-token context)</t>
  </si>
  <si>
    <t>ModernBERT model reaches token F1 0.7266 on the full test set, strongest on structured (data-to-text) tasks</t>
  </si>
  <si>
    <t>Training data are machine-translated from English; the most stable encoder is not always the top performer</t>
  </si>
  <si>
    <t>https://arxiv.org/pdf/2509.17671</t>
  </si>
  <si>
    <t>Su et al., 2026</t>
  </si>
  <si>
    <t>Method (RL-trained span detector)</t>
  </si>
  <si>
    <t>Whether explicit reasoning, trained with reinforcement learning, improves hallucination span detection</t>
  </si>
  <si>
    <t>RAGTruth (summarisation, QA, data-to-text)</t>
  </si>
  <si>
    <t>RL4HS: GRPO with a span-level reward plus Class-Aware Policy Optimisation against reward imbalance</t>
  </si>
  <si>
    <t>Beats pretrained reasoning models and supervised fine-tuning on RAGTruth span detection</t>
  </si>
  <si>
    <t>Plain GRPO is reward-hacked by predicting no spans (high precision, low recall), which CAPO is designed to fix</t>
  </si>
  <si>
    <t>https://arxiv.org/pdf/2510.02173</t>
  </si>
  <si>
    <t>arXiv author version of the ICLR paper</t>
  </si>
  <si>
    <t>Thorne &amp; Vlachos, 2017</t>
  </si>
  <si>
    <t>System demonstration</t>
  </si>
  <si>
    <t>Verifying simple numerical claims against knowledge-base tables</t>
  </si>
  <si>
    <t>Fast and Furious Fact Check challenge (numerical claims such as population figures)</t>
  </si>
  <si>
    <t>Semantic parsing and claim identification over multiple tables, trained on automatically generated data</t>
  </si>
  <si>
    <t>68% accuracy on the numerical claims (a quarter of the challenge)</t>
  </si>
  <si>
    <t>Handles a limited range of simple claim types</t>
  </si>
  <si>
    <t>https://aclanthology.org/E17-3010.pdf</t>
  </si>
  <si>
    <t>Chen et al., 2020</t>
  </si>
  <si>
    <t>Fact verification against semi-structured tables</t>
  </si>
  <si>
    <t>TabFact: 16k Wikipedia tables and 118k statements</t>
  </si>
  <si>
    <t>Two baselines: Table-BERT and the program-based Latent Program Algorithm (LPA)</t>
  </si>
  <si>
    <t>Both baselines reach similar accuracy but lag far behind humans (92.1%)</t>
  </si>
  <si>
    <t>Authors highlight the large gap to human performance as future opportunity</t>
  </si>
  <si>
    <t>https://arxiv.org/pdf/1909.02164</t>
  </si>
  <si>
    <t>Shi et al., 2020</t>
  </si>
  <si>
    <t>Method (table verifier)</t>
  </si>
  <si>
    <t>Combining linguistic evidence with symbolic programs for table fact verification</t>
  </si>
  <si>
    <t>TabFact</t>
  </si>
  <si>
    <t>HeterTFV: program graph of LISP-like logical forms joined with statement and table nodes in a heterogeneous graph network</t>
  </si>
  <si>
    <t>72.3% test accuracy on TabFact; +7.2% over Table-BERT</t>
  </si>
  <si>
    <t>Evaluated on TabFact only; authors plan to carry the linguistic-symbolic combination to knowledge-graph and text reasoning</t>
  </si>
  <si>
    <t>https://aclanthology.org/2020.coling-main.466.pdf</t>
  </si>
  <si>
    <t>Yang et al., 2020</t>
  </si>
  <si>
    <t>Method (program-based verifier)</t>
  </si>
  <si>
    <t>Using executed programs as evidence for table verification</t>
  </si>
  <si>
    <t>ProgVGAT: verbalised program execution results fused with a graph attention network</t>
  </si>
  <si>
    <t>74.4% accuracy on TabFact, state of the art at publication</t>
  </si>
  <si>
    <t>No limitations section; relies on programs from a weakly supervised semantic parser</t>
  </si>
  <si>
    <t>https://aclanthology.org/2020.emnlp-main.628.pdf</t>
  </si>
  <si>
    <t>Zhang et al., 2020</t>
  </si>
  <si>
    <t>Encoding table structure inside a pre-trained transformer for fact verification</t>
  </si>
  <si>
    <t>Structure-Aware Transformer: table structure injected into the self-attention mask, plus a summary row carrying symbolic results</t>
  </si>
  <si>
    <t>+4.93% accuracy over the previous state of the art on TabFact</t>
  </si>
  <si>
    <t>Authors state that plenty of potential remains for future work; method could extend to other semi-structured tasks</t>
  </si>
  <si>
    <t>https://aclanthology.org/2020.emnlp-main.126.pdf</t>
  </si>
  <si>
    <t>Aly et al., 2021</t>
  </si>
  <si>
    <t>Claim verification using both text and table evidence</t>
  </si>
  <si>
    <t>FEVEROUS: 87,026 claims with sentence and table-cell evidence from Wikipedia</t>
  </si>
  <si>
    <t>Retrieval plus verdict-prediction baseline</t>
  </si>
  <si>
    <t>Baseline FEVEROUS score is only 0.18</t>
  </si>
  <si>
    <t>Does not cover cherry-picking, where true facts are used out of context</t>
  </si>
  <si>
    <t>https://arxiv.org/pdf/2106.05707</t>
  </si>
  <si>
    <t>Dong &amp; Smith, 2021</t>
  </si>
  <si>
    <t>Adapting TAPAS with table-structure and numerical-rank information for verification</t>
  </si>
  <si>
    <t>TabFact; analysis by numerical reasoning type</t>
  </si>
  <si>
    <t>TAPAS-Row-Col and TAPAS-Row-Col-Rank with pre-training on Wikipedia tables and on QA</t>
  </si>
  <si>
    <t>73.9% without numeric features (vs 72.2% for GNN-TabFact); 76% with cell ranks and QA pre-training</t>
  </si>
  <si>
    <t>No limitations section; the best results depend on extra pre-training on Wikipedia tables and a QA task</t>
  </si>
  <si>
    <t>https://aclanthology.org/2021.eacl-main.201.pdf</t>
  </si>
  <si>
    <t>Rezgui et al., 2021</t>
  </si>
  <si>
    <t>Method (numeric claim verification)</t>
  </si>
  <si>
    <t>Checking numerical claims in generated data summaries against the source data</t>
  </si>
  <si>
    <t>Basketball game summaries from the INLG 2021 Accuracy Shared Task</t>
  </si>
  <si>
    <t>Claim identification, query construction over the source tables, and computational verification</t>
  </si>
  <si>
    <t>Flags incorrect statistical claims with limited human supervision</t>
  </si>
  <si>
    <t>Claims with unusual wording (e.g. 'double-double', '6-for-13') defeat the extractors; some claims need data beyond the retrieval modules</t>
  </si>
  <si>
    <t>https://aclanthology.org/2021.inlg-1.27.pdf</t>
  </si>
  <si>
    <t>Shi et al., 2021</t>
  </si>
  <si>
    <t>Avoiding spurious programs in program-based table verification</t>
  </si>
  <si>
    <t>LERGV: rule-based retrieval of logic-level, program-like evidence, then a graph-based verification network</t>
  </si>
  <si>
    <t>75.5% test accuracy on TabFact, above all baselines including LPA</t>
  </si>
  <si>
    <t>Gap stated: weakly supervised program generation yields spurious programs that mislead program-based verifiers</t>
  </si>
  <si>
    <t>https://aclanthology.org/2021.emnlp-main.16.pdf</t>
  </si>
  <si>
    <t>Wang et al., 2021a</t>
  </si>
  <si>
    <t>Finding which statement tokens matter for table verification and using them for training</t>
  </si>
  <si>
    <t>Probing-based token salience; masked salient-token prediction and salience-aware data augmentation on a TAPAS backbone</t>
  </si>
  <si>
    <t>82.1% test accuracy (76.7% on the complex set); gap to humans on the small test set cut to 7.8 points</t>
  </si>
  <si>
    <t>Authors plan to extend the approach beyond TabFact to NLI and table QA</t>
  </si>
  <si>
    <t>https://aclanthology.org/2021.findings-emnlp.338.pdf</t>
  </si>
  <si>
    <t>Wang et al., 2021b</t>
  </si>
  <si>
    <t>Shared task and dataset</t>
  </si>
  <si>
    <t>Verifying statements against tables in scientific papers and finding the evidence cells</t>
  </si>
  <si>
    <t>981 manually built and 1,980 auto-generated tables; 180K+ statements; 16M+ evidence annotations</t>
  </si>
  <si>
    <t>Two sub-tasks: (A) supported / refuted / unknown, (B) evidence-cell identification; Table-BERT baseline</t>
  </si>
  <si>
    <t>19 systems submitted to sub-task A and 12 to sub-task B; evidence-finding scores remain low</t>
  </si>
  <si>
    <t>Evidence finding has large room for improvement; the test set should add natural and automated statements</t>
  </si>
  <si>
    <t>https://aclanthology.org/2021.semeval-1.39.pdf</t>
  </si>
  <si>
    <t>Yang &amp; Zhu, 2021</t>
  </si>
  <si>
    <t>Verifying complex table statements by breaking them into simpler sub-problems</t>
  </si>
  <si>
    <t>Program-guided pseudo decompositions train a GPT-2 decomposer; sub-problem answers become intermediate evidence for the verifier</t>
  </si>
  <si>
    <t>82.7% accuracy on TabFact, a new state of the art at publication</t>
  </si>
  <si>
    <t>Pseudo decompositions come from a weakly supervised parser; finer-grained, iterative decomposition is left to future work</t>
  </si>
  <si>
    <t>https://aclanthology.org/2021.findings-emnlp.90.pdf</t>
  </si>
  <si>
    <t>Gu et al., 2022</t>
  </si>
  <si>
    <t>Method (pre-training)</t>
  </si>
  <si>
    <t>Making language models aware of table operations through pre-training</t>
  </si>
  <si>
    <t>TabFact and SEM-TAB-FACTS</t>
  </si>
  <si>
    <t>PASTA: 1.2M synthesised sentence-table cloze questions over six operations (filter, aggregation, superlative, comparative, ordinal, unique)</t>
  </si>
  <si>
    <t>New state of the art on both benchmarks; on TabFact's complex set 85.6% vs 80.9% previous best (+4.7 points)</t>
  </si>
  <si>
    <t>Template-generated corpus may lack diversity; verifies against a single table only, while real claims may need several tables and longer inputs</t>
  </si>
  <si>
    <t>https://aclanthology.org/2022.emnlp-main.331.pdf</t>
  </si>
  <si>
    <t>Hu et al., 2022</t>
  </si>
  <si>
    <t>Method (claim verifier)</t>
  </si>
  <si>
    <t>Verifying claims whose evidence mixes sentences and table cells</t>
  </si>
  <si>
    <t>FEVEROUS</t>
  </si>
  <si>
    <t>DCUF: evidence converted into two parallel streams (unified text and a global evidence table) for pre-trained language and table models</t>
  </si>
  <si>
    <t>Outperforms previous FEVEROUS systems by a large margin; with 10% of training data reaches a FEVEROUS score of 33.9%</t>
  </si>
  <si>
    <t>Error analysis: rule-based cell-to-text conversion adds noise and disfluent sentences; latent header cells cause errors</t>
  </si>
  <si>
    <t>https://aclanthology.org/2022.naacl-main.384.pdf</t>
  </si>
  <si>
    <t>Ou &amp; Liu, 2022</t>
  </si>
  <si>
    <t>Generating correct latent programs from statements so that verification is explainable</t>
  </si>
  <si>
    <t>TabFact and Logic2Text</t>
  </si>
  <si>
    <t>Structure-Aware Semantic Parsing over an operation-oriented tree, with an objective that penalises spurious programs</t>
  </si>
  <si>
    <t>Generates programs more accurately than earlier parsers; verification accuracy comparable with the state of the art</t>
  </si>
  <si>
    <t>Spurious programs remain a core difficulty; future work is to collect more precise evidence</t>
  </si>
  <si>
    <t>https://aclanthology.org/2022.acl-long.525.pdf</t>
  </si>
  <si>
    <t>Zhao et al., 2022</t>
  </si>
  <si>
    <t>Injecting table reasoning skills, including numerical operations, during pre-training</t>
  </si>
  <si>
    <t>WikiSQL-Weak, WikiTQ, TabFact, LogicNLG</t>
  </si>
  <si>
    <t>REASTAP: seven skill-specific generators of synthetic questions; sequence-to-sequence pre-training</t>
  </si>
  <si>
    <t>TabFact accuracy 84.7% (+0.7); WikiTQ 58.6% (+1.4); state of the art on all four benchmarks</t>
  </si>
  <si>
    <t>Templates limit question diversity; future work should add finance-style numerical reasoning and hierarchical tables</t>
  </si>
  <si>
    <t>https://aclanthology.org/2022.emnlp-main.615.pdf</t>
  </si>
  <si>
    <t>Zhou et al., 2022</t>
  </si>
  <si>
    <t>Handling the different numerical and logical reasoning types (count, superlative, comparative) in table verification</t>
  </si>
  <si>
    <t>Self-adaptive Mixture-of-Experts: reasoning-type experts combined by a management module trained without prior task knowledge</t>
  </si>
  <si>
    <t>85.1% accuracy on TabFact, comparable with or above previous state of the art</t>
  </si>
  <si>
    <t>Gap stated: pre-training-based verifiers may fail on reasoning types unseen in pre-training; table pruning can miss critical columns</t>
  </si>
  <si>
    <t>https://aclanthology.org/2022.findings-acl.13.pdf</t>
  </si>
  <si>
    <t>Chen, 2023</t>
  </si>
  <si>
    <t>How well few-shot LLMs reason over tables, including table fact verification</t>
  </si>
  <si>
    <t>WikiTableQuestions, FetaQA, TabFact, FEVEROUS</t>
  </si>
  <si>
    <t>GPT-3 with 1-shot chain-of-thought prompting over linearised tables</t>
  </si>
  <si>
    <t>With 1-shot chain-of-thought, LLMs are competitive with some fine-tuned systems on TabFact and FEVEROUS; reasoning chains match the underlying semantic form</t>
  </si>
  <si>
    <t>Still short of the state of the art; costly, and only large models do well, so smaller models remain weak at table reasoning</t>
  </si>
  <si>
    <t>https://aclanthology.org/2023.findings-eacl.83.pdf</t>
  </si>
  <si>
    <t>V et al., 2024</t>
  </si>
  <si>
    <t>Real-world numerical claims (comparative, statistical, interval, temporal)</t>
  </si>
  <si>
    <t>QuanTemp: multi-domain numerical claims with an evidence collection</t>
  </si>
  <si>
    <t>Evaluation of claim-decomposition and NLI-based verification pipelines</t>
  </si>
  <si>
    <t>Best macro-F1 is 58.32, showing how hard numerical claims are</t>
  </si>
  <si>
    <t>Numerical claims remain challenging for current verifiers</t>
  </si>
  <si>
    <t>https://arxiv.org/pdf/2403.17169</t>
  </si>
  <si>
    <t>arXiv author version of the ACM paper</t>
  </si>
  <si>
    <t>Wang et al., 2024</t>
  </si>
  <si>
    <t>Method (LLM prompting)</t>
  </si>
  <si>
    <t>Using evolving tables, not text, as the intermediate reasoning steps of an LLM</t>
  </si>
  <si>
    <t>WikiTQ, FeTaQA, TabFact with PaLM 2, GPT-3.5 and LLaMA 2</t>
  </si>
  <si>
    <t>Chain-of-Table: the LLM plans table operations step by step and updates the table after each</t>
  </si>
  <si>
    <t>State of the art on WikiTQ, FeTaQA and TabFact across LLMs; more than 10% better than the next method on large tables</t>
  </si>
  <si>
    <t>Performance still falls as tables grow larger (although more gracefully than other methods)</t>
  </si>
  <si>
    <t>https://arxiv.org/pdf/2401.04398</t>
  </si>
  <si>
    <t>Zhang et al., 2024</t>
  </si>
  <si>
    <t>Whether LLMs can act as table fact-checkers with prompting or instruction tuning</t>
  </si>
  <si>
    <t>Table fact verification benchmarks (TabFact) in zero-shot, few-shot and instruction-tuned settings</t>
  </si>
  <si>
    <t>Prompt designs for zero- and few-shot verification; TFV instruction data to tune LLaMA</t>
  </si>
  <si>
    <t>LLMs reach acceptable zero- and few-shot accuracy with prompt engineering; instruction tuning raises TFV ability significantly</t>
  </si>
  <si>
    <t>Presented as a preliminary study; prompt format and number of examples strongly affect accuracy</t>
  </si>
  <si>
    <t>https://arxiv.org/pdf/2402.02549</t>
  </si>
  <si>
    <t>Chungkham et al., 2025</t>
  </si>
  <si>
    <t>Method (test-time scaling)</t>
  </si>
  <si>
    <t>Whether spending more inference compute helps LLMs verify complex numerical claims</t>
  </si>
  <si>
    <t>Real-world numerical claims (QuanTemp-style) with retrieved evidence</t>
  </si>
  <si>
    <t>Best-of-N reasoning paths ranked by a trained verifier (VerifierFC); adaptive scaling by claim complexity</t>
  </si>
  <si>
    <t>Adaptive test-time scaling is 1.8x more efficient than standard scaling and 18.8% better than single-shot verification</t>
  </si>
  <si>
    <t>Clear gap remains to the upper bound; noisy retrieved evidence can bias results; stronger verifiers and human-annotated data needed</t>
  </si>
  <si>
    <t>https://aclanthology.org/2025.findings-emnlp.1322.pdf</t>
  </si>
  <si>
    <t>Cui et al., 2025</t>
  </si>
  <si>
    <t>Method (LLM agent)</t>
  </si>
  <si>
    <t>Verifiable misinformation detection with an LLM agent that includes a numerical-claim tool</t>
  </si>
  <si>
    <t>FakeNewsNet, LIAR and a COVID-19 misinformation set</t>
  </si>
  <si>
    <t>Plan-act-reflect agent with web search, source-credibility and numerical-claim verification tools and an evidence log</t>
  </si>
  <si>
    <t>Outperforms machine-learning and plain-LLM baselines on accuracy, reasoning quality and robustness to rewritten content</t>
  </si>
  <si>
    <t>No limitations section; evaluated only on news misinformation sets (FakeNewsNet, LIAR, COVID-19)</t>
  </si>
  <si>
    <t>https://arxiv.org/pdf/2508.03092</t>
  </si>
  <si>
    <t>Wu et al., 2025</t>
  </si>
  <si>
    <t>Making claim, table and program subgraphs connect tightly for table verification</t>
  </si>
  <si>
    <t>TabFact and FEVEROUS (structured); FEVER (unstructured, for extensibility)</t>
  </si>
  <si>
    <t>TFGIN: tight-fitting graphs join claim, table and program subgraphs; inter- and intra-graph inference finds consistent evidence</t>
  </si>
  <si>
    <t>State of the art on TabFact and FEVEROUS at publication; at least 4.9% better than the three-stage FaBULOUS model on all metrics</t>
  </si>
  <si>
    <t>Much of the structural information in table subgraphs is still unexplored; authors plan structure-similarity graph construction</t>
  </si>
  <si>
    <t>https://dl.acm.org/doi/full/10.1145/3734520</t>
  </si>
  <si>
    <t>ACM Digital Library (free access)</t>
  </si>
  <si>
    <t>Yang et al., 2025</t>
  </si>
  <si>
    <t>Method (post-training)</t>
  </si>
  <si>
    <t>Inference-time scaling (long reasoning) for table reasoning, including fact verification</t>
  </si>
  <si>
    <t>13 table benchmarks: short-form QA, fact verification, free-form QA</t>
  </si>
  <si>
    <t>Table-R1-SFT (distilled DeepSeek-R1 traces) and Table-R1-Zero (RL with verifiable rewards, GRPO)</t>
  </si>
  <si>
    <t>Table-R1-Zero (7B) matches or exceeds GPT-4.1 and DeepSeek-R1 and generalises out of domain</t>
  </si>
  <si>
    <t>SFT data come only from DeepSeek-R1; filtering may drop hard examples; RL on LLaMA-3.1-8B was unstable</t>
  </si>
  <si>
    <t>https://aclanthology.org/2025.emnlp-main.1040.pdf</t>
  </si>
  <si>
    <t>Chen et al., 2021</t>
  </si>
  <si>
    <t>Numerical reasoning over financial reports with gold programs</t>
  </si>
  <si>
    <t>8,281 QA pairs from S&amp;P 500 earnings reports, written by 11 finance professionals</t>
  </si>
  <si>
    <t>Retriever-generator framework: retrieve supporting facts, then generate executable reasoning programs</t>
  </si>
  <si>
    <t>65.05% execution accuracy versus 91.16% for experts</t>
  </si>
  <si>
    <t>Large gap to experts; models lack domain knowledge and multi-step reasoning</t>
  </si>
  <si>
    <t>https://aclanthology.org/2021.emnlp-main.300.pdf</t>
  </si>
  <si>
    <t>Zhu et al., 2021</t>
  </si>
  <si>
    <t>QA over hybrid tables and text in financial reports</t>
  </si>
  <si>
    <t>TAT-QA: 16,552 questions from real financial reports</t>
  </si>
  <si>
    <t>TAGOP: sequence tagging of evidence plus symbolic aggregation operators</t>
  </si>
  <si>
    <t>TAGOP F1 58.0% versus 90.8% for humans</t>
  </si>
  <si>
    <t>Large gap to humans in numerical reasoning over hybrid data</t>
  </si>
  <si>
    <t>https://aclanthology.org/2021.acl-long.254.pdf</t>
  </si>
  <si>
    <t>Das et al., 2023</t>
  </si>
  <si>
    <t>What NLP fact-checking can do today and how it should be designed around human fact-checkers</t>
  </si>
  <si>
    <t>Review of task formulations, datasets, models and human-in-the-loop tools for fact-checking</t>
  </si>
  <si>
    <t>Narrative review organised by fact-checking pipeline stage and human-centred design strategies (explainability, HITL)</t>
  </si>
  <si>
    <t>Despite rapid research growth, practical adoption of NLP fact-checking tools remains in its infancy</t>
  </si>
  <si>
    <t>Authors argue tools must be refined to meet human fact-checkers' needs, through explainable models and human-in-the-loop designs</t>
  </si>
  <si>
    <t>https://arxiv.org/pdf/2301.03056</t>
  </si>
  <si>
    <t>Shah et al., 2024</t>
  </si>
  <si>
    <t>Dataset and method</t>
  </si>
  <si>
    <t>Detecting numerical claims in financial text</t>
  </si>
  <si>
    <t>Analyst reports and earnings-call transcripts</t>
  </si>
  <si>
    <t>Weak-supervision model built on labelling functions; compared with zero/few-shot LLMs and fine-tuned encoders</t>
  </si>
  <si>
    <t>Weak-supervision F1 0.927 (analyst reports) and 0.938 (earnings calls), close to fine-tuned encoders (~0.96)</t>
  </si>
  <si>
    <t>Limited text sources; audio and video not considered</t>
  </si>
  <si>
    <t>https://aclanthology.org/2024.fever-1.21.pdf</t>
  </si>
  <si>
    <t>Zhao et al., 2024</t>
  </si>
  <si>
    <t>Explainable claim verification over long financial documents with tables</t>
  </si>
  <si>
    <t>FinDVer: claims over long hybrid-content financial reports, expert annotated</t>
  </si>
  <si>
    <t>Evaluates LLMs (with retrieval) on verdicts and explanations</t>
  </si>
  <si>
    <t>Best model, Claude-3.5-Sonnet, reaches 77.2% versus 93.3% for human experts</t>
  </si>
  <si>
    <t>No finance-specific LLMs and no fine-tuning were evaluated</t>
  </si>
  <si>
    <t>https://aclanthology.org/2024.emnlp-main.818.pdf</t>
  </si>
  <si>
    <t>Loukas et al., 2022</t>
  </si>
  <si>
    <t>Tagging numeric facts in filings with XBRL concepts</t>
  </si>
  <si>
    <t>FiNER-139: 1.1M sentences from SEC filings with 139 XBRL tags</t>
  </si>
  <si>
    <t>Sequence labelling with BERT variants; numeric pseudo-tokens to handle number fragmentation</t>
  </si>
  <si>
    <t>Numeric pseudo-tokens and domain pre-training help; FiNER-139 released as a benchmark</t>
  </si>
  <si>
    <t>Gold XBRL tags are inconsistent; authors suggest classifiers to find wrong or missing gold tags</t>
  </si>
  <si>
    <t>https://aclanthology.org/2022.acl-long.303.pdf</t>
  </si>
  <si>
    <t>Han et al., 2024</t>
  </si>
  <si>
    <t>Empirical evaluation and method (LLM agent)</t>
  </si>
  <si>
    <t>How well LLMs answer domain and numeric questions over XBRL filings, and whether tools help</t>
  </si>
  <si>
    <t>Llama3-8B, Qwen2-7B, Gemma2-9B; 500 XBRL terms, 50 domain and 50 numeric FinanceBench queries, 1,000 financial-maths items</t>
  </si>
  <si>
    <t>ReAct agent with a retriever (RAG over XBRL filings) and a financial calculator; scored with FActScore and accuracy</t>
  </si>
  <si>
    <t>Without tools the best model reached 51% on domain queries and 24% on numeric queries; retriever plus calculator raised numeric queries to 46-53% (gains up to 17% domain, 42% numeric)</t>
  </si>
  <si>
    <t>Calculations remain a major weakness; accounting rules differ across jurisdictions, needing richer financial knowledge graphs</t>
  </si>
  <si>
    <t>https://dl.acm.org/doi/fullHtml/10.1145/3677052.3698614</t>
  </si>
  <si>
    <t>Guo et al., 2017</t>
  </si>
  <si>
    <t>Empirical analysis and method</t>
  </si>
  <si>
    <t>Whether modern neural networks are calibrated, and how to fix it</t>
  </si>
  <si>
    <t>Image and text classification benchmarks</t>
  </si>
  <si>
    <t>Analysis of calibration versus depth, width and regularisation; post-hoc calibration methods compared</t>
  </si>
  <si>
    <t>Modern networks are poorly calibrated; temperature scaling is surprisingly effective on most datasets</t>
  </si>
  <si>
    <t>No limitations section; calibration is studied on in-distribution test sets</t>
  </si>
  <si>
    <t>PMLR (open access)</t>
  </si>
  <si>
    <t>Bates et al., 2021</t>
  </si>
  <si>
    <t>Method (statistical guarantee)</t>
  </si>
  <si>
    <t>Set-valued predictions with a guaranteed bound on expected loss</t>
  </si>
  <si>
    <t>Classification, segmentation and other vision tasks</t>
  </si>
  <si>
    <t>RCPS: calibrate a threshold on held-out data with concentration bounds (UCB-based)</t>
  </si>
  <si>
    <t>Finite-sample guarantee that risk stays below a chosen level with high probability, for any black-box model</t>
  </si>
  <si>
    <t>Calibration and test data must share a distribution; losses must be bounded; roughly 1,000-10,000 calibration points suggested</t>
  </si>
  <si>
    <t>https://arxiv.org/pdf/2101.02703</t>
  </si>
  <si>
    <t>Angelopoulos et al., 2024</t>
  </si>
  <si>
    <t>Controlling the expected value of any monotone loss, not just miscoverage</t>
  </si>
  <si>
    <t>Worked examples in vision and NLP (false negative rate, graph distance, token-level F1)</t>
  </si>
  <si>
    <t>Conformal risk control: split-conformal style threshold for bounded, monotone losses</t>
  </si>
  <si>
    <t>Guarantee tight up to O(1/n); extensions to distribution shift, quantile and multiple risks</t>
  </si>
  <si>
    <t>Requires exchangeable data and a bounded loss that is monotone in the threshold</t>
  </si>
  <si>
    <t>https://arxiv.org/pdf/2208.02814</t>
  </si>
  <si>
    <t>Cohen et al., 2024</t>
  </si>
  <si>
    <t>Method (statistical calibration)</t>
  </si>
  <si>
    <t>Risk-controlled set prediction when data are too scarce for a separate calibration split</t>
  </si>
  <si>
    <t>Synthetic and temporal point-process prediction tasks with a target risk of 0.1</t>
  </si>
  <si>
    <t>Cross-validation conformal risk control (CV-CRC), extending jackknife-minmax to general risk functions</t>
  </si>
  <si>
    <t>Proven average-risk guarantee; smaller average set size than split CRC when data are limited</t>
  </si>
  <si>
    <t>No limitations section; the guarantee holds for the average risk of the set predictor</t>
  </si>
  <si>
    <t>https://arxiv.org/pdf/2401.11974</t>
  </si>
  <si>
    <t>Mohri &amp; Hashimoto, 2024</t>
  </si>
  <si>
    <t>Method (conformal for LMs)</t>
  </si>
  <si>
    <t>Correctness guarantees for LM outputs by removing uncertain sub-claims</t>
  </si>
  <si>
    <t>Question-answering and reasoning datasets</t>
  </si>
  <si>
    <t>Conformal factuality: score sub-claims and back off to a guaranteed-correct subset</t>
  </si>
  <si>
    <t>80-90% correctness guarantees while keeping most of the useful content</t>
  </si>
  <si>
    <t>Coverage is marginal over calibration and test draws; guarantee holds only for the calibration distribution</t>
  </si>
  <si>
    <t>arXiv author version of the ICML paper</t>
  </si>
  <si>
    <t>Angelopoulos et al., 2025</t>
  </si>
  <si>
    <t>Choosing model parameters so that any risk is controlled, via multiple testing</t>
  </si>
  <si>
    <t>Multi-label classification, selective classification, detection and other tasks</t>
  </si>
  <si>
    <t>Learn then Test: each candidate threshold is a hypothesis; p-values from concentration bounds; family-wise error control</t>
  </si>
  <si>
    <t>Finite-sample, distribution-free control of general (incl. non-monotone) risks</t>
  </si>
  <si>
    <t>Assumes i.i.d. calibration and test data</t>
  </si>
  <si>
    <t>https://arxiv.org/pdf/2110.01052</t>
  </si>
  <si>
    <t>Wang et al., 2025</t>
  </si>
  <si>
    <t>Controlling the loss of each individual prediction, not just its expected value</t>
  </si>
  <si>
    <t>Classification with a class-varying loss; weather-forecast post-processing (point-wise regression)</t>
  </si>
  <si>
    <t>Conformal loss-controlling prediction: extends conformal prediction from miscoverage to general losses</t>
  </si>
  <si>
    <t>Finite-sample loss-controlling guarantee under exchangeability, confirmed empirically</t>
  </si>
  <si>
    <t>How to build informationally efficient set predictors optimally is left open; relies on exchangeable data</t>
  </si>
  <si>
    <t>https://arxiv.org/pdf/2301.02424</t>
  </si>
  <si>
    <t>04 - PRISMA counts: Detection</t>
  </si>
  <si>
    <t>Every count is a formula over sheets 01 and 02, so it updates when a decision changes.</t>
  </si>
  <si>
    <t>Stage</t>
  </si>
  <si>
    <t>Count</t>
  </si>
  <si>
    <t>Where it comes from</t>
  </si>
  <si>
    <t>Identification (databases)</t>
  </si>
  <si>
    <t>Records identified from database searches (all hits)</t>
  </si>
  <si>
    <t>Sum of total hits, sheet 01</t>
  </si>
  <si>
    <t>Records not exported (beyond the 25 most-cited per search)</t>
  </si>
  <si>
    <t>Hits minus exported records</t>
  </si>
  <si>
    <t>Sum of exported records, sheet 01</t>
  </si>
  <si>
    <t>Duplicate records removed (same record found by more than one search)</t>
  </si>
  <si>
    <t>Exported minus unique records</t>
  </si>
  <si>
    <t>Records screened (unique)</t>
  </si>
  <si>
    <t>Database rows in sheet 02</t>
  </si>
  <si>
    <t>Records excluded at title (P1)</t>
  </si>
  <si>
    <t>P1 = DROP</t>
  </si>
  <si>
    <t>Records excluded at abstract (P2)</t>
  </si>
  <si>
    <t>P2 = DROP</t>
  </si>
  <si>
    <t>Full texts assessed for eligibility</t>
  </si>
  <si>
    <t>Screened minus P1 and P2 exclusions</t>
  </si>
  <si>
    <t>Full texts excluded (P3)</t>
  </si>
  <si>
    <t>P3 = DROP; reasons below</t>
  </si>
  <si>
    <t>Studies included from databases</t>
  </si>
  <si>
    <t>Assessed minus excluded</t>
  </si>
  <si>
    <t>Identification (other methods)</t>
  </si>
  <si>
    <t>Records identified by citation chasing</t>
  </si>
  <si>
    <t>Citation-chasing rows in sheet 02</t>
  </si>
  <si>
    <t>P3 = DROP</t>
  </si>
  <si>
    <t>Studies included by citation chasing</t>
  </si>
  <si>
    <t>Identified minus excluded</t>
  </si>
  <si>
    <t>Total studies included</t>
  </si>
  <si>
    <t>Databases plus citation chasing</t>
  </si>
  <si>
    <t>Check: INCLUDED = YES in sheet 02</t>
  </si>
  <si>
    <t>Must equal the total above</t>
  </si>
  <si>
    <t>Full-text exclusion reasons (all routes)</t>
  </si>
  <si>
    <t>Reason</t>
  </si>
  <si>
    <t>Definition</t>
  </si>
  <si>
    <t>preprints and technical reports with no archival version found, non-archival workshop papers, and journals whose peer review cannot be verified (open-access journals not listed in DOAJ).</t>
  </si>
  <si>
    <t>Outside date range</t>
  </si>
  <si>
    <t>published before 2017.</t>
  </si>
  <si>
    <t>Outside scope</t>
  </si>
  <si>
    <t>fails the member's scope at full-text stage.</t>
  </si>
  <si>
    <t>subscription-only and no author version found (arXiv searched by title).</t>
  </si>
  <si>
    <t>another version (e.g. arXiv copy) of a paper already in the log.</t>
  </si>
  <si>
    <t>Total</t>
  </si>
  <si>
    <t>Must equal P3 exclusions from both routes</t>
  </si>
  <si>
    <t>Included studies by subtopic</t>
  </si>
  <si>
    <t>Subtopic</t>
  </si>
  <si>
    <t>Label</t>
  </si>
  <si>
    <t>A</t>
  </si>
  <si>
    <t>Hallucination and faithfulness detection</t>
  </si>
  <si>
    <t>B</t>
  </si>
  <si>
    <t>Span- and token-level detection</t>
  </si>
  <si>
    <t>C</t>
  </si>
  <si>
    <t>Claim verification over tables and numbers</t>
  </si>
  <si>
    <t>D</t>
  </si>
  <si>
    <t>Financial QA and document verification</t>
  </si>
  <si>
    <t>E</t>
  </si>
  <si>
    <t>XBRL and financial numeric tagging</t>
  </si>
  <si>
    <t>F</t>
  </si>
  <si>
    <t>Calibration and certified thresholds</t>
  </si>
  <si>
    <t>05 - Gaps register: Detection</t>
  </si>
  <si>
    <t>Gaps as the authors state them (see sheet 03), and whether FaithGuard closes them. 'Not addressed' marks honest future work.</t>
  </si>
  <si>
    <t>Gap as stated by the authors</t>
  </si>
  <si>
    <t>Source (Author, Year)</t>
  </si>
  <si>
    <t>Theme</t>
  </si>
  <si>
    <t>Your note / how it would be closed</t>
  </si>
  <si>
    <t>Alignment-based consistency metrics give one label per claim and cannot point to the unsupported span.</t>
  </si>
  <si>
    <t>Localising errors</t>
  </si>
  <si>
    <t>Channel A predicts token spans with slot labels, and the repairer is told which claims were flagged.</t>
  </si>
  <si>
    <t>Small fact-checkers reach GPT-4 level but cannot localise errors to spans.</t>
  </si>
  <si>
    <t>Same as above: span head plus slot head.</t>
  </si>
  <si>
    <t>Detector generality across datasets is untested; manual versus synthetic labels is an open trade-off.</t>
  </si>
  <si>
    <t>Generalisation</t>
  </si>
  <si>
    <t>Splits are issuer-disjoint (a company appears in one split only), so results are on unseen companies.</t>
  </si>
  <si>
    <t>Hallucinations in the benchmark are simulated by perturbation, not produced by real generators.</t>
  </si>
  <si>
    <t>Realistic data</t>
  </si>
  <si>
    <t>The controlled track (planted errors) is kept separate from the benchmark of real generator answers.</t>
  </si>
  <si>
    <t>Span labels produced by GPT-4o may be biased; QA only; hallucination types not controlled.</t>
  </si>
  <si>
    <t>Label quality</t>
  </si>
  <si>
    <t>Not closed: FaithGuard's labels and the second reading of each question are blind Claude passes, not people (checked_by: claude-check; D-103, D-104), so a model's bias can enter them too. (Corrected 30 Oct 2026; see sheet 00.)</t>
  </si>
  <si>
    <t>Fact-verification benchmarks ignore cherry-picking, where true facts are used out of context.</t>
  </si>
  <si>
    <t>Error coverage</t>
  </si>
  <si>
    <t>Not addressed: FaithGuard checks numbers against the filing, not selective framing. Logged as future work.</t>
  </si>
  <si>
    <t>Real-world numerical claims remain hard: the best system reaches macro-F1 58.32.</t>
  </si>
  <si>
    <t>Numeric claims</t>
  </si>
  <si>
    <t>Channel B recomputes figures from the filing with exact Decimal arithmetic.</t>
  </si>
  <si>
    <t>No finance-specific or fine-tuned models were evaluated on financial claim verification.</t>
  </si>
  <si>
    <t>Domain models</t>
  </si>
  <si>
    <t>FaithGuard fine-tunes a compact encoder on financial answers.</t>
  </si>
  <si>
    <t>Gold XBRL tags contain inconsistencies; classifiers could flag wrong or missing tags.</t>
  </si>
  <si>
    <t>Source data quality</t>
  </si>
  <si>
    <t>XBRL facts are mined for Channel A training examples, so tag errors are reported as a threat to validity.</t>
  </si>
  <si>
    <t>Even with retrieval and a calculator, LLMs answer only about half of numeric XBRL queries correctly.</t>
  </si>
  <si>
    <t>Arithmetic</t>
  </si>
  <si>
    <t>Arithmetic is done by a deterministic executor, not by the language model.</t>
  </si>
  <si>
    <t>Conformal factuality guarantees are marginal and hold only for the calibration distribution.</t>
  </si>
  <si>
    <t>Guarantees</t>
  </si>
  <si>
    <t>FaithGuard certifies with Learn-then-Test on a held-out split and claims marginal guarantees only; shift is handled by Member 3.</t>
  </si>
  <si>
    <t>Risk control needs calibration and test data from the same distribution and bounded losses.</t>
  </si>
  <si>
    <t>Certification uses an issuer-disjoint calibration split; the per-item loss is bounded by construction.</t>
  </si>
  <si>
    <t>LLMs struggle to detect hallucinations in negated text.</t>
  </si>
  <si>
    <t>Robustness</t>
  </si>
  <si>
    <t>Not yet tested: add negated claims to the stress set.</t>
  </si>
  <si>
    <t>Existing detectors miss 'circumstantial inference' errors in LLM summaries.</t>
  </si>
  <si>
    <t>Not addressed specifically: claims are labelled supported, unsupported or unverifiable against the evidence.</t>
  </si>
  <si>
    <t>06 - Technology comparison evidence</t>
  </si>
  <si>
    <t>Alternatives compared for each design choice, the criteria used, and the provisional decision recorded in the FaithGuard architecture and decision log. Preprints appear here only as background; they are excluded from the review.</t>
  </si>
  <si>
    <t>Research / technology area</t>
  </si>
  <si>
    <t>Alternatives compared</t>
  </si>
  <si>
    <t>Selection criteria and provisional decision</t>
  </si>
  <si>
    <t>Source (citation or URL)</t>
  </si>
  <si>
    <t>Span-level detector</t>
  </si>
  <si>
    <t>LLM judge (GPT-4, Lynx); NLI or alignment classifier (AlignScore, MiniCheck); sampling-based (SelfCheckGPT); token-classification encoder (LettuceDetect-style, PsiloQA encoders)</t>
  </si>
  <si>
    <t>Need spans, low cost on a T4 and no access to the generator. Decision: token-classification encoder warm-started from LettuceDetect v2 mmBERT-base, up to 2,048 tokens, with a span head and a slot head.</t>
  </si>
  <si>
    <t>Niu et al., 2024; Rykov et al., 2025; Zha et al., 2023a; Tang et al., 2024; Manakul et al., 2023; LettuceDetect (arXiv 2502.17125, preprint, background only)</t>
  </si>
  <si>
    <t>Numeric and table checking</t>
  </si>
  <si>
    <t>Neural table verifiers (SAT, TAPAS variants); program-based verifiers (LPA, ProgVGAT, SASP); LLM table reasoning (Chain-of-Table, Table-R1); rule-based recomputation</t>
  </si>
  <si>
    <t>Need exact, explainable checks of figures in filings. Decision: deterministic rule checker over the filings' own tables (Channel B) alongside the learned detector; XBRL facts are used only to build Channel A's training examples. (Corrected 30 Oct 2026; see sheet 00.)</t>
  </si>
  <si>
    <t>Chen et al., 2020; Yang et al., 2020; Ou &amp; Liu, 2022; Wang et al., 2024; Thorne &amp; Vlachos, 2017</t>
  </si>
  <si>
    <t>Fusing the two channels and calibrating</t>
  </si>
  <si>
    <t>Temperature scaling; Platt scaling; isotonic regression; learned fusion</t>
  </si>
  <si>
    <t>Need a calibrated probability per claim from two channels. Decision: per-claim logistic-regression fusion followed by isotonic calibration.</t>
  </si>
  <si>
    <t>Certifying the decision threshold</t>
  </si>
  <si>
    <t>RCPS (upper-confidence bound); conformal risk control (expected loss); Learn-then-Test (multiple testing, any risk); conformal factuality</t>
  </si>
  <si>
    <t>Need a finite-sample guarantee on the error rate of sent answers. Decision: Learn-then-Test with Hoeffding-Bentkus p-values and fixed-sequence testing, alpha = 0.10, delta = 0.05.</t>
  </si>
  <si>
    <t>Bates et al., 2021; Angelopoulos et al., 2024; Angelopoulos et al., 2025; Mohri &amp; Hashimoto, 2024</t>
  </si>
  <si>
    <t>Detector training data</t>
  </si>
  <si>
    <t>RAGTruth (natural RAG outputs); PsiloQA (multilingual, LLM-labelled); HADES (perturbation); TrueTeacher-style LLM labels</t>
  </si>
  <si>
    <t>Need realistic 'right number, wrong context' errors. Decision: 34,229 training examples from the controlled track (planted errors), XBRL-mined wrong-context negatives and RAGTruth.</t>
  </si>
  <si>
    <t>Niu et al., 2024; Rykov et al., 2025; Liu et al., 2022; Gekhman et al., 2023</t>
  </si>
  <si>
    <t>Financial evidence source</t>
  </si>
  <si>
    <t>FinQA and TAT-QA reports; FinDVer documents; XBRL facts (FiNER)</t>
  </si>
  <si>
    <t>Need machine-checkable evidence. Decision: the filings' own tables as evidence (US and Sri Lankan reports); XBRL facts mined only for training examples.</t>
  </si>
  <si>
    <t>Chen et al., 2021; Zhu et al., 2021; Zhao et al., 2024; Loukas et al., 2022</t>
  </si>
  <si>
    <t>Background preprints (not included)</t>
  </si>
  <si>
    <t>LettuceDetect (arXiv 2502.17125); Lynx (arXiv 2407.08488); ChainPoll (arXiv 2310.18344)</t>
  </si>
  <si>
    <t>Used only as engineering references; they fail the peer-review criterion and are excluded in sheet 02.</t>
  </si>
  <si>
    <t>arXiv preprints</t>
  </si>
  <si>
    <t>07 - Reference list: Detection (64 included studies)</t>
  </si>
  <si>
    <t>APA 7 style, alphabetical. Venue, volume and pages checked against Crossref or the proceedings page; free full-text link given for each.</t>
  </si>
  <si>
    <t>Citation</t>
  </si>
  <si>
    <t>Full reference</t>
  </si>
  <si>
    <t>Aly, R., Guo, Z., Schlichtkrull, M., Thorne, J., Vlachos, A., Christodoulopoulos, C., Cocarascu, O., &amp; Mittal, A. (2021). FEVEROUS: Fact extraction and VERification over unstructured and structured information. In Proceedings of the Neural Information Processing Systems Track on Datasets and Benchmarks 1 (NeurIPS 2021).</t>
  </si>
  <si>
    <t>Angelopoulos, A. N., Bates, S., Candès, E. J., Jordan, M. I., &amp; Lei, L. (2025). Learn then test: Calibrating predictive algorithms to achieve risk control. The Annals of Applied Statistics, 19(2), 1641-1662. https://doi.org/10.1214/24-AOAS1998</t>
  </si>
  <si>
    <t>Angelopoulos, A. N., Bates, S., Fisch, A., Lei, L., &amp; Schuster, T. (2024). Conformal risk control. In International Conference on Learning Representations (ICLR 2024).</t>
  </si>
  <si>
    <t>Bates, S., Angelopoulos, A., Lei, L., Malik, J., &amp; Jordan, M. (2021). Distribution-free, risk-controlling prediction sets. Journal of the ACM, 68(6), 1-34. https://doi.org/10.1145/3478535</t>
  </si>
  <si>
    <t>Chen, W. (2023). Large language models are few(1)-shot table reasoners. In Findings of the Association for Computational Linguistics: EACL 2023 (pp. 1120-1130). ACL. https://doi.org/10.18653/v1/2023.findings-eacl.83</t>
  </si>
  <si>
    <t>Chen, W., Wang, H., Chen, J., Zhang, Y., Wang, H., Li, S., Zhou, X., &amp; Wang, W. Y. (2020). TabFact: A large-scale dataset for table-based fact verification. In International Conference on Learning Representations (ICLR 2020).</t>
  </si>
  <si>
    <t>Chen, Z., Chen, W., Smiley, C., Shah, S., Borova, I., Langdon, D., Moussa, R., Beane, M., Huang, T.-H., Routledge, B., &amp; Wang, W. Y. (2021). FinQA: A dataset of numerical reasoning over financial data. In Proceedings of the 2021 Conference on Empirical Methods in Natural Language Processing (pp. 3697-3711). ACL. https://doi.org/10.18653/v1/2021.emnlp-main.300</t>
  </si>
  <si>
    <t>Cheung, M. (2025). Hallucination detection with small language models. In 2025 IEEE 41st International Conference on Data Engineering Workshops (ICDEW) (pp. 230-238). IEEE. https://doi.org/10.1109/ICDEW67478.2025.00033</t>
  </si>
  <si>
    <t>Chungkham, P., V, V., Setty, V., &amp; Anand, A. (2025). Think right, not more: Test-time scaling for numerical claim verification. In Findings of the Association for Computational Linguistics: EMNLP 2025 (pp. 24345-24363). ACL. https://doi.org/10.18653/v1/2025.findings-emnlp.1322</t>
  </si>
  <si>
    <t>Cohen, K. M., Park, S., Simeone, O., &amp; Shamai, S. (2024). Cross-validation conformal risk control. In 2024 IEEE International Symposium on Information Theory (ISIT) (pp. 250-255). IEEE. https://doi.org/10.1109/ISIT57864.2024.10619172</t>
  </si>
  <si>
    <t>Cui, Z., Huang, T., Chiang, C.-E., &amp; Du, C. (2025). Toward verifiable misinformation detection: A multi-tool LLM agent framework. In Proceedings of the 2025 International Conference on Generative Artificial Intelligence for Business (pp. 179-185). ACM. https://doi.org/10.1145/3766918.3766948</t>
  </si>
  <si>
    <t>Das, A., Liu, H., Kovatchev, V., &amp; Lease, M. (2023). The state of human-centered NLP technology for fact-checking. Information Processing &amp; Management, 60(2), 103219. https://doi.org/10.1016/j.ipm.2022.103219</t>
  </si>
  <si>
    <t>Dong, R., &amp; Smith, D. A. (2021). Structural encoding and pre-training matter: Adapting BERT for table-based fact verification. In Proceedings of the 16th Conference of the European Chapter of the Association for Computational Linguistics: Main Volume (pp. 2366-2375). ACL. https://doi.org/10.18653/v1/2021.eacl-main.201</t>
  </si>
  <si>
    <t>Fabbri, A. R., Wu, C.-S., Liu, W., &amp; Xiong, C. (2022). QAFactEval: Improved QA-based factual consistency evaluation for summarization. In Proceedings of the 2022 Conference of the North American Chapter of the Association for Computational Linguistics: Human Language Technologies (pp. 2587-2601). ACL. https://doi.org/10.18653/v1/2022.naacl-main.187</t>
  </si>
  <si>
    <t>Fu, X.-Y., Laskar, M. T. R., Chen, C., &amp; TN, S. B. (2023). Are large language models reliable judges? A study on the factuality evaluation capabilities of LLMs. In Proceedings of the Third Workshop on Natural Language Generation, Evaluation, and Metrics (GEM). ACL.</t>
  </si>
  <si>
    <t>Gekhman, Z., Herzig, J., Aharoni, R., Elkind, C., &amp; Szpektor, I. (2023). TrueTeacher: Learning factual consistency evaluation with large language models. In Proceedings of the 2023 Conference on Empirical Methods in Natural Language Processing (pp. 2053-2070). ACL. https://doi.org/10.18653/v1/2023.emnlp-main.127</t>
  </si>
  <si>
    <t>Gu, Z., Fan, J., Tang, N., Nakov, P., Zhao, X., &amp; Du, X. (2022). PASTA: Table-operations aware fact verification via sentence-table cloze pre-training. In Proceedings of the 2022 Conference on Empirical Methods in Natural Language Processing (pp. 4971-4983). ACL. https://doi.org/10.18653/v1/2022.emnlp-main.331</t>
  </si>
  <si>
    <t>Guo, C., Pleiss, G., Sun, Y., &amp; Weinberger, K. Q. (2017). On calibration of modern neural networks. In Proceedings of the 34th International Conference on Machine Learning (PMLR 70, pp. 1321-1330).</t>
  </si>
  <si>
    <t>Han, S., Kang, H., Jin, B., Liu, X.-Y., &amp; Yang, S. Y. (2024). XBRL Agent: Leveraging large language models for financial report analysis. In Proceedings of the 5th ACM International Conference on AI in Finance (ICAIF '24) (pp. 856-864). ACM. https://doi.org/10.1145/3677052.3698614</t>
  </si>
  <si>
    <t>Honovich, O., Aharoni, R., Herzig, J., Taitelbaum, H., Kukliansy, D., Cohen, V., Scialom, T., Szpektor, I., Hassidim, A., &amp; Matias, Y. (2022). TRUE: Re-evaluating factual consistency evaluation. In Proceedings of the 2022 Conference of the North American Chapter of the Association for Computational Linguistics: Human Language Technologies (pp. 3905-3920). ACL. https://doi.org/10.18653/v1/2022.naacl-main.287</t>
  </si>
  <si>
    <t>Honovich, O., Choshen, L., Aharoni, R., Neeman, E., Szpektor, I., &amp; Abend, O. (2021). Q2: Evaluating factual consistency in knowledge-grounded dialogues via question generation and question answering. In Proceedings of the 2021 Conference on Empirical Methods in Natural Language Processing (pp. 7856-7870). ACL. https://doi.org/10.18653/v1/2021.emnlp-main.619</t>
  </si>
  <si>
    <t>Hu, N., Wu, Z., Lai, Y., Liu, X., &amp; Feng, Y. (2022). Dual-channel evidence fusion for fact verification over texts and tables. In Proceedings of the 2022 Conference of the North American Chapter of the Association for Computational Linguistics: Human Language Technologies (pp. 5232-5242). ACL. https://doi.org/10.18653/v1/2022.naacl-main.384</t>
  </si>
  <si>
    <t>Huang, L., Yu, W., Ma, W., Zhong, W., Feng, Z., Wang, H., Chen, Q., Peng, W., Feng, X., Qin, B., &amp; Liu, T. (2025). A survey on hallucination in large language models: Principles, taxonomy, challenges, and open questions. ACM Transactions on Information Systems, 43(2), 1-55. https://doi.org/10.1145/3703155</t>
  </si>
  <si>
    <t>Ji, Z., Lee, N., Frieske, R., Yu, T., Su, D., Xu, Y., Ishii, E., Bang, Y., Madotto, A., &amp; Fung, P. (2023). Survey of hallucination in natural language generation. ACM Computing Surveys, 55(12), 1-38. https://doi.org/10.1145/3571730</t>
  </si>
  <si>
    <t>Laban, P., Schnabel, T., Bennett, P. N., &amp; Hearst, M. A. (2022). SummaC: Re-visiting NLI-based models for inconsistency detection in summarization. Transactions of the Association for Computational Linguistics, 10, 163-177. https://doi.org/10.1162/tacl_a_00453</t>
  </si>
  <si>
    <t>Li, J., Cheng, X., Zhao, W. X., Nie, J.-Y., &amp; Wen, J.-R. (2023). HaluEval: A large-scale hallucination evaluation benchmark for large language models. In Proceedings of the 2023 Conference on Empirical Methods in Natural Language Processing (pp. 6449-6464). ACL. https://doi.org/10.18653/v1/2023.emnlp-main.397</t>
  </si>
  <si>
    <t>Liu, T., Zhang, Y., Brockett, C., Mao, Y., Sui, Z., Chen, W., &amp; Dolan, B. (2022). A token-level reference-free hallucination detection benchmark for free-form text generation. In Proceedings of the 60th Annual Meeting of the Association for Computational Linguistics (Volume 1: Long Papers) (pp. 6723-6737). ACL. https://doi.org/10.18653/v1/2022.acl-long.464</t>
  </si>
  <si>
    <t>Lotfi, E., De Bruyn, M., Buhmann, J., &amp; Daelemans, W. (2022). What was your name again? Interrogating generative conversational models for factual consistency evaluation. In Proceedings of the 2nd Workshop on Natural Language Generation, Evaluation, and Metrics (GEM) (pp. 509-519). ACL. https://doi.org/10.18653/v1/2022.gem-1.47</t>
  </si>
  <si>
    <t>Loukas, L., Fergadiotis, M., Chalkidis, I., Spyropoulou, E., Malakasiotis, P., Androutsopoulos, I., &amp; Paliouras, G. (2022). FiNER: Financial numeric entity recognition for XBRL tagging. In Proceedings of the 60th Annual Meeting of the Association for Computational Linguistics (Volume 1: Long Papers) (pp. 4419-4431). ACL. https://doi.org/10.18653/v1/2022.acl-long.303</t>
  </si>
  <si>
    <t>Manakul, P., Liusie, A., &amp; Gales, M. (2023). SelfCheckGPT: Zero-resource black-box hallucination detection for generative large language models. In Proceedings of the 2023 Conference on Empirical Methods in Natural Language Processing (pp. 9004-9017). ACL. https://doi.org/10.18653/v1/2023.emnlp-main.557</t>
  </si>
  <si>
    <t>Min, S., Krishna, K., Lyu, X., Lewis, M., Yih, W.-t., Koh, P. W., Iyyer, M., Zettlemoyer, L., &amp; Hajishirzi, H. (2023). FActScore: Fine-grained atomic evaluation of factual precision in long form text generation. In Proceedings of the 2023 Conference on Empirical Methods in Natural Language Processing (pp. 12076-12100). ACL. https://doi.org/10.18653/v1/2023.emnlp-main.741</t>
  </si>
  <si>
    <t>Mishra, A., Asai, A., Balachandran, V., Wang, Y., Tsvetkov, Y., Neubig, G., &amp; Hajishirzi, H. (2024). Fine-grained hallucination detection and editing for language models. In Proceedings of the First Conference on Language Modeling (COLM 2024).</t>
  </si>
  <si>
    <t>Mohri, C., &amp; Hashimoto, T. (2024). Language models with conformal factuality guarantees. In Proceedings of the 41st International Conference on Machine Learning (PMLR 235, pp. 36029-36047).</t>
  </si>
  <si>
    <t>Niu, C., Wu, Y., Zhu, J., Xu, S., Shum, K., Zhong, R., Song, J., &amp; Zhang, T. (2024). RAGTruth: A hallucination corpus for developing trustworthy retrieval-augmented language models. In Proceedings of the 62nd Annual Meeting of the Association for Computational Linguistics (Volume 1: Long Papers) (pp. 10862-10878). ACL. https://doi.org/10.18653/v1/2024.acl-long.585</t>
  </si>
  <si>
    <t>Ou, S., &amp; Liu, Y. (2022). Learning to generate programs for table fact verification via structure-aware semantic parsing. In Proceedings of the 60th Annual Meeting of the Association for Computational Linguistics (Volume 1: Long Papers) (pp. 7624-7638). ACL. https://doi.org/10.18653/v1/2022.acl-long.525</t>
  </si>
  <si>
    <t>Ramprasad, S., Ferracane, E., &amp; Lipton, Z. C. (2024). Analyzing LLM behavior in dialogue summarization: Unveiling circumstantial hallucination trends. In Proceedings of the 62nd Annual Meeting of the Association for Computational Linguistics (Volume 1: Long Papers) (pp. 12549-12561). ACL. https://doi.org/10.18653/v1/2024.acl-long.677</t>
  </si>
  <si>
    <t>Rezgui, R., Saeed, M., &amp; Papotti, P. (2021). Automatic verification of data summaries. In Proceedings of the 14th International Conference on Natural Language Generation (pp. 271-275). ACL. https://doi.org/10.18653/v1/2021.inlg-1.27</t>
  </si>
  <si>
    <t>Rykov, E., Petrushina, K., Savkin, M., Olisov, V., Vazhentsev, A., Titova, K., Panchenko, A., Konovalov, V., &amp; Belikova, J. (2025). When models lie, we learn: Multilingual span-level hallucination detection with PsiloQA. In Findings of the Association for Computational Linguistics: EMNLP 2025 (pp. 11663-11682). ACL. https://doi.org/10.18653/v1/2025.findings-emnlp.626</t>
  </si>
  <si>
    <t>Seo, J., Moon, H., &amp; Lim, H. (2025). The impact of negated text on hallucination with large language models. In Proceedings of the 2025 Conference on Empirical Methods in Natural Language Processing (pp. 13554-13572). ACL. https://doi.org/10.18653/v1/2025.emnlp-main.684</t>
  </si>
  <si>
    <t>Shah, A., Hiray, A., Shah, P., Banerjee, A., Singh, A., Eidnani, D. D., Chava, S., Chaudhury, B., &amp; Chava, S. (2024). Numerical claim detection in finance: A new financial dataset, weak-supervision model, and market analysis. In Proceedings of the Seventh Fact Extraction and VERification Workshop (FEVER) (pp. 170-185). ACL. https://doi.org/10.18653/v1/2024.fever-1.21</t>
  </si>
  <si>
    <t>Shi, Q., Zhang, Y., Yin, Q., &amp; Liu, T. (2020). Learn to combine linguistic and symbolic information for table-based fact verification. In Proceedings of the 28th International Conference on Computational Linguistics (pp. 5335-5346). ICCL. https://doi.org/10.18653/v1/2020.coling-main.466</t>
  </si>
  <si>
    <t>Shi, Q., Zhang, Y., Yin, Q., &amp; Liu, T. (2021). Logic-level evidence retrieval and graph-based verification network for table-based fact verification. In Proceedings of the 2021 Conference on Empirical Methods in Natural Language Processing (pp. 175-184). ACL. https://doi.org/10.18653/v1/2021.emnlp-main.16</t>
  </si>
  <si>
    <t>Su, H., Hu, T.-Y., Koppula, H. S., Krishna, K., Pouransari, H., Hsieh, C.-Y., Koc, C., Cheng, J. Y., Tuzel, O., &amp; Vemulapalli, R. (2026). Learning to reason for hallucination span detection. In International Conference on Learning Representations (ICLR 2026).</t>
  </si>
  <si>
    <t>Tang, L., Laban, P., &amp; Durrett, G. (2024). MiniCheck: Efficient fact-checking of LLMs on grounding documents. In Proceedings of the 2024 Conference on Empirical Methods in Natural Language Processing (pp. 8818-8847). ACL. https://doi.org/10.18653/v1/2024.emnlp-main.499</t>
  </si>
  <si>
    <t>Taş, S., El Huseyni, M., Ezerceli, Ö., Bayraktar, R., &amp; Terzioğlu, F. B. (2025). Turk-LettuceDetect: A hallucination detection model for Turkish RAG applications. In 2025 3rd International Conference on Foundation and Large Language Models (FLLM) (pp. 677-684). IEEE. https://doi.org/10.1109/FLLM67465.2025.11390913</t>
  </si>
  <si>
    <t>Thorne, J., &amp; Vlachos, A. (2017). An extensible framework for verification of numerical claims. In Proceedings of the Software Demonstrations of the 15th Conference of the European Chapter of the Association for Computational Linguistics (pp. 37-40). ACL. https://doi.org/10.18653/v1/E17-3010</t>
  </si>
  <si>
    <t>V, V., Anand, A., Anand, A., &amp; Setty, V. (2024). QuanTemp: A real-world open-domain benchmark for fact-checking numerical claims. In Proceedings of the 47th International ACM SIGIR Conference on Research and Development in Information Retrieval (pp. 650-660). ACM. https://doi.org/10.1145/3626772.3657874</t>
  </si>
  <si>
    <t>Wang, D., Wang, P., Ji, Z., Yang, X., &amp; Li, H. (2025). Conformal loss-controlling prediction. IEEE Transactions on Neural Networks and Learning Systems, 36(2), 2973-2983. https://doi.org/10.1109/TNNLS.2024.3356512</t>
  </si>
  <si>
    <t>Wang, F., Sun, K., Pujara, J., Szekely, P., &amp; Chen, M. (2021a). Table-based fact verification with salience-aware learning. In Findings of the Association for Computational Linguistics: EMNLP 2021 (pp. 4025-4036). ACL. https://doi.org/10.18653/v1/2021.findings-emnlp.338</t>
  </si>
  <si>
    <t>Wang, N. X. R., Mahajan, D., Danilevsky, M., &amp; Rosenthal, S. (2021b). SemEval-2021 Task 9: Fact verification and evidence finding for tabular data in scientific documents (SEM-TAB-FACTS). In Proceedings of the 15th International Workshop on Semantic Evaluation (SemEval-2021) (pp. 317-326). ACL. https://doi.org/10.18653/v1/2021.semeval-1.39</t>
  </si>
  <si>
    <t>Wang, Z., Zhang, H., Li, C.-L., Eisenschlos, J. M., Perot, V., Wang, Z., Miculicich, L., Fujii, Y., Shang, J., Lee, C.-Y., &amp; Pfister, T. (2024). Chain-of-Table: Evolving tables in the reasoning chain for table understanding. In International Conference on Learning Representations (ICLR 2024).</t>
  </si>
  <si>
    <t>Wu, L., Wang, K., Nie, K., Guo, S., Gao, C., Wang, Z., &amp; Li, S. (2025). TFGIN: Tight-fitting graph inference network for table-based fact verification. ACM Transactions on Information Systems, 43(5), Article 130, 1-26. https://doi.org/10.1145/3734520</t>
  </si>
  <si>
    <t>Wu, W., Li, W., Xiao, X., Liu, J., Li, S., &amp; Lyu, Y. (2023). WeCheck: Strong factual consistency checker via weakly supervised learning. In Proceedings of the 61st Annual Meeting of the Association for Computational Linguistics (Volume 1: Long Papers) (pp. 307-321). ACL. https://doi.org/10.18653/v1/2023.acl-long.18</t>
  </si>
  <si>
    <t>Yang, X., &amp; Zhu, X. (2021). Exploring decomposition for table-based fact verification. In Findings of the Association for Computational Linguistics: EMNLP 2021 (pp. 1045-1052). ACL. https://doi.org/10.18653/v1/2021.findings-emnlp.90</t>
  </si>
  <si>
    <t>Yang, X., Nie, F., Feng, Y., Liu, Q., Chen, Z., &amp; Zhu, X. (2020). Program enhanced fact verification with verbalization and graph attention network. In Proceedings of the 2020 Conference on Empirical Methods in Natural Language Processing (EMNLP) (pp. 7810-7825). ACL. https://doi.org/10.18653/v1/2020.emnlp-main.628</t>
  </si>
  <si>
    <t>Yang, Z., Chen, L., Cohan, A., &amp; Zhao, Y. (2025). Table-R1: Inference-time scaling for table reasoning. In Proceedings of the 2025 Conference on Empirical Methods in Natural Language Processing (pp. 20605-20624). ACL. https://doi.org/10.18653/v1/2025.emnlp-main.1040</t>
  </si>
  <si>
    <t>Zha, Y., Yang, Y., Li, R., &amp; Hu, Z. (2023a). AlignScore: Evaluating factual consistency with a unified alignment function. In Proceedings of the 61st Annual Meeting of the Association for Computational Linguistics (Volume 1: Long Papers) (pp. 11328-11348). ACL. https://doi.org/10.18653/v1/2023.acl-long.634</t>
  </si>
  <si>
    <t>Zha, Y., Yang, Y., Li, R., &amp; Hu, Z. (2023b). Text alignment is an efficient unified model for massive NLP tasks. In Advances in Neural Information Processing Systems 36 (NeurIPS 2023).</t>
  </si>
  <si>
    <t>Zhang, H., Si, Q., Fu, P., Lin, Z., &amp; Wang, W. (2024). Are large language models table-based fact-checkers? In 2024 27th International Conference on Computer Supported Cooperative Work in Design (CSCWD) (pp. 3086-3091). IEEE. https://doi.org/10.1109/CSCWD61410.2024.10580146</t>
  </si>
  <si>
    <t>Zhang, H., Wang, Y., Wang, S., Cao, X., Zhang, F., &amp; Wang, Z. (2020). Table fact verification with structure-aware transformer. In Proceedings of the 2020 Conference on Empirical Methods in Natural Language Processing (pp. 1624-1629). ACL. https://doi.org/10.18653/v1/2020.emnlp-main.126</t>
  </si>
  <si>
    <t>Zhao, Y., Long, Y., Jiang, T., Wang, C., Chen, W., Liu, H., Tang, X., Zhang, Y., Zhao, C., &amp; Cohan, A. (2024). FinDVer: Explainable claim verification over long and hybrid-content financial documents. In Proceedings of the 2024 Conference on Empirical Methods in Natural Language Processing (pp. 14739-14752). ACL. https://doi.org/10.18653/v1/2024.emnlp-main.818</t>
  </si>
  <si>
    <t>Zhao, Y., Nan, L., Qi, Z., Zhang, R., &amp; Radev, D. (2022). ReasTAP: Injecting table reasoning skills during pre-training via synthetic reasoning examples. In Proceedings of the 2022 Conference on Empirical Methods in Natural Language Processing (pp. 9006-9018). ACL. https://doi.org/10.18653/v1/2022.emnlp-main.615</t>
  </si>
  <si>
    <t>Zhou, Y., Liu, X., Zhou, K., &amp; Wu, J. (2022). Table-based fact verification with self-adaptive mixture of experts. In Findings of the Association for Computational Linguistics: ACL 2022 (pp. 139-149). ACL. https://doi.org/10.18653/v1/2022.findings-acl.13</t>
  </si>
  <si>
    <t>Zhu, F., Lei, W., Huang, Y., Wang, C., Zhang, S., Lv, J., Feng, F., &amp; Chua, T.-S. (2021). TAT-QA: A question answering benchmark on a hybrid of tabular and textual content in finance. In Proceedings of the 59th Annual Meeting of the ACL and the 11th IJCNLP (Volume 1: Long Papers) (pp. 3277-3287). ACL. https://doi.org/10.18653/v1/2021.acl-long.254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</si>
</sst>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color rgb="FF1C4F8B"/>
      <name val="Arial"/>
    </font>
    <font>
      <sz val="9"/>
      <color rgb="FF6B727C"/>
      <name val="Arial"/>
    </font>
    <font>
      <b/>
      <sz val="10"/>
      <color rgb="FFFFFFFF"/>
      <name val="Arial"/>
    </font>
    <font>
      <sz val="9"/>
      <name val="Arial"/>
    </font>
    <font>
      <b/>
      <sz val="10"/>
      <name val="Arial"/>
    </font>
    <font>
      <b/>
      <sz val="9"/>
      <name val="Arial"/>
    </font>
    <font>
      <sz val="10"/>
      <name val="Arial"/>
    </font>
    <font>
      <b/>
      <sz val="18"/>
      <color rgb="FF1C4F8B"/>
      <name val="Arial"/>
    </font>
    <font>
      <sz val="10"/>
      <color rgb="FF6B727C"/>
      <name val="Arial"/>
    </font>
  </fonts>
  <fills count="6">
    <fill>
      <patternFill patternType="none"/>
    </fill>
    <fill>
      <patternFill patternType="gray125"/>
    </fill>
    <fill>
      <patternFill patternType="solid">
        <fgColor rgb="FF1C4F8B"/>
      </patternFill>
    </fill>
    <fill>
      <patternFill patternType="solid">
        <fgColor rgb="FFFFFDE7"/>
      </patternFill>
    </fill>
    <fill>
      <patternFill patternType="solid">
        <fgColor rgb="FF275D95"/>
      </patternFill>
    </fill>
    <fill>
      <patternFill patternType="solid">
        <fgColor rgb="FFE2F0D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8">
    <xf numFmtId="0" fontId="0" fillId="0" borderId="0" xfId="0"/>
    <xf numFmtId="0" fontId="8" fillId="0" borderId="0" xfId="0" applyFont="1"/>
    <xf numFmtId="0" fontId="9" fillId="0" borderId="0" xfId="0" applyFont="1"/>
    <xf numFmtId="0" fontId="3" fillId="2" borderId="1" xfId="0" applyFont="1" applyFill="1" applyBorder="1" applyAlignment="1">
      <alignment horizontal="left" vertical="center" wrapText="1"/>
    </xf>
    <xf numFmtId="0" fontId="7" fillId="0" borderId="1" xfId="0" applyFont="1" applyBorder="1" applyAlignment="1">
      <alignment vertical="top" wrapText="1"/>
    </xf>
    <xf numFmtId="0" fontId="5" fillId="0" borderId="0" xfId="0" applyFont="1"/>
    <xf numFmtId="0" fontId="7" fillId="3" borderId="1" xfId="0" applyFont="1" applyFill="1" applyBorder="1"/>
    <xf numFmtId="0" fontId="7" fillId="0" borderId="1" xfId="0" applyFont="1" applyBorder="1"/>
    <xf numFmtId="0" fontId="7" fillId="5" borderId="1" xfId="0" applyFont="1" applyFill="1" applyBorder="1"/>
    <xf numFmtId="0" fontId="7" fillId="0" borderId="0" xfId="0" applyFont="1"/>
    <xf numFmtId="0" fontId="1" fillId="0" borderId="0" xfId="0" applyFont="1"/>
    <xf numFmtId="0" fontId="4" fillId="3" borderId="1" xfId="0" applyFont="1" applyFill="1" applyBorder="1" applyAlignment="1">
      <alignment horizontal="center" vertical="top" wrapText="1"/>
    </xf>
    <xf numFmtId="0" fontId="4" fillId="3" borderId="1" xfId="0" applyFont="1" applyFill="1" applyBorder="1" applyAlignment="1">
      <alignment vertical="top" wrapText="1"/>
    </xf>
    <xf numFmtId="0" fontId="5" fillId="0" borderId="0" xfId="0" applyFont="1" applyAlignment="1">
      <alignment horizontal="center"/>
    </xf>
    <xf numFmtId="0" fontId="6" fillId="0" borderId="1" xfId="0" applyFont="1" applyBorder="1" applyAlignment="1">
      <alignment horizontal="center" vertical="top" wrapText="1"/>
    </xf>
    <xf numFmtId="0" fontId="6" fillId="3" borderId="1" xfId="0" applyFont="1" applyFill="1" applyBorder="1" applyAlignment="1">
      <alignment horizontal="center" vertical="top" wrapText="1"/>
    </xf>
    <xf numFmtId="0" fontId="3" fillId="4" borderId="1" xfId="0" applyFont="1" applyFill="1" applyBorder="1" applyAlignment="1">
      <alignment horizontal="left" vertical="center" wrapText="1"/>
    </xf>
    <xf numFmtId="0" fontId="2" fillId="0" borderId="0" xfId="0" applyFont="1"/>
    <xf numFmtId="0" fontId="5" fillId="0" borderId="1" xfId="0" applyFont="1" applyBorder="1" applyAlignment="1">
      <alignment horizontal="center" vertical="top"/>
    </xf>
    <xf numFmtId="0" fontId="2" fillId="0" borderId="1" xfId="0" applyFont="1" applyBorder="1" applyAlignment="1">
      <alignment vertical="top" wrapText="1"/>
    </xf>
    <xf numFmtId="0" fontId="5" fillId="0" borderId="1" xfId="0" applyFont="1" applyBorder="1" applyAlignment="1">
      <alignment horizontal="center"/>
    </xf>
    <xf numFmtId="0" fontId="7" fillId="0" borderId="1" xfId="0" applyFont="1" applyBorder="1" applyAlignment="1">
      <alignment horizontal="center"/>
    </xf>
    <xf numFmtId="0" fontId="4" fillId="0" borderId="1" xfId="0" applyFont="1" applyBorder="1" applyAlignment="1">
      <alignment horizontal="center" vertical="top" wrapText="1"/>
    </xf>
    <xf numFmtId="0" fontId="4" fillId="0" borderId="1" xfId="0" applyFont="1" applyBorder="1" applyAlignment="1">
      <alignment vertical="top" wrapText="1"/>
    </xf>
    <xf numFmtId="0" fontId="7" fillId="0" borderId="0" xfId="0" applyFont="1" applyAlignment="1">
      <alignment vertical="top" wrapText="1"/>
    </xf>
    <xf numFmtId="0" fontId="0" fillId="0" borderId="0" xfId="0"/>
    <xf numFmtId="0" fontId="5" fillId="0" borderId="0" xfId="0" applyFont="1" applyAlignment="1">
      <alignment vertical="top" wrapText="1"/>
    </xf>
    <xf numFmtId="0" fontId="2" fillId="0" borderId="0" xfId="0" applyFont="1" applyAlignment="1">
      <alignment vertical="top" wrapText="1"/>
    </xf>
  </cellXfs>
  <cellStyles count="1">
    <cellStyle name="Normal" xfId="0" builtinId="0"/>
  </cellStyles>
  <dxfs count="1">
    <dxf>
      <fill>
        <patternFill patternType="solid">
          <fgColor rgb="FFE2F0D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62"/>
  <sheetViews>
    <sheetView tabSelected="1" workbookViewId="0"/>
  </sheetViews>
  <sheetFormatPr defaultRowHeight="14.5" x14ac:dyDescent="0.35"/>
  <cols>
    <col min="1" max="1" width="4" customWidth="1"/>
    <col min="2" max="2" width="30" customWidth="1"/>
    <col min="3" max="3" width="80" customWidth="1"/>
    <col min="4" max="4" width="26" customWidth="1"/>
  </cols>
  <sheetData>
    <row r="2" spans="2:4" ht="23" customHeight="1" x14ac:dyDescent="0.5">
      <c r="B2" s="1" t="s">
        <v>0</v>
      </c>
    </row>
    <row r="3" spans="2:4" x14ac:dyDescent="0.35">
      <c r="B3" s="2" t="s">
        <v>1</v>
      </c>
    </row>
    <row r="4" spans="2:4" ht="44" customHeight="1" x14ac:dyDescent="0.35">
      <c r="B4" s="24" t="s">
        <v>2</v>
      </c>
      <c r="C4" s="25"/>
      <c r="D4" s="25"/>
    </row>
    <row r="5" spans="2:4" ht="30" customHeight="1" x14ac:dyDescent="0.35">
      <c r="B5" s="26" t="s">
        <v>3</v>
      </c>
      <c r="C5" s="25"/>
      <c r="D5" s="25"/>
    </row>
    <row r="6" spans="2:4" x14ac:dyDescent="0.35">
      <c r="B6" s="3" t="s">
        <v>4</v>
      </c>
      <c r="C6" s="3" t="s">
        <v>5</v>
      </c>
      <c r="D6" s="3" t="s">
        <v>6</v>
      </c>
    </row>
    <row r="7" spans="2:4" ht="30" customHeight="1" x14ac:dyDescent="0.35">
      <c r="B7" s="4" t="s">
        <v>7</v>
      </c>
      <c r="C7" s="4" t="s">
        <v>8</v>
      </c>
      <c r="D7" s="4" t="s">
        <v>9</v>
      </c>
    </row>
    <row r="8" spans="2:4" ht="30" customHeight="1" x14ac:dyDescent="0.35">
      <c r="B8" s="4" t="s">
        <v>10</v>
      </c>
      <c r="C8" s="4" t="s">
        <v>11</v>
      </c>
      <c r="D8" s="4" t="s">
        <v>12</v>
      </c>
    </row>
    <row r="9" spans="2:4" ht="30" customHeight="1" x14ac:dyDescent="0.35">
      <c r="B9" s="4" t="s">
        <v>13</v>
      </c>
      <c r="C9" s="4" t="s">
        <v>14</v>
      </c>
      <c r="D9" s="4" t="s">
        <v>15</v>
      </c>
    </row>
    <row r="10" spans="2:4" ht="30" customHeight="1" x14ac:dyDescent="0.35">
      <c r="B10" s="4" t="s">
        <v>9</v>
      </c>
      <c r="C10" s="4" t="s">
        <v>16</v>
      </c>
      <c r="D10" s="4" t="s">
        <v>17</v>
      </c>
    </row>
    <row r="11" spans="2:4" ht="30" customHeight="1" x14ac:dyDescent="0.35">
      <c r="B11" s="4" t="s">
        <v>18</v>
      </c>
      <c r="C11" s="4" t="s">
        <v>19</v>
      </c>
      <c r="D11" s="4" t="s">
        <v>20</v>
      </c>
    </row>
    <row r="12" spans="2:4" ht="30" customHeight="1" x14ac:dyDescent="0.35">
      <c r="B12" s="4" t="s">
        <v>21</v>
      </c>
      <c r="C12" s="4" t="s">
        <v>22</v>
      </c>
      <c r="D12" s="4" t="s">
        <v>23</v>
      </c>
    </row>
    <row r="13" spans="2:4" ht="30" customHeight="1" x14ac:dyDescent="0.35">
      <c r="B13" s="4" t="s">
        <v>24</v>
      </c>
      <c r="C13" s="4" t="s">
        <v>25</v>
      </c>
      <c r="D13" s="4" t="s">
        <v>26</v>
      </c>
    </row>
    <row r="15" spans="2:4" x14ac:dyDescent="0.35">
      <c r="B15" s="5" t="s">
        <v>27</v>
      </c>
    </row>
    <row r="16" spans="2:4" x14ac:dyDescent="0.35">
      <c r="B16" s="6" t="s">
        <v>28</v>
      </c>
    </row>
    <row r="17" spans="2:4" x14ac:dyDescent="0.35">
      <c r="B17" s="7" t="s">
        <v>29</v>
      </c>
    </row>
    <row r="18" spans="2:4" x14ac:dyDescent="0.35">
      <c r="B18" s="8" t="s">
        <v>30</v>
      </c>
    </row>
    <row r="20" spans="2:4" ht="34" customHeight="1" x14ac:dyDescent="0.35">
      <c r="B20" s="26" t="str">
        <f>"Completed bounded review: "&amp;'04 PRISMA counts'!C11&amp;" unique records screened from "&amp;'04 PRISMA counts'!C7&amp;" database hits ("&amp;'04 PRISMA counts'!C9&amp;" exported), "&amp;'04 PRISMA counts'!C16&amp;" included from databases and "&amp;'04 PRISMA counts'!C20&amp;" by citation chasing: "&amp;'04 PRISMA counts'!C21&amp;" studies in total."</f>
        <v>Completed bounded review: 198 unique records screened from 3235 database hits (200 exported), 52 included from databases and 12 by citation chasing: 64 studies in total.</v>
      </c>
      <c r="C20" s="25"/>
      <c r="D20" s="25"/>
    </row>
    <row r="22" spans="2:4" x14ac:dyDescent="0.35">
      <c r="B22" s="5" t="s">
        <v>31</v>
      </c>
    </row>
    <row r="23" spans="2:4" ht="32" customHeight="1" x14ac:dyDescent="0.35">
      <c r="B23" s="24" t="s">
        <v>32</v>
      </c>
      <c r="C23" s="25"/>
      <c r="D23" s="25"/>
    </row>
    <row r="25" spans="2:4" x14ac:dyDescent="0.35">
      <c r="B25" s="5" t="s">
        <v>33</v>
      </c>
    </row>
    <row r="26" spans="2:4" x14ac:dyDescent="0.35">
      <c r="B26" s="5" t="s">
        <v>34</v>
      </c>
    </row>
    <row r="27" spans="2:4" ht="28" customHeight="1" x14ac:dyDescent="0.35">
      <c r="B27" s="24" t="s">
        <v>35</v>
      </c>
      <c r="C27" s="25"/>
      <c r="D27" s="25"/>
    </row>
    <row r="28" spans="2:4" ht="28" customHeight="1" x14ac:dyDescent="0.35">
      <c r="B28" s="24" t="s">
        <v>36</v>
      </c>
      <c r="C28" s="25"/>
      <c r="D28" s="25"/>
    </row>
    <row r="29" spans="2:4" ht="28" customHeight="1" x14ac:dyDescent="0.35">
      <c r="B29" s="24" t="s">
        <v>37</v>
      </c>
      <c r="C29" s="25"/>
      <c r="D29" s="25"/>
    </row>
    <row r="30" spans="2:4" ht="28" customHeight="1" x14ac:dyDescent="0.35">
      <c r="B30" s="24" t="s">
        <v>38</v>
      </c>
      <c r="C30" s="25"/>
      <c r="D30" s="25"/>
    </row>
    <row r="31" spans="2:4" ht="28" customHeight="1" x14ac:dyDescent="0.35">
      <c r="B31" s="24" t="s">
        <v>39</v>
      </c>
      <c r="C31" s="25"/>
      <c r="D31" s="25"/>
    </row>
    <row r="32" spans="2:4" ht="58" customHeight="1" x14ac:dyDescent="0.35">
      <c r="B32" s="24" t="s">
        <v>40</v>
      </c>
      <c r="C32" s="25"/>
      <c r="D32" s="25"/>
    </row>
    <row r="33" spans="2:4" ht="58" customHeight="1" x14ac:dyDescent="0.35">
      <c r="B33" s="24" t="s">
        <v>41</v>
      </c>
      <c r="C33" s="25"/>
      <c r="D33" s="25"/>
    </row>
    <row r="35" spans="2:4" x14ac:dyDescent="0.35">
      <c r="B35" s="5" t="s">
        <v>42</v>
      </c>
    </row>
    <row r="36" spans="2:4" ht="30" customHeight="1" x14ac:dyDescent="0.35">
      <c r="B36" s="24" t="s">
        <v>43</v>
      </c>
      <c r="C36" s="25"/>
      <c r="D36" s="25"/>
    </row>
    <row r="37" spans="2:4" ht="30" customHeight="1" x14ac:dyDescent="0.35">
      <c r="B37" s="24" t="s">
        <v>44</v>
      </c>
      <c r="C37" s="25"/>
      <c r="D37" s="25"/>
    </row>
    <row r="38" spans="2:4" ht="30" customHeight="1" x14ac:dyDescent="0.35">
      <c r="B38" s="24" t="s">
        <v>45</v>
      </c>
      <c r="C38" s="25"/>
      <c r="D38" s="25"/>
    </row>
    <row r="39" spans="2:4" ht="30" customHeight="1" x14ac:dyDescent="0.35">
      <c r="B39" s="24" t="s">
        <v>46</v>
      </c>
      <c r="C39" s="25"/>
      <c r="D39" s="25"/>
    </row>
    <row r="40" spans="2:4" ht="30" customHeight="1" x14ac:dyDescent="0.35">
      <c r="B40" s="24" t="s">
        <v>47</v>
      </c>
      <c r="C40" s="25"/>
      <c r="D40" s="25"/>
    </row>
    <row r="42" spans="2:4" x14ac:dyDescent="0.35">
      <c r="B42" s="5" t="s">
        <v>48</v>
      </c>
    </row>
    <row r="43" spans="2:4" x14ac:dyDescent="0.35">
      <c r="B43" s="9" t="s">
        <v>49</v>
      </c>
    </row>
    <row r="44" spans="2:4" x14ac:dyDescent="0.35">
      <c r="B44" s="9" t="s">
        <v>50</v>
      </c>
    </row>
    <row r="45" spans="2:4" x14ac:dyDescent="0.35">
      <c r="B45" s="9" t="s">
        <v>51</v>
      </c>
    </row>
    <row r="46" spans="2:4" x14ac:dyDescent="0.35">
      <c r="B46" s="9" t="s">
        <v>52</v>
      </c>
    </row>
    <row r="47" spans="2:4" x14ac:dyDescent="0.35">
      <c r="B47" s="9" t="s">
        <v>53</v>
      </c>
    </row>
    <row r="48" spans="2:4" x14ac:dyDescent="0.35">
      <c r="B48" s="9" t="s">
        <v>54</v>
      </c>
    </row>
    <row r="50" spans="2:4" x14ac:dyDescent="0.35">
      <c r="B50" s="5" t="s">
        <v>55</v>
      </c>
    </row>
    <row r="51" spans="2:4" ht="32" customHeight="1" x14ac:dyDescent="0.35">
      <c r="B51" s="24" t="s">
        <v>56</v>
      </c>
      <c r="C51" s="25"/>
      <c r="D51" s="25"/>
    </row>
    <row r="52" spans="2:4" ht="32" customHeight="1" x14ac:dyDescent="0.35">
      <c r="B52" s="24" t="s">
        <v>57</v>
      </c>
      <c r="C52" s="25"/>
      <c r="D52" s="25"/>
    </row>
    <row r="53" spans="2:4" ht="32" customHeight="1" x14ac:dyDescent="0.35">
      <c r="B53" s="24" t="s">
        <v>58</v>
      </c>
      <c r="C53" s="25"/>
      <c r="D53" s="25"/>
    </row>
    <row r="54" spans="2:4" ht="32" customHeight="1" x14ac:dyDescent="0.35">
      <c r="B54" s="24" t="s">
        <v>59</v>
      </c>
      <c r="C54" s="25"/>
      <c r="D54" s="25"/>
    </row>
    <row r="55" spans="2:4" ht="32" customHeight="1" x14ac:dyDescent="0.35">
      <c r="B55" s="24" t="s">
        <v>60</v>
      </c>
      <c r="C55" s="25"/>
      <c r="D55" s="25"/>
    </row>
    <row r="56" spans="2:4" ht="32" customHeight="1" x14ac:dyDescent="0.35">
      <c r="B56" s="24" t="s">
        <v>61</v>
      </c>
      <c r="C56" s="25"/>
      <c r="D56" s="25"/>
    </row>
    <row r="58" spans="2:4" x14ac:dyDescent="0.35">
      <c r="B58" s="5" t="s">
        <v>62</v>
      </c>
    </row>
    <row r="59" spans="2:4" ht="58" customHeight="1" x14ac:dyDescent="0.35">
      <c r="B59" s="24" t="s">
        <v>63</v>
      </c>
      <c r="C59" s="25"/>
      <c r="D59" s="25"/>
    </row>
    <row r="60" spans="2:4" ht="31" customHeight="1" x14ac:dyDescent="0.35">
      <c r="B60" s="24" t="s">
        <v>64</v>
      </c>
      <c r="C60" s="25"/>
      <c r="D60" s="25"/>
    </row>
    <row r="61" spans="2:4" ht="71.5" customHeight="1" x14ac:dyDescent="0.35">
      <c r="B61" s="24" t="s">
        <v>65</v>
      </c>
      <c r="C61" s="25"/>
      <c r="D61" s="25"/>
    </row>
    <row r="62" spans="2:4" ht="44.5" customHeight="1" x14ac:dyDescent="0.35">
      <c r="B62" s="24" t="s">
        <v>66</v>
      </c>
      <c r="C62" s="25"/>
      <c r="D62" s="25"/>
    </row>
  </sheetData>
  <mergeCells count="26">
    <mergeCell ref="B4:D4"/>
    <mergeCell ref="B62:D62"/>
    <mergeCell ref="B54:D54"/>
    <mergeCell ref="B59:D59"/>
    <mergeCell ref="B31:D31"/>
    <mergeCell ref="B27:D27"/>
    <mergeCell ref="B56:D56"/>
    <mergeCell ref="B52:D52"/>
    <mergeCell ref="B39:D39"/>
    <mergeCell ref="B20:D20"/>
    <mergeCell ref="B33:D33"/>
    <mergeCell ref="B36:D36"/>
    <mergeCell ref="B5:D5"/>
    <mergeCell ref="B32:D32"/>
    <mergeCell ref="B60:D60"/>
    <mergeCell ref="B23:D23"/>
    <mergeCell ref="B61:D61"/>
    <mergeCell ref="B53:D53"/>
    <mergeCell ref="B29:D29"/>
    <mergeCell ref="B38:D38"/>
    <mergeCell ref="B28:D28"/>
    <mergeCell ref="B37:D37"/>
    <mergeCell ref="B40:D40"/>
    <mergeCell ref="B30:D30"/>
    <mergeCell ref="B55:D55"/>
    <mergeCell ref="B51:D5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3"/>
  <sheetViews>
    <sheetView workbookViewId="0">
      <pane ySplit="4" topLeftCell="A5" activePane="bottomLeft" state="frozen"/>
      <selection pane="bottomLeft"/>
    </sheetView>
  </sheetViews>
  <sheetFormatPr defaultRowHeight="14.5" x14ac:dyDescent="0.35"/>
  <cols>
    <col min="1" max="1" width="8" customWidth="1"/>
    <col min="2" max="2" width="20" customWidth="1"/>
    <col min="3" max="3" width="52" customWidth="1"/>
    <col min="4" max="4" width="14" customWidth="1"/>
    <col min="5" max="5" width="12" customWidth="1"/>
    <col min="6" max="6" width="14" customWidth="1"/>
    <col min="7" max="7" width="40" customWidth="1"/>
  </cols>
  <sheetData>
    <row r="1" spans="1:7" ht="18" customHeight="1" x14ac:dyDescent="0.4">
      <c r="A1" s="10" t="s">
        <v>67</v>
      </c>
    </row>
    <row r="2" spans="1:7" ht="52" customHeight="1" x14ac:dyDescent="0.35">
      <c r="A2" s="27" t="s">
        <v>68</v>
      </c>
      <c r="B2" s="25"/>
      <c r="C2" s="25"/>
      <c r="D2" s="25"/>
      <c r="E2" s="25"/>
      <c r="F2" s="25"/>
      <c r="G2" s="25"/>
    </row>
    <row r="4" spans="1:7" ht="30" customHeight="1" x14ac:dyDescent="0.35">
      <c r="A4" s="3" t="s">
        <v>69</v>
      </c>
      <c r="B4" s="3" t="s">
        <v>70</v>
      </c>
      <c r="C4" s="3" t="s">
        <v>71</v>
      </c>
      <c r="D4" s="3" t="s">
        <v>72</v>
      </c>
      <c r="E4" s="3" t="s">
        <v>73</v>
      </c>
      <c r="F4" s="3" t="s">
        <v>74</v>
      </c>
      <c r="G4" s="3" t="s">
        <v>75</v>
      </c>
    </row>
    <row r="6" spans="1:7" ht="29" customHeight="1" x14ac:dyDescent="0.35">
      <c r="A6" s="11" t="s">
        <v>76</v>
      </c>
      <c r="B6" s="12" t="s">
        <v>77</v>
      </c>
      <c r="C6" s="12" t="s">
        <v>78</v>
      </c>
      <c r="D6" s="11" t="s">
        <v>79</v>
      </c>
      <c r="E6" s="11">
        <v>231</v>
      </c>
      <c r="F6" s="11">
        <v>25</v>
      </c>
      <c r="G6" s="12" t="s">
        <v>80</v>
      </c>
    </row>
    <row r="7" spans="1:7" ht="29" customHeight="1" x14ac:dyDescent="0.35">
      <c r="A7" s="11" t="s">
        <v>81</v>
      </c>
      <c r="B7" s="12" t="s">
        <v>77</v>
      </c>
      <c r="C7" s="12" t="s">
        <v>82</v>
      </c>
      <c r="D7" s="11" t="s">
        <v>79</v>
      </c>
      <c r="E7" s="11">
        <v>143</v>
      </c>
      <c r="F7" s="11">
        <v>25</v>
      </c>
      <c r="G7" s="12" t="s">
        <v>80</v>
      </c>
    </row>
    <row r="8" spans="1:7" ht="29" customHeight="1" x14ac:dyDescent="0.35">
      <c r="A8" s="11" t="s">
        <v>83</v>
      </c>
      <c r="B8" s="12" t="s">
        <v>77</v>
      </c>
      <c r="C8" s="12" t="s">
        <v>84</v>
      </c>
      <c r="D8" s="11" t="s">
        <v>79</v>
      </c>
      <c r="E8" s="11">
        <v>52</v>
      </c>
      <c r="F8" s="11">
        <v>25</v>
      </c>
      <c r="G8" s="12" t="s">
        <v>80</v>
      </c>
    </row>
    <row r="9" spans="1:7" ht="28" customHeight="1" x14ac:dyDescent="0.35">
      <c r="A9" s="11" t="s">
        <v>85</v>
      </c>
      <c r="B9" s="12" t="s">
        <v>77</v>
      </c>
      <c r="C9" s="12" t="s">
        <v>86</v>
      </c>
      <c r="D9" s="11" t="s">
        <v>79</v>
      </c>
      <c r="E9" s="11">
        <v>94</v>
      </c>
      <c r="F9" s="11">
        <v>25</v>
      </c>
      <c r="G9" s="12" t="s">
        <v>80</v>
      </c>
    </row>
    <row r="10" spans="1:7" ht="29" customHeight="1" x14ac:dyDescent="0.35">
      <c r="A10" s="11" t="s">
        <v>87</v>
      </c>
      <c r="B10" s="12" t="s">
        <v>77</v>
      </c>
      <c r="C10" s="12" t="s">
        <v>88</v>
      </c>
      <c r="D10" s="11" t="s">
        <v>79</v>
      </c>
      <c r="E10" s="11">
        <v>1772</v>
      </c>
      <c r="F10" s="11">
        <v>25</v>
      </c>
      <c r="G10" s="12" t="s">
        <v>80</v>
      </c>
    </row>
    <row r="11" spans="1:7" ht="29" customHeight="1" x14ac:dyDescent="0.35">
      <c r="A11" s="11" t="s">
        <v>89</v>
      </c>
      <c r="B11" s="12" t="s">
        <v>77</v>
      </c>
      <c r="C11" s="12" t="s">
        <v>90</v>
      </c>
      <c r="D11" s="11" t="s">
        <v>79</v>
      </c>
      <c r="E11" s="11">
        <v>164</v>
      </c>
      <c r="F11" s="11">
        <v>25</v>
      </c>
      <c r="G11" s="12" t="s">
        <v>80</v>
      </c>
    </row>
    <row r="12" spans="1:7" ht="28" customHeight="1" x14ac:dyDescent="0.35">
      <c r="A12" s="11" t="s">
        <v>91</v>
      </c>
      <c r="B12" s="12" t="s">
        <v>77</v>
      </c>
      <c r="C12" s="12" t="s">
        <v>92</v>
      </c>
      <c r="D12" s="11" t="s">
        <v>79</v>
      </c>
      <c r="E12" s="11">
        <v>411</v>
      </c>
      <c r="F12" s="11">
        <v>25</v>
      </c>
      <c r="G12" s="12" t="s">
        <v>80</v>
      </c>
    </row>
    <row r="13" spans="1:7" ht="29" customHeight="1" x14ac:dyDescent="0.35">
      <c r="A13" s="11" t="s">
        <v>93</v>
      </c>
      <c r="B13" s="12" t="s">
        <v>77</v>
      </c>
      <c r="C13" s="12" t="s">
        <v>94</v>
      </c>
      <c r="D13" s="11" t="s">
        <v>79</v>
      </c>
      <c r="E13" s="11">
        <v>368</v>
      </c>
      <c r="F13" s="11">
        <v>25</v>
      </c>
      <c r="G13" s="12" t="s">
        <v>80</v>
      </c>
    </row>
    <row r="14" spans="1:7" x14ac:dyDescent="0.35">
      <c r="A14" s="12"/>
      <c r="B14" s="12"/>
      <c r="C14" s="12"/>
      <c r="D14" s="12"/>
      <c r="E14" s="12"/>
      <c r="F14" s="12"/>
      <c r="G14" s="12"/>
    </row>
    <row r="15" spans="1:7" x14ac:dyDescent="0.35">
      <c r="A15" s="12"/>
      <c r="B15" s="12"/>
      <c r="C15" s="12"/>
      <c r="D15" s="12"/>
      <c r="E15" s="12"/>
      <c r="F15" s="12"/>
      <c r="G15" s="12"/>
    </row>
    <row r="16" spans="1:7" x14ac:dyDescent="0.35">
      <c r="A16" s="12"/>
      <c r="B16" s="12"/>
      <c r="C16" s="12"/>
      <c r="D16" s="12"/>
      <c r="E16" s="12"/>
      <c r="F16" s="12"/>
      <c r="G16" s="12"/>
    </row>
    <row r="17" spans="1:7" x14ac:dyDescent="0.35">
      <c r="A17" s="12"/>
      <c r="B17" s="12"/>
      <c r="C17" s="12"/>
      <c r="D17" s="12"/>
      <c r="E17" s="12"/>
      <c r="F17" s="12"/>
      <c r="G17" s="12"/>
    </row>
    <row r="18" spans="1:7" x14ac:dyDescent="0.35">
      <c r="A18" s="12"/>
      <c r="B18" s="12"/>
      <c r="C18" s="12"/>
      <c r="D18" s="12"/>
      <c r="E18" s="12"/>
      <c r="F18" s="12"/>
      <c r="G18" s="12"/>
    </row>
    <row r="19" spans="1:7" x14ac:dyDescent="0.35">
      <c r="A19" s="12"/>
      <c r="B19" s="12"/>
      <c r="C19" s="12"/>
      <c r="D19" s="12"/>
      <c r="E19" s="12"/>
      <c r="F19" s="12"/>
      <c r="G19" s="12"/>
    </row>
    <row r="20" spans="1:7" x14ac:dyDescent="0.35">
      <c r="A20" s="12"/>
      <c r="B20" s="12"/>
      <c r="C20" s="12"/>
      <c r="D20" s="12"/>
      <c r="E20" s="12"/>
      <c r="F20" s="12"/>
      <c r="G20" s="12"/>
    </row>
    <row r="21" spans="1:7" x14ac:dyDescent="0.35">
      <c r="A21" s="12"/>
      <c r="B21" s="12"/>
      <c r="C21" s="12"/>
      <c r="D21" s="12"/>
      <c r="E21" s="12"/>
      <c r="F21" s="12"/>
      <c r="G21" s="12"/>
    </row>
    <row r="22" spans="1:7" x14ac:dyDescent="0.35">
      <c r="A22" s="12"/>
      <c r="B22" s="12"/>
      <c r="C22" s="12"/>
      <c r="D22" s="12"/>
      <c r="E22" s="12"/>
      <c r="F22" s="12"/>
      <c r="G22" s="12"/>
    </row>
    <row r="23" spans="1:7" x14ac:dyDescent="0.35">
      <c r="A23" s="12"/>
      <c r="B23" s="12"/>
      <c r="C23" s="12"/>
      <c r="D23" s="12"/>
      <c r="E23" s="12"/>
      <c r="F23" s="12"/>
      <c r="G23" s="12"/>
    </row>
    <row r="24" spans="1:7" x14ac:dyDescent="0.35">
      <c r="A24" s="12"/>
      <c r="B24" s="12"/>
      <c r="C24" s="12"/>
      <c r="D24" s="12"/>
      <c r="E24" s="12"/>
      <c r="F24" s="12"/>
      <c r="G24" s="12"/>
    </row>
    <row r="25" spans="1:7" x14ac:dyDescent="0.35">
      <c r="A25" s="12"/>
      <c r="B25" s="12"/>
      <c r="C25" s="12"/>
      <c r="D25" s="12"/>
      <c r="E25" s="12"/>
      <c r="F25" s="12"/>
      <c r="G25" s="12"/>
    </row>
    <row r="26" spans="1:7" x14ac:dyDescent="0.35">
      <c r="A26" s="12"/>
      <c r="B26" s="12"/>
      <c r="C26" s="12"/>
      <c r="D26" s="12"/>
      <c r="E26" s="12"/>
      <c r="F26" s="12"/>
      <c r="G26" s="12"/>
    </row>
    <row r="28" spans="1:7" x14ac:dyDescent="0.35">
      <c r="D28" s="5" t="s">
        <v>95</v>
      </c>
      <c r="E28" s="13">
        <f>SUM(E6:E26)</f>
        <v>3235</v>
      </c>
      <c r="F28" s="13">
        <f>SUM(F6:F26)</f>
        <v>200</v>
      </c>
    </row>
    <row r="30" spans="1:7" x14ac:dyDescent="0.35">
      <c r="A30" s="5" t="s">
        <v>96</v>
      </c>
    </row>
    <row r="31" spans="1:7" ht="30" customHeight="1" x14ac:dyDescent="0.35">
      <c r="A31" s="3" t="s">
        <v>69</v>
      </c>
      <c r="B31" s="3" t="s">
        <v>70</v>
      </c>
      <c r="C31" s="3" t="s">
        <v>71</v>
      </c>
      <c r="D31" s="3" t="s">
        <v>72</v>
      </c>
      <c r="E31" s="3" t="s">
        <v>73</v>
      </c>
      <c r="F31" s="3" t="s">
        <v>97</v>
      </c>
      <c r="G31" s="3" t="s">
        <v>98</v>
      </c>
    </row>
    <row r="32" spans="1:7" ht="54" customHeight="1" x14ac:dyDescent="0.35">
      <c r="A32" s="11" t="s">
        <v>99</v>
      </c>
      <c r="B32" s="12" t="s">
        <v>77</v>
      </c>
      <c r="C32" s="12" t="s">
        <v>100</v>
      </c>
      <c r="D32" s="11" t="s">
        <v>79</v>
      </c>
      <c r="E32" s="11">
        <v>102</v>
      </c>
      <c r="F32" s="11">
        <v>50</v>
      </c>
      <c r="G32" s="12" t="s">
        <v>101</v>
      </c>
    </row>
    <row r="33" spans="1:7" ht="54" customHeight="1" x14ac:dyDescent="0.35">
      <c r="A33" s="11" t="s">
        <v>102</v>
      </c>
      <c r="B33" s="12" t="s">
        <v>77</v>
      </c>
      <c r="C33" s="12" t="s">
        <v>103</v>
      </c>
      <c r="D33" s="11" t="s">
        <v>79</v>
      </c>
      <c r="E33" s="11">
        <v>36</v>
      </c>
      <c r="F33" s="11">
        <v>36</v>
      </c>
      <c r="G33" s="12" t="s">
        <v>101</v>
      </c>
    </row>
  </sheetData>
  <mergeCells count="1">
    <mergeCell ref="A2:G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35"/>
  <sheetViews>
    <sheetView workbookViewId="0">
      <pane xSplit="2" ySplit="4" topLeftCell="C5" activePane="bottomRight" state="frozen"/>
      <selection pane="topRight"/>
      <selection pane="bottomLeft"/>
      <selection pane="bottomRight"/>
    </sheetView>
  </sheetViews>
  <sheetFormatPr defaultRowHeight="14.5" x14ac:dyDescent="0.35"/>
  <cols>
    <col min="1" max="1" width="6" customWidth="1"/>
    <col min="2" max="2" width="40" customWidth="1"/>
    <col min="3" max="3" width="20" customWidth="1"/>
    <col min="4" max="4" width="8" customWidth="1"/>
    <col min="5" max="5" width="26" customWidth="1"/>
    <col min="6" max="6" width="18" customWidth="1"/>
    <col min="7" max="9" width="11" customWidth="1"/>
    <col min="10" max="10" width="22" customWidth="1"/>
    <col min="11" max="11" width="11" customWidth="1"/>
    <col min="12" max="12" width="15" customWidth="1"/>
    <col min="13" max="13" width="46" customWidth="1"/>
    <col min="14" max="14" width="14" customWidth="1"/>
    <col min="15" max="15" width="30" customWidth="1"/>
  </cols>
  <sheetData>
    <row r="1" spans="1:15" ht="18" customHeight="1" x14ac:dyDescent="0.4">
      <c r="A1" s="10" t="s">
        <v>104</v>
      </c>
    </row>
    <row r="2" spans="1:15" ht="30" customHeight="1" x14ac:dyDescent="0.35">
      <c r="A2" s="27" t="s">
        <v>105</v>
      </c>
      <c r="B2" s="25"/>
      <c r="C2" s="25"/>
      <c r="D2" s="25"/>
      <c r="E2" s="25"/>
      <c r="F2" s="25"/>
      <c r="G2" s="25"/>
      <c r="H2" s="25"/>
      <c r="I2" s="25"/>
      <c r="J2" s="25"/>
      <c r="K2" s="25"/>
      <c r="L2" s="25"/>
    </row>
    <row r="4" spans="1:15" ht="32" customHeight="1" x14ac:dyDescent="0.35">
      <c r="A4" s="3" t="s">
        <v>69</v>
      </c>
      <c r="B4" s="3" t="s">
        <v>106</v>
      </c>
      <c r="C4" s="3" t="s">
        <v>107</v>
      </c>
      <c r="D4" s="3" t="s">
        <v>108</v>
      </c>
      <c r="E4" s="3" t="s">
        <v>109</v>
      </c>
      <c r="F4" s="3" t="s">
        <v>110</v>
      </c>
      <c r="G4" s="3" t="s">
        <v>111</v>
      </c>
      <c r="H4" s="3" t="s">
        <v>112</v>
      </c>
      <c r="I4" s="3" t="s">
        <v>113</v>
      </c>
      <c r="J4" s="3" t="s">
        <v>114</v>
      </c>
      <c r="K4" s="3" t="s">
        <v>115</v>
      </c>
      <c r="L4" s="3" t="s">
        <v>116</v>
      </c>
      <c r="M4" s="3" t="s">
        <v>117</v>
      </c>
      <c r="N4" s="3" t="s">
        <v>118</v>
      </c>
      <c r="O4" s="3" t="s">
        <v>119</v>
      </c>
    </row>
    <row r="6" spans="1:15" ht="41.5" customHeight="1" x14ac:dyDescent="0.35">
      <c r="A6" s="11">
        <v>1</v>
      </c>
      <c r="B6" s="12" t="s">
        <v>120</v>
      </c>
      <c r="C6" s="12" t="s">
        <v>121</v>
      </c>
      <c r="D6" s="11">
        <v>2025</v>
      </c>
      <c r="E6" s="12" t="s">
        <v>122</v>
      </c>
      <c r="F6" s="12" t="s">
        <v>123</v>
      </c>
      <c r="G6" s="11" t="s">
        <v>124</v>
      </c>
      <c r="H6" s="11" t="s">
        <v>124</v>
      </c>
      <c r="I6" s="11" t="s">
        <v>124</v>
      </c>
      <c r="J6" s="12"/>
      <c r="K6" s="14" t="str">
        <f t="shared" ref="K6:K69" si="0">IF(AND(G6="KEEP",H6="KEEP",I6="KEEP"),"YES",IF(OR(G6="DROP",H6="DROP",I6="DROP"),"NO",""))</f>
        <v>YES</v>
      </c>
      <c r="L6" s="12" t="s">
        <v>125</v>
      </c>
      <c r="M6" s="12"/>
      <c r="N6" s="12" t="s">
        <v>126</v>
      </c>
      <c r="O6" s="12" t="s">
        <v>127</v>
      </c>
    </row>
    <row r="7" spans="1:15" ht="54" customHeight="1" x14ac:dyDescent="0.35">
      <c r="A7" s="11">
        <v>2</v>
      </c>
      <c r="B7" s="12" t="s">
        <v>128</v>
      </c>
      <c r="C7" s="12" t="s">
        <v>129</v>
      </c>
      <c r="D7" s="11">
        <v>2024</v>
      </c>
      <c r="E7" s="12" t="s">
        <v>130</v>
      </c>
      <c r="F7" s="12" t="s">
        <v>123</v>
      </c>
      <c r="G7" s="11" t="s">
        <v>131</v>
      </c>
      <c r="H7" s="11"/>
      <c r="I7" s="11"/>
      <c r="J7" s="12"/>
      <c r="K7" s="14" t="str">
        <f t="shared" si="0"/>
        <v>NO</v>
      </c>
      <c r="L7" s="12" t="s">
        <v>125</v>
      </c>
      <c r="M7" s="12" t="s">
        <v>132</v>
      </c>
      <c r="N7" s="12" t="s">
        <v>133</v>
      </c>
      <c r="O7" s="12" t="s">
        <v>134</v>
      </c>
    </row>
    <row r="8" spans="1:15" ht="41.5" customHeight="1" x14ac:dyDescent="0.35">
      <c r="A8" s="11">
        <v>3</v>
      </c>
      <c r="B8" s="12" t="s">
        <v>135</v>
      </c>
      <c r="C8" s="12" t="s">
        <v>136</v>
      </c>
      <c r="D8" s="11">
        <v>2024</v>
      </c>
      <c r="E8" s="12" t="s">
        <v>137</v>
      </c>
      <c r="F8" s="12" t="s">
        <v>123</v>
      </c>
      <c r="G8" s="11" t="s">
        <v>131</v>
      </c>
      <c r="H8" s="11"/>
      <c r="I8" s="11"/>
      <c r="J8" s="12"/>
      <c r="K8" s="14" t="str">
        <f t="shared" si="0"/>
        <v>NO</v>
      </c>
      <c r="L8" s="12" t="s">
        <v>125</v>
      </c>
      <c r="M8" s="12" t="s">
        <v>138</v>
      </c>
      <c r="N8" s="12" t="s">
        <v>139</v>
      </c>
      <c r="O8" s="12" t="s">
        <v>140</v>
      </c>
    </row>
    <row r="9" spans="1:15" ht="41.5" customHeight="1" x14ac:dyDescent="0.35">
      <c r="A9" s="11">
        <v>4</v>
      </c>
      <c r="B9" s="12" t="s">
        <v>141</v>
      </c>
      <c r="C9" s="12" t="s">
        <v>142</v>
      </c>
      <c r="D9" s="11">
        <v>2025</v>
      </c>
      <c r="E9" s="12" t="s">
        <v>143</v>
      </c>
      <c r="F9" s="12" t="s">
        <v>123</v>
      </c>
      <c r="G9" s="11" t="s">
        <v>124</v>
      </c>
      <c r="H9" s="11" t="s">
        <v>131</v>
      </c>
      <c r="I9" s="11"/>
      <c r="J9" s="12"/>
      <c r="K9" s="14" t="str">
        <f t="shared" si="0"/>
        <v>NO</v>
      </c>
      <c r="L9" s="12" t="s">
        <v>125</v>
      </c>
      <c r="M9" s="12" t="s">
        <v>144</v>
      </c>
      <c r="N9" s="12" t="s">
        <v>145</v>
      </c>
      <c r="O9" s="12" t="s">
        <v>146</v>
      </c>
    </row>
    <row r="10" spans="1:15" ht="29" customHeight="1" x14ac:dyDescent="0.35">
      <c r="A10" s="11">
        <v>5</v>
      </c>
      <c r="B10" s="12" t="s">
        <v>147</v>
      </c>
      <c r="C10" s="12" t="s">
        <v>148</v>
      </c>
      <c r="D10" s="11">
        <v>2026</v>
      </c>
      <c r="E10" s="12" t="s">
        <v>149</v>
      </c>
      <c r="F10" s="12" t="s">
        <v>123</v>
      </c>
      <c r="G10" s="11" t="s">
        <v>131</v>
      </c>
      <c r="H10" s="11"/>
      <c r="I10" s="11"/>
      <c r="J10" s="12"/>
      <c r="K10" s="14" t="str">
        <f t="shared" si="0"/>
        <v>NO</v>
      </c>
      <c r="L10" s="12" t="s">
        <v>125</v>
      </c>
      <c r="M10" s="12" t="s">
        <v>150</v>
      </c>
      <c r="N10" s="12" t="s">
        <v>151</v>
      </c>
      <c r="O10" s="12" t="s">
        <v>152</v>
      </c>
    </row>
    <row r="11" spans="1:15" ht="29" customHeight="1" x14ac:dyDescent="0.35">
      <c r="A11" s="11">
        <v>6</v>
      </c>
      <c r="B11" s="12" t="s">
        <v>153</v>
      </c>
      <c r="C11" s="12" t="s">
        <v>154</v>
      </c>
      <c r="D11" s="11">
        <v>2024</v>
      </c>
      <c r="E11" s="12" t="s">
        <v>155</v>
      </c>
      <c r="F11" s="12" t="s">
        <v>123</v>
      </c>
      <c r="G11" s="11" t="s">
        <v>124</v>
      </c>
      <c r="H11" s="11" t="s">
        <v>124</v>
      </c>
      <c r="I11" s="11" t="s">
        <v>124</v>
      </c>
      <c r="J11" s="12"/>
      <c r="K11" s="14" t="str">
        <f t="shared" si="0"/>
        <v>YES</v>
      </c>
      <c r="L11" s="12" t="s">
        <v>125</v>
      </c>
      <c r="M11" s="12"/>
      <c r="N11" s="12" t="s">
        <v>156</v>
      </c>
      <c r="O11" s="12" t="s">
        <v>157</v>
      </c>
    </row>
    <row r="12" spans="1:15" ht="29" customHeight="1" x14ac:dyDescent="0.35">
      <c r="A12" s="11">
        <v>7</v>
      </c>
      <c r="B12" s="12" t="s">
        <v>158</v>
      </c>
      <c r="C12" s="12" t="s">
        <v>159</v>
      </c>
      <c r="D12" s="11">
        <v>2026</v>
      </c>
      <c r="E12" s="12" t="s">
        <v>160</v>
      </c>
      <c r="F12" s="12" t="s">
        <v>123</v>
      </c>
      <c r="G12" s="11" t="s">
        <v>131</v>
      </c>
      <c r="H12" s="11"/>
      <c r="I12" s="11"/>
      <c r="J12" s="12"/>
      <c r="K12" s="14" t="str">
        <f t="shared" si="0"/>
        <v>NO</v>
      </c>
      <c r="L12" s="12" t="s">
        <v>125</v>
      </c>
      <c r="M12" s="12" t="s">
        <v>161</v>
      </c>
      <c r="N12" s="12" t="s">
        <v>162</v>
      </c>
      <c r="O12" s="12" t="s">
        <v>163</v>
      </c>
    </row>
    <row r="13" spans="1:15" ht="41.5" customHeight="1" x14ac:dyDescent="0.35">
      <c r="A13" s="11">
        <v>8</v>
      </c>
      <c r="B13" s="12" t="s">
        <v>164</v>
      </c>
      <c r="C13" s="12" t="s">
        <v>165</v>
      </c>
      <c r="D13" s="11">
        <v>2025</v>
      </c>
      <c r="E13" s="12" t="s">
        <v>166</v>
      </c>
      <c r="F13" s="12" t="s">
        <v>123</v>
      </c>
      <c r="G13" s="11" t="s">
        <v>124</v>
      </c>
      <c r="H13" s="11" t="s">
        <v>131</v>
      </c>
      <c r="I13" s="11"/>
      <c r="J13" s="12"/>
      <c r="K13" s="14" t="str">
        <f t="shared" si="0"/>
        <v>NO</v>
      </c>
      <c r="L13" s="12" t="s">
        <v>125</v>
      </c>
      <c r="M13" s="12" t="s">
        <v>167</v>
      </c>
      <c r="N13" s="12" t="s">
        <v>168</v>
      </c>
      <c r="O13" s="12" t="s">
        <v>169</v>
      </c>
    </row>
    <row r="14" spans="1:15" ht="41.5" customHeight="1" x14ac:dyDescent="0.35">
      <c r="A14" s="11">
        <v>9</v>
      </c>
      <c r="B14" s="12" t="s">
        <v>170</v>
      </c>
      <c r="C14" s="12" t="s">
        <v>171</v>
      </c>
      <c r="D14" s="11">
        <v>2024</v>
      </c>
      <c r="E14" s="12" t="s">
        <v>172</v>
      </c>
      <c r="F14" s="12" t="s">
        <v>123</v>
      </c>
      <c r="G14" s="11" t="s">
        <v>124</v>
      </c>
      <c r="H14" s="11" t="s">
        <v>124</v>
      </c>
      <c r="I14" s="11" t="s">
        <v>124</v>
      </c>
      <c r="J14" s="12"/>
      <c r="K14" s="14" t="str">
        <f t="shared" si="0"/>
        <v>YES</v>
      </c>
      <c r="L14" s="12" t="s">
        <v>125</v>
      </c>
      <c r="M14" s="12" t="s">
        <v>173</v>
      </c>
      <c r="N14" s="12" t="s">
        <v>174</v>
      </c>
      <c r="O14" s="12" t="s">
        <v>175</v>
      </c>
    </row>
    <row r="15" spans="1:15" ht="29" customHeight="1" x14ac:dyDescent="0.35">
      <c r="A15" s="11">
        <v>10</v>
      </c>
      <c r="B15" s="12" t="s">
        <v>176</v>
      </c>
      <c r="C15" s="12" t="s">
        <v>177</v>
      </c>
      <c r="D15" s="11">
        <v>2023</v>
      </c>
      <c r="E15" s="12" t="s">
        <v>178</v>
      </c>
      <c r="F15" s="12" t="s">
        <v>123</v>
      </c>
      <c r="G15" s="11" t="s">
        <v>124</v>
      </c>
      <c r="H15" s="11" t="s">
        <v>124</v>
      </c>
      <c r="I15" s="11" t="s">
        <v>131</v>
      </c>
      <c r="J15" s="12" t="s">
        <v>179</v>
      </c>
      <c r="K15" s="14" t="str">
        <f t="shared" si="0"/>
        <v>NO</v>
      </c>
      <c r="L15" s="12" t="s">
        <v>125</v>
      </c>
      <c r="M15" s="12" t="s">
        <v>180</v>
      </c>
      <c r="N15" s="12" t="s">
        <v>181</v>
      </c>
      <c r="O15" s="12" t="s">
        <v>182</v>
      </c>
    </row>
    <row r="16" spans="1:15" ht="79" customHeight="1" x14ac:dyDescent="0.35">
      <c r="A16" s="11">
        <v>11</v>
      </c>
      <c r="B16" s="12" t="s">
        <v>183</v>
      </c>
      <c r="C16" s="12" t="s">
        <v>184</v>
      </c>
      <c r="D16" s="11">
        <v>2025</v>
      </c>
      <c r="E16" s="12" t="s">
        <v>185</v>
      </c>
      <c r="F16" s="12" t="s">
        <v>123</v>
      </c>
      <c r="G16" s="11" t="s">
        <v>131</v>
      </c>
      <c r="H16" s="11"/>
      <c r="I16" s="11"/>
      <c r="J16" s="12"/>
      <c r="K16" s="14" t="str">
        <f t="shared" si="0"/>
        <v>NO</v>
      </c>
      <c r="L16" s="12" t="s">
        <v>125</v>
      </c>
      <c r="M16" s="12" t="s">
        <v>186</v>
      </c>
      <c r="N16" s="12" t="s">
        <v>187</v>
      </c>
      <c r="O16" s="12" t="s">
        <v>188</v>
      </c>
    </row>
    <row r="17" spans="1:15" ht="29" customHeight="1" x14ac:dyDescent="0.35">
      <c r="A17" s="11">
        <v>12</v>
      </c>
      <c r="B17" s="12" t="s">
        <v>189</v>
      </c>
      <c r="C17" s="12" t="s">
        <v>190</v>
      </c>
      <c r="D17" s="11">
        <v>2024</v>
      </c>
      <c r="E17" s="12" t="s">
        <v>178</v>
      </c>
      <c r="F17" s="12" t="s">
        <v>123</v>
      </c>
      <c r="G17" s="11" t="s">
        <v>124</v>
      </c>
      <c r="H17" s="11" t="s">
        <v>124</v>
      </c>
      <c r="I17" s="11" t="s">
        <v>131</v>
      </c>
      <c r="J17" s="12" t="s">
        <v>179</v>
      </c>
      <c r="K17" s="14" t="str">
        <f t="shared" si="0"/>
        <v>NO</v>
      </c>
      <c r="L17" s="12" t="s">
        <v>125</v>
      </c>
      <c r="M17" s="12" t="s">
        <v>191</v>
      </c>
      <c r="N17" s="12" t="s">
        <v>192</v>
      </c>
      <c r="O17" s="12" t="s">
        <v>193</v>
      </c>
    </row>
    <row r="18" spans="1:15" ht="41.5" customHeight="1" x14ac:dyDescent="0.35">
      <c r="A18" s="11">
        <v>13</v>
      </c>
      <c r="B18" s="12" t="s">
        <v>194</v>
      </c>
      <c r="C18" s="12" t="s">
        <v>195</v>
      </c>
      <c r="D18" s="11">
        <v>2024</v>
      </c>
      <c r="E18" s="12" t="s">
        <v>178</v>
      </c>
      <c r="F18" s="12" t="s">
        <v>123</v>
      </c>
      <c r="G18" s="11" t="s">
        <v>124</v>
      </c>
      <c r="H18" s="11" t="s">
        <v>131</v>
      </c>
      <c r="I18" s="11"/>
      <c r="J18" s="12"/>
      <c r="K18" s="14" t="str">
        <f t="shared" si="0"/>
        <v>NO</v>
      </c>
      <c r="L18" s="12" t="s">
        <v>125</v>
      </c>
      <c r="M18" s="12" t="s">
        <v>196</v>
      </c>
      <c r="N18" s="12" t="s">
        <v>197</v>
      </c>
      <c r="O18" s="12" t="s">
        <v>198</v>
      </c>
    </row>
    <row r="19" spans="1:15" ht="29" customHeight="1" x14ac:dyDescent="0.35">
      <c r="A19" s="11">
        <v>14</v>
      </c>
      <c r="B19" s="12" t="s">
        <v>199</v>
      </c>
      <c r="C19" s="12" t="s">
        <v>200</v>
      </c>
      <c r="D19" s="11">
        <v>2025</v>
      </c>
      <c r="E19" s="12" t="s">
        <v>201</v>
      </c>
      <c r="F19" s="12" t="s">
        <v>123</v>
      </c>
      <c r="G19" s="11" t="s">
        <v>131</v>
      </c>
      <c r="H19" s="11"/>
      <c r="I19" s="11"/>
      <c r="J19" s="12"/>
      <c r="K19" s="14" t="str">
        <f t="shared" si="0"/>
        <v>NO</v>
      </c>
      <c r="L19" s="12" t="s">
        <v>125</v>
      </c>
      <c r="M19" s="12" t="s">
        <v>202</v>
      </c>
      <c r="N19" s="12" t="s">
        <v>203</v>
      </c>
      <c r="O19" s="12" t="s">
        <v>204</v>
      </c>
    </row>
    <row r="20" spans="1:15" ht="41.5" customHeight="1" x14ac:dyDescent="0.35">
      <c r="A20" s="11">
        <v>15</v>
      </c>
      <c r="B20" s="12" t="s">
        <v>205</v>
      </c>
      <c r="C20" s="12" t="s">
        <v>206</v>
      </c>
      <c r="D20" s="11">
        <v>2025</v>
      </c>
      <c r="E20" s="12" t="s">
        <v>207</v>
      </c>
      <c r="F20" s="12" t="s">
        <v>123</v>
      </c>
      <c r="G20" s="11" t="s">
        <v>124</v>
      </c>
      <c r="H20" s="11" t="s">
        <v>131</v>
      </c>
      <c r="I20" s="11"/>
      <c r="J20" s="12"/>
      <c r="K20" s="14" t="str">
        <f t="shared" si="0"/>
        <v>NO</v>
      </c>
      <c r="L20" s="12" t="s">
        <v>125</v>
      </c>
      <c r="M20" s="12" t="s">
        <v>208</v>
      </c>
      <c r="N20" s="12" t="s">
        <v>209</v>
      </c>
      <c r="O20" s="12" t="s">
        <v>210</v>
      </c>
    </row>
    <row r="21" spans="1:15" ht="41.5" customHeight="1" x14ac:dyDescent="0.35">
      <c r="A21" s="11">
        <v>16</v>
      </c>
      <c r="B21" s="12" t="s">
        <v>211</v>
      </c>
      <c r="C21" s="12" t="s">
        <v>212</v>
      </c>
      <c r="D21" s="11">
        <v>2025</v>
      </c>
      <c r="E21" s="12" t="s">
        <v>213</v>
      </c>
      <c r="F21" s="12" t="s">
        <v>123</v>
      </c>
      <c r="G21" s="11" t="s">
        <v>131</v>
      </c>
      <c r="H21" s="11"/>
      <c r="I21" s="11"/>
      <c r="J21" s="12"/>
      <c r="K21" s="14" t="str">
        <f t="shared" si="0"/>
        <v>NO</v>
      </c>
      <c r="L21" s="12" t="s">
        <v>125</v>
      </c>
      <c r="M21" s="12" t="s">
        <v>214</v>
      </c>
      <c r="N21" s="12" t="s">
        <v>215</v>
      </c>
      <c r="O21" s="12" t="s">
        <v>216</v>
      </c>
    </row>
    <row r="22" spans="1:15" ht="29" customHeight="1" x14ac:dyDescent="0.35">
      <c r="A22" s="11">
        <v>17</v>
      </c>
      <c r="B22" s="12" t="s">
        <v>217</v>
      </c>
      <c r="C22" s="12" t="s">
        <v>136</v>
      </c>
      <c r="D22" s="11">
        <v>2025</v>
      </c>
      <c r="E22" s="12" t="s">
        <v>218</v>
      </c>
      <c r="F22" s="12" t="s">
        <v>123</v>
      </c>
      <c r="G22" s="11" t="s">
        <v>131</v>
      </c>
      <c r="H22" s="11"/>
      <c r="I22" s="11"/>
      <c r="J22" s="12"/>
      <c r="K22" s="14" t="str">
        <f t="shared" si="0"/>
        <v>NO</v>
      </c>
      <c r="L22" s="12" t="s">
        <v>125</v>
      </c>
      <c r="M22" s="12" t="s">
        <v>219</v>
      </c>
      <c r="N22" s="12" t="s">
        <v>220</v>
      </c>
      <c r="O22" s="12" t="s">
        <v>221</v>
      </c>
    </row>
    <row r="23" spans="1:15" ht="41.5" customHeight="1" x14ac:dyDescent="0.35">
      <c r="A23" s="11">
        <v>18</v>
      </c>
      <c r="B23" s="12" t="s">
        <v>222</v>
      </c>
      <c r="C23" s="12" t="s">
        <v>223</v>
      </c>
      <c r="D23" s="11">
        <v>2026</v>
      </c>
      <c r="E23" s="12" t="s">
        <v>224</v>
      </c>
      <c r="F23" s="12" t="s">
        <v>123</v>
      </c>
      <c r="G23" s="11" t="s">
        <v>131</v>
      </c>
      <c r="H23" s="11"/>
      <c r="I23" s="11"/>
      <c r="J23" s="12"/>
      <c r="K23" s="14" t="str">
        <f t="shared" si="0"/>
        <v>NO</v>
      </c>
      <c r="L23" s="12" t="s">
        <v>125</v>
      </c>
      <c r="M23" s="12" t="s">
        <v>225</v>
      </c>
      <c r="N23" s="12" t="s">
        <v>226</v>
      </c>
      <c r="O23" s="12" t="s">
        <v>227</v>
      </c>
    </row>
    <row r="24" spans="1:15" ht="54" customHeight="1" x14ac:dyDescent="0.35">
      <c r="A24" s="11">
        <v>19</v>
      </c>
      <c r="B24" s="12" t="s">
        <v>228</v>
      </c>
      <c r="C24" s="12" t="s">
        <v>229</v>
      </c>
      <c r="D24" s="11">
        <v>2026</v>
      </c>
      <c r="E24" s="12" t="s">
        <v>230</v>
      </c>
      <c r="F24" s="12" t="s">
        <v>123</v>
      </c>
      <c r="G24" s="11" t="s">
        <v>131</v>
      </c>
      <c r="H24" s="11"/>
      <c r="I24" s="11"/>
      <c r="J24" s="12"/>
      <c r="K24" s="14" t="str">
        <f t="shared" si="0"/>
        <v>NO</v>
      </c>
      <c r="L24" s="12" t="s">
        <v>125</v>
      </c>
      <c r="M24" s="12" t="s">
        <v>231</v>
      </c>
      <c r="N24" s="12" t="s">
        <v>232</v>
      </c>
      <c r="O24" s="12" t="s">
        <v>233</v>
      </c>
    </row>
    <row r="25" spans="1:15" ht="29" customHeight="1" x14ac:dyDescent="0.35">
      <c r="A25" s="11">
        <v>20</v>
      </c>
      <c r="B25" s="12" t="s">
        <v>234</v>
      </c>
      <c r="C25" s="12" t="s">
        <v>235</v>
      </c>
      <c r="D25" s="11">
        <v>2026</v>
      </c>
      <c r="E25" s="12" t="s">
        <v>236</v>
      </c>
      <c r="F25" s="12" t="s">
        <v>237</v>
      </c>
      <c r="G25" s="11" t="s">
        <v>124</v>
      </c>
      <c r="H25" s="11" t="s">
        <v>131</v>
      </c>
      <c r="I25" s="11"/>
      <c r="J25" s="12"/>
      <c r="K25" s="14" t="str">
        <f t="shared" si="0"/>
        <v>NO</v>
      </c>
      <c r="L25" s="12" t="s">
        <v>125</v>
      </c>
      <c r="M25" s="12" t="s">
        <v>238</v>
      </c>
      <c r="N25" s="12" t="s">
        <v>239</v>
      </c>
      <c r="O25" s="12" t="s">
        <v>240</v>
      </c>
    </row>
    <row r="26" spans="1:15" ht="29" customHeight="1" x14ac:dyDescent="0.35">
      <c r="A26" s="11">
        <v>21</v>
      </c>
      <c r="B26" s="12" t="s">
        <v>241</v>
      </c>
      <c r="C26" s="12" t="s">
        <v>242</v>
      </c>
      <c r="D26" s="11">
        <v>2025</v>
      </c>
      <c r="E26" s="12" t="s">
        <v>243</v>
      </c>
      <c r="F26" s="12" t="s">
        <v>123</v>
      </c>
      <c r="G26" s="11" t="s">
        <v>131</v>
      </c>
      <c r="H26" s="11"/>
      <c r="I26" s="11"/>
      <c r="J26" s="12"/>
      <c r="K26" s="14" t="str">
        <f t="shared" si="0"/>
        <v>NO</v>
      </c>
      <c r="L26" s="12" t="s">
        <v>125</v>
      </c>
      <c r="M26" s="12" t="s">
        <v>244</v>
      </c>
      <c r="N26" s="12" t="s">
        <v>245</v>
      </c>
      <c r="O26" s="12" t="s">
        <v>246</v>
      </c>
    </row>
    <row r="27" spans="1:15" ht="29" customHeight="1" x14ac:dyDescent="0.35">
      <c r="A27" s="11">
        <v>22</v>
      </c>
      <c r="B27" s="12" t="s">
        <v>247</v>
      </c>
      <c r="C27" s="12" t="s">
        <v>248</v>
      </c>
      <c r="D27" s="11">
        <v>2025</v>
      </c>
      <c r="E27" s="12" t="s">
        <v>249</v>
      </c>
      <c r="F27" s="12" t="s">
        <v>237</v>
      </c>
      <c r="G27" s="11" t="s">
        <v>124</v>
      </c>
      <c r="H27" s="11" t="s">
        <v>124</v>
      </c>
      <c r="I27" s="11" t="s">
        <v>124</v>
      </c>
      <c r="J27" s="12"/>
      <c r="K27" s="14" t="str">
        <f t="shared" si="0"/>
        <v>YES</v>
      </c>
      <c r="L27" s="12" t="s">
        <v>125</v>
      </c>
      <c r="M27" s="12"/>
      <c r="N27" s="12" t="s">
        <v>250</v>
      </c>
      <c r="O27" s="12" t="s">
        <v>251</v>
      </c>
    </row>
    <row r="28" spans="1:15" ht="41.5" customHeight="1" x14ac:dyDescent="0.35">
      <c r="A28" s="11">
        <v>23</v>
      </c>
      <c r="B28" s="12" t="s">
        <v>252</v>
      </c>
      <c r="C28" s="12" t="s">
        <v>253</v>
      </c>
      <c r="D28" s="11">
        <v>2025</v>
      </c>
      <c r="E28" s="12" t="s">
        <v>254</v>
      </c>
      <c r="F28" s="12" t="s">
        <v>123</v>
      </c>
      <c r="G28" s="11" t="s">
        <v>131</v>
      </c>
      <c r="H28" s="11"/>
      <c r="I28" s="11"/>
      <c r="J28" s="12"/>
      <c r="K28" s="14" t="str">
        <f t="shared" si="0"/>
        <v>NO</v>
      </c>
      <c r="L28" s="12" t="s">
        <v>125</v>
      </c>
      <c r="M28" s="12" t="s">
        <v>255</v>
      </c>
      <c r="N28" s="12" t="s">
        <v>256</v>
      </c>
      <c r="O28" s="12" t="s">
        <v>257</v>
      </c>
    </row>
    <row r="29" spans="1:15" ht="41.5" customHeight="1" x14ac:dyDescent="0.35">
      <c r="A29" s="11">
        <v>24</v>
      </c>
      <c r="B29" s="12" t="s">
        <v>258</v>
      </c>
      <c r="C29" s="12" t="s">
        <v>259</v>
      </c>
      <c r="D29" s="11">
        <v>2025</v>
      </c>
      <c r="E29" s="12" t="s">
        <v>218</v>
      </c>
      <c r="F29" s="12" t="s">
        <v>123</v>
      </c>
      <c r="G29" s="11" t="s">
        <v>131</v>
      </c>
      <c r="H29" s="11"/>
      <c r="I29" s="11"/>
      <c r="J29" s="12"/>
      <c r="K29" s="14" t="str">
        <f t="shared" si="0"/>
        <v>NO</v>
      </c>
      <c r="L29" s="12" t="s">
        <v>125</v>
      </c>
      <c r="M29" s="12" t="s">
        <v>260</v>
      </c>
      <c r="N29" s="12" t="s">
        <v>261</v>
      </c>
      <c r="O29" s="12" t="s">
        <v>262</v>
      </c>
    </row>
    <row r="30" spans="1:15" ht="29" customHeight="1" x14ac:dyDescent="0.35">
      <c r="A30" s="11">
        <v>25</v>
      </c>
      <c r="B30" s="12" t="s">
        <v>263</v>
      </c>
      <c r="C30" s="12" t="s">
        <v>264</v>
      </c>
      <c r="D30" s="11">
        <v>2025</v>
      </c>
      <c r="E30" s="12" t="s">
        <v>265</v>
      </c>
      <c r="F30" s="12" t="s">
        <v>123</v>
      </c>
      <c r="G30" s="11" t="s">
        <v>124</v>
      </c>
      <c r="H30" s="11" t="s">
        <v>124</v>
      </c>
      <c r="I30" s="11" t="s">
        <v>124</v>
      </c>
      <c r="J30" s="12"/>
      <c r="K30" s="14" t="str">
        <f t="shared" si="0"/>
        <v>YES</v>
      </c>
      <c r="L30" s="12" t="s">
        <v>125</v>
      </c>
      <c r="M30" s="12"/>
      <c r="N30" s="12" t="s">
        <v>266</v>
      </c>
      <c r="O30" s="12" t="s">
        <v>267</v>
      </c>
    </row>
    <row r="31" spans="1:15" ht="29" customHeight="1" x14ac:dyDescent="0.35">
      <c r="A31" s="11">
        <v>26</v>
      </c>
      <c r="B31" s="12" t="s">
        <v>268</v>
      </c>
      <c r="C31" s="12" t="s">
        <v>269</v>
      </c>
      <c r="D31" s="11">
        <v>2022</v>
      </c>
      <c r="E31" s="12" t="s">
        <v>270</v>
      </c>
      <c r="F31" s="12" t="s">
        <v>271</v>
      </c>
      <c r="G31" s="11" t="s">
        <v>124</v>
      </c>
      <c r="H31" s="11" t="s">
        <v>124</v>
      </c>
      <c r="I31" s="11" t="s">
        <v>124</v>
      </c>
      <c r="J31" s="12"/>
      <c r="K31" s="14" t="str">
        <f t="shared" si="0"/>
        <v>YES</v>
      </c>
      <c r="L31" s="12" t="s">
        <v>125</v>
      </c>
      <c r="M31" s="12"/>
      <c r="N31" s="12" t="s">
        <v>272</v>
      </c>
      <c r="O31" s="12" t="s">
        <v>273</v>
      </c>
    </row>
    <row r="32" spans="1:15" ht="41.5" customHeight="1" x14ac:dyDescent="0.35">
      <c r="A32" s="11">
        <v>27</v>
      </c>
      <c r="B32" s="12" t="s">
        <v>274</v>
      </c>
      <c r="C32" s="12" t="s">
        <v>275</v>
      </c>
      <c r="D32" s="11">
        <v>2023</v>
      </c>
      <c r="E32" s="12" t="s">
        <v>276</v>
      </c>
      <c r="F32" s="12" t="s">
        <v>271</v>
      </c>
      <c r="G32" s="11" t="s">
        <v>131</v>
      </c>
      <c r="H32" s="11"/>
      <c r="I32" s="11"/>
      <c r="J32" s="12"/>
      <c r="K32" s="14" t="str">
        <f t="shared" si="0"/>
        <v>NO</v>
      </c>
      <c r="L32" s="12" t="s">
        <v>125</v>
      </c>
      <c r="M32" s="12" t="s">
        <v>277</v>
      </c>
      <c r="N32" s="12" t="s">
        <v>278</v>
      </c>
      <c r="O32" s="12" t="s">
        <v>279</v>
      </c>
    </row>
    <row r="33" spans="1:15" ht="29" customHeight="1" x14ac:dyDescent="0.35">
      <c r="A33" s="11">
        <v>28</v>
      </c>
      <c r="B33" s="12" t="s">
        <v>268</v>
      </c>
      <c r="C33" s="12" t="s">
        <v>269</v>
      </c>
      <c r="D33" s="11">
        <v>2021</v>
      </c>
      <c r="E33" s="12" t="s">
        <v>178</v>
      </c>
      <c r="F33" s="12" t="s">
        <v>271</v>
      </c>
      <c r="G33" s="11" t="s">
        <v>124</v>
      </c>
      <c r="H33" s="11" t="s">
        <v>124</v>
      </c>
      <c r="I33" s="11" t="s">
        <v>131</v>
      </c>
      <c r="J33" s="12" t="s">
        <v>280</v>
      </c>
      <c r="K33" s="14" t="str">
        <f t="shared" si="0"/>
        <v>NO</v>
      </c>
      <c r="L33" s="12" t="s">
        <v>125</v>
      </c>
      <c r="M33" s="12" t="s">
        <v>281</v>
      </c>
      <c r="N33" s="12" t="s">
        <v>282</v>
      </c>
      <c r="O33" s="12" t="s">
        <v>283</v>
      </c>
    </row>
    <row r="34" spans="1:15" ht="41.5" customHeight="1" x14ac:dyDescent="0.35">
      <c r="A34" s="11">
        <v>29</v>
      </c>
      <c r="B34" s="12" t="s">
        <v>284</v>
      </c>
      <c r="C34" s="12" t="s">
        <v>285</v>
      </c>
      <c r="D34" s="11">
        <v>2024</v>
      </c>
      <c r="E34" s="12" t="s">
        <v>172</v>
      </c>
      <c r="F34" s="12" t="s">
        <v>271</v>
      </c>
      <c r="G34" s="11" t="s">
        <v>124</v>
      </c>
      <c r="H34" s="11" t="s">
        <v>124</v>
      </c>
      <c r="I34" s="11" t="s">
        <v>124</v>
      </c>
      <c r="J34" s="12"/>
      <c r="K34" s="14" t="str">
        <f t="shared" si="0"/>
        <v>YES</v>
      </c>
      <c r="L34" s="12" t="s">
        <v>125</v>
      </c>
      <c r="M34" s="12"/>
      <c r="N34" s="12" t="s">
        <v>286</v>
      </c>
      <c r="O34" s="12" t="s">
        <v>287</v>
      </c>
    </row>
    <row r="35" spans="1:15" ht="29" customHeight="1" x14ac:dyDescent="0.35">
      <c r="A35" s="11">
        <v>30</v>
      </c>
      <c r="B35" s="12" t="s">
        <v>288</v>
      </c>
      <c r="C35" s="12" t="s">
        <v>289</v>
      </c>
      <c r="D35" s="11">
        <v>2024</v>
      </c>
      <c r="E35" s="12" t="s">
        <v>218</v>
      </c>
      <c r="F35" s="12" t="s">
        <v>271</v>
      </c>
      <c r="G35" s="11" t="s">
        <v>124</v>
      </c>
      <c r="H35" s="11" t="s">
        <v>131</v>
      </c>
      <c r="I35" s="11"/>
      <c r="J35" s="12"/>
      <c r="K35" s="14" t="str">
        <f t="shared" si="0"/>
        <v>NO</v>
      </c>
      <c r="L35" s="12" t="s">
        <v>125</v>
      </c>
      <c r="M35" s="12" t="s">
        <v>290</v>
      </c>
      <c r="N35" s="12" t="s">
        <v>291</v>
      </c>
      <c r="O35" s="12" t="s">
        <v>292</v>
      </c>
    </row>
    <row r="36" spans="1:15" ht="104" customHeight="1" x14ac:dyDescent="0.35">
      <c r="A36" s="11">
        <v>31</v>
      </c>
      <c r="B36" s="12" t="s">
        <v>293</v>
      </c>
      <c r="C36" s="12" t="s">
        <v>294</v>
      </c>
      <c r="D36" s="11">
        <v>2025</v>
      </c>
      <c r="E36" s="12" t="s">
        <v>295</v>
      </c>
      <c r="F36" s="12" t="s">
        <v>271</v>
      </c>
      <c r="G36" s="11" t="s">
        <v>131</v>
      </c>
      <c r="H36" s="11"/>
      <c r="I36" s="11"/>
      <c r="J36" s="12"/>
      <c r="K36" s="14" t="str">
        <f t="shared" si="0"/>
        <v>NO</v>
      </c>
      <c r="L36" s="12" t="s">
        <v>125</v>
      </c>
      <c r="M36" s="12" t="s">
        <v>296</v>
      </c>
      <c r="N36" s="12" t="s">
        <v>297</v>
      </c>
      <c r="O36" s="12" t="s">
        <v>298</v>
      </c>
    </row>
    <row r="37" spans="1:15" ht="41.5" customHeight="1" x14ac:dyDescent="0.35">
      <c r="A37" s="11">
        <v>32</v>
      </c>
      <c r="B37" s="12" t="s">
        <v>299</v>
      </c>
      <c r="C37" s="12" t="s">
        <v>300</v>
      </c>
      <c r="D37" s="11">
        <v>2026</v>
      </c>
      <c r="E37" s="12" t="s">
        <v>301</v>
      </c>
      <c r="F37" s="12" t="s">
        <v>271</v>
      </c>
      <c r="G37" s="11" t="s">
        <v>124</v>
      </c>
      <c r="H37" s="11" t="s">
        <v>124</v>
      </c>
      <c r="I37" s="11" t="s">
        <v>131</v>
      </c>
      <c r="J37" s="12" t="s">
        <v>302</v>
      </c>
      <c r="K37" s="14" t="str">
        <f t="shared" si="0"/>
        <v>NO</v>
      </c>
      <c r="L37" s="12" t="s">
        <v>125</v>
      </c>
      <c r="M37" s="12" t="s">
        <v>303</v>
      </c>
      <c r="N37" s="12" t="s">
        <v>304</v>
      </c>
      <c r="O37" s="12" t="s">
        <v>305</v>
      </c>
    </row>
    <row r="38" spans="1:15" ht="41.5" customHeight="1" x14ac:dyDescent="0.35">
      <c r="A38" s="11">
        <v>33</v>
      </c>
      <c r="B38" s="12" t="s">
        <v>306</v>
      </c>
      <c r="C38" s="12" t="s">
        <v>307</v>
      </c>
      <c r="D38" s="11">
        <v>2026</v>
      </c>
      <c r="E38" s="12" t="s">
        <v>308</v>
      </c>
      <c r="F38" s="12" t="s">
        <v>271</v>
      </c>
      <c r="G38" s="11" t="s">
        <v>131</v>
      </c>
      <c r="H38" s="11"/>
      <c r="I38" s="11"/>
      <c r="J38" s="12"/>
      <c r="K38" s="14" t="str">
        <f t="shared" si="0"/>
        <v>NO</v>
      </c>
      <c r="L38" s="12" t="s">
        <v>125</v>
      </c>
      <c r="M38" s="12" t="s">
        <v>309</v>
      </c>
      <c r="N38" s="12" t="s">
        <v>310</v>
      </c>
      <c r="O38" s="12" t="s">
        <v>311</v>
      </c>
    </row>
    <row r="39" spans="1:15" ht="29" customHeight="1" x14ac:dyDescent="0.35">
      <c r="A39" s="11">
        <v>34</v>
      </c>
      <c r="B39" s="12" t="s">
        <v>312</v>
      </c>
      <c r="C39" s="12" t="s">
        <v>313</v>
      </c>
      <c r="D39" s="11">
        <v>2025</v>
      </c>
      <c r="E39" s="12" t="s">
        <v>314</v>
      </c>
      <c r="F39" s="12" t="s">
        <v>271</v>
      </c>
      <c r="G39" s="11" t="s">
        <v>124</v>
      </c>
      <c r="H39" s="11" t="s">
        <v>124</v>
      </c>
      <c r="I39" s="11" t="s">
        <v>131</v>
      </c>
      <c r="J39" s="12" t="s">
        <v>302</v>
      </c>
      <c r="K39" s="14" t="str">
        <f t="shared" si="0"/>
        <v>NO</v>
      </c>
      <c r="L39" s="12" t="s">
        <v>125</v>
      </c>
      <c r="M39" s="12" t="s">
        <v>315</v>
      </c>
      <c r="N39" s="12" t="s">
        <v>316</v>
      </c>
      <c r="O39" s="12" t="s">
        <v>317</v>
      </c>
    </row>
    <row r="40" spans="1:15" ht="29" customHeight="1" x14ac:dyDescent="0.35">
      <c r="A40" s="11">
        <v>35</v>
      </c>
      <c r="B40" s="12" t="s">
        <v>318</v>
      </c>
      <c r="C40" s="12" t="s">
        <v>319</v>
      </c>
      <c r="D40" s="11">
        <v>2022</v>
      </c>
      <c r="E40" s="12" t="s">
        <v>218</v>
      </c>
      <c r="F40" s="12" t="s">
        <v>271</v>
      </c>
      <c r="G40" s="11" t="s">
        <v>124</v>
      </c>
      <c r="H40" s="11" t="s">
        <v>131</v>
      </c>
      <c r="I40" s="11"/>
      <c r="J40" s="12"/>
      <c r="K40" s="14" t="str">
        <f t="shared" si="0"/>
        <v>NO</v>
      </c>
      <c r="L40" s="12" t="s">
        <v>125</v>
      </c>
      <c r="M40" s="12" t="s">
        <v>320</v>
      </c>
      <c r="N40" s="12" t="s">
        <v>321</v>
      </c>
      <c r="O40" s="12" t="s">
        <v>322</v>
      </c>
    </row>
    <row r="41" spans="1:15" ht="29" customHeight="1" x14ac:dyDescent="0.35">
      <c r="A41" s="11">
        <v>36</v>
      </c>
      <c r="B41" s="12" t="s">
        <v>323</v>
      </c>
      <c r="C41" s="12" t="s">
        <v>324</v>
      </c>
      <c r="D41" s="11">
        <v>2025</v>
      </c>
      <c r="E41" s="12" t="s">
        <v>178</v>
      </c>
      <c r="F41" s="12" t="s">
        <v>271</v>
      </c>
      <c r="G41" s="11" t="s">
        <v>131</v>
      </c>
      <c r="H41" s="11"/>
      <c r="I41" s="11"/>
      <c r="J41" s="12"/>
      <c r="K41" s="14" t="str">
        <f t="shared" si="0"/>
        <v>NO</v>
      </c>
      <c r="L41" s="12" t="s">
        <v>125</v>
      </c>
      <c r="M41" s="12" t="s">
        <v>325</v>
      </c>
      <c r="N41" s="12" t="s">
        <v>326</v>
      </c>
      <c r="O41" s="12" t="s">
        <v>327</v>
      </c>
    </row>
    <row r="42" spans="1:15" ht="29" customHeight="1" x14ac:dyDescent="0.35">
      <c r="A42" s="11">
        <v>37</v>
      </c>
      <c r="B42" s="12" t="s">
        <v>328</v>
      </c>
      <c r="C42" s="12" t="s">
        <v>329</v>
      </c>
      <c r="D42" s="11">
        <v>2025</v>
      </c>
      <c r="E42" s="12" t="s">
        <v>178</v>
      </c>
      <c r="F42" s="12" t="s">
        <v>271</v>
      </c>
      <c r="G42" s="11" t="s">
        <v>124</v>
      </c>
      <c r="H42" s="11" t="s">
        <v>124</v>
      </c>
      <c r="I42" s="11" t="s">
        <v>131</v>
      </c>
      <c r="J42" s="12" t="s">
        <v>179</v>
      </c>
      <c r="K42" s="14" t="str">
        <f t="shared" si="0"/>
        <v>NO</v>
      </c>
      <c r="L42" s="12" t="s">
        <v>125</v>
      </c>
      <c r="M42" s="12" t="s">
        <v>330</v>
      </c>
      <c r="N42" s="12" t="s">
        <v>331</v>
      </c>
      <c r="O42" s="12" t="s">
        <v>332</v>
      </c>
    </row>
    <row r="43" spans="1:15" ht="66.5" customHeight="1" x14ac:dyDescent="0.35">
      <c r="A43" s="11">
        <v>38</v>
      </c>
      <c r="B43" s="12" t="s">
        <v>333</v>
      </c>
      <c r="C43" s="12" t="s">
        <v>334</v>
      </c>
      <c r="D43" s="11">
        <v>2025</v>
      </c>
      <c r="E43" s="12" t="s">
        <v>335</v>
      </c>
      <c r="F43" s="12" t="s">
        <v>271</v>
      </c>
      <c r="G43" s="11" t="s">
        <v>131</v>
      </c>
      <c r="H43" s="11"/>
      <c r="I43" s="11"/>
      <c r="J43" s="12"/>
      <c r="K43" s="14" t="str">
        <f t="shared" si="0"/>
        <v>NO</v>
      </c>
      <c r="L43" s="12" t="s">
        <v>125</v>
      </c>
      <c r="M43" s="12" t="s">
        <v>336</v>
      </c>
      <c r="N43" s="12" t="s">
        <v>337</v>
      </c>
      <c r="O43" s="12" t="s">
        <v>338</v>
      </c>
    </row>
    <row r="44" spans="1:15" ht="29" customHeight="1" x14ac:dyDescent="0.35">
      <c r="A44" s="11">
        <v>39</v>
      </c>
      <c r="B44" s="12" t="s">
        <v>339</v>
      </c>
      <c r="C44" s="12" t="s">
        <v>340</v>
      </c>
      <c r="D44" s="11">
        <v>2025</v>
      </c>
      <c r="E44" s="12" t="s">
        <v>341</v>
      </c>
      <c r="F44" s="12" t="s">
        <v>271</v>
      </c>
      <c r="G44" s="11" t="s">
        <v>124</v>
      </c>
      <c r="H44" s="11" t="s">
        <v>124</v>
      </c>
      <c r="I44" s="11" t="s">
        <v>124</v>
      </c>
      <c r="J44" s="12"/>
      <c r="K44" s="14" t="str">
        <f t="shared" si="0"/>
        <v>YES</v>
      </c>
      <c r="L44" s="12" t="s">
        <v>125</v>
      </c>
      <c r="M44" s="12"/>
      <c r="N44" s="12" t="s">
        <v>342</v>
      </c>
      <c r="O44" s="12" t="s">
        <v>343</v>
      </c>
    </row>
    <row r="45" spans="1:15" ht="41.5" customHeight="1" x14ac:dyDescent="0.35">
      <c r="A45" s="11">
        <v>40</v>
      </c>
      <c r="B45" s="12" t="s">
        <v>344</v>
      </c>
      <c r="C45" s="12" t="s">
        <v>345</v>
      </c>
      <c r="D45" s="11">
        <v>2026</v>
      </c>
      <c r="E45" s="12" t="s">
        <v>346</v>
      </c>
      <c r="F45" s="12" t="s">
        <v>271</v>
      </c>
      <c r="G45" s="11" t="s">
        <v>124</v>
      </c>
      <c r="H45" s="11" t="s">
        <v>124</v>
      </c>
      <c r="I45" s="11" t="s">
        <v>131</v>
      </c>
      <c r="J45" s="12" t="s">
        <v>302</v>
      </c>
      <c r="K45" s="14" t="str">
        <f t="shared" si="0"/>
        <v>NO</v>
      </c>
      <c r="L45" s="12" t="s">
        <v>125</v>
      </c>
      <c r="M45" s="12" t="s">
        <v>315</v>
      </c>
      <c r="N45" s="12" t="s">
        <v>347</v>
      </c>
      <c r="O45" s="12" t="s">
        <v>348</v>
      </c>
    </row>
    <row r="46" spans="1:15" ht="41.5" customHeight="1" x14ac:dyDescent="0.35">
      <c r="A46" s="11">
        <v>41</v>
      </c>
      <c r="B46" s="12" t="s">
        <v>349</v>
      </c>
      <c r="C46" s="12" t="s">
        <v>350</v>
      </c>
      <c r="D46" s="11">
        <v>2026</v>
      </c>
      <c r="E46" s="12" t="s">
        <v>218</v>
      </c>
      <c r="F46" s="12" t="s">
        <v>271</v>
      </c>
      <c r="G46" s="11" t="s">
        <v>124</v>
      </c>
      <c r="H46" s="11" t="s">
        <v>131</v>
      </c>
      <c r="I46" s="11"/>
      <c r="J46" s="12"/>
      <c r="K46" s="14" t="str">
        <f t="shared" si="0"/>
        <v>NO</v>
      </c>
      <c r="L46" s="12" t="s">
        <v>125</v>
      </c>
      <c r="M46" s="12" t="s">
        <v>351</v>
      </c>
      <c r="N46" s="12" t="s">
        <v>352</v>
      </c>
      <c r="O46" s="12" t="s">
        <v>353</v>
      </c>
    </row>
    <row r="47" spans="1:15" ht="29" customHeight="1" x14ac:dyDescent="0.35">
      <c r="A47" s="11">
        <v>42</v>
      </c>
      <c r="B47" s="12" t="s">
        <v>354</v>
      </c>
      <c r="C47" s="12" t="s">
        <v>355</v>
      </c>
      <c r="D47" s="11">
        <v>2026</v>
      </c>
      <c r="E47" s="12" t="s">
        <v>356</v>
      </c>
      <c r="F47" s="12" t="s">
        <v>271</v>
      </c>
      <c r="G47" s="11" t="s">
        <v>124</v>
      </c>
      <c r="H47" s="11" t="s">
        <v>124</v>
      </c>
      <c r="I47" s="11" t="s">
        <v>124</v>
      </c>
      <c r="J47" s="12"/>
      <c r="K47" s="14" t="str">
        <f t="shared" si="0"/>
        <v>YES</v>
      </c>
      <c r="L47" s="12" t="s">
        <v>125</v>
      </c>
      <c r="M47" s="12"/>
      <c r="N47" s="12" t="s">
        <v>357</v>
      </c>
      <c r="O47" s="12" t="s">
        <v>358</v>
      </c>
    </row>
    <row r="48" spans="1:15" ht="41.5" customHeight="1" x14ac:dyDescent="0.35">
      <c r="A48" s="11">
        <v>43</v>
      </c>
      <c r="B48" s="12" t="s">
        <v>359</v>
      </c>
      <c r="C48" s="12" t="s">
        <v>360</v>
      </c>
      <c r="D48" s="11">
        <v>2025</v>
      </c>
      <c r="E48" s="12" t="s">
        <v>218</v>
      </c>
      <c r="F48" s="12" t="s">
        <v>271</v>
      </c>
      <c r="G48" s="11" t="s">
        <v>124</v>
      </c>
      <c r="H48" s="11" t="s">
        <v>131</v>
      </c>
      <c r="I48" s="11"/>
      <c r="J48" s="12"/>
      <c r="K48" s="14" t="str">
        <f t="shared" si="0"/>
        <v>NO</v>
      </c>
      <c r="L48" s="12" t="s">
        <v>125</v>
      </c>
      <c r="M48" s="12" t="s">
        <v>361</v>
      </c>
      <c r="N48" s="12" t="s">
        <v>362</v>
      </c>
      <c r="O48" s="12" t="s">
        <v>363</v>
      </c>
    </row>
    <row r="49" spans="1:15" ht="29" customHeight="1" x14ac:dyDescent="0.35">
      <c r="A49" s="11">
        <v>44</v>
      </c>
      <c r="B49" s="12" t="s">
        <v>364</v>
      </c>
      <c r="C49" s="12" t="s">
        <v>365</v>
      </c>
      <c r="D49" s="11">
        <v>2025</v>
      </c>
      <c r="E49" s="12" t="s">
        <v>366</v>
      </c>
      <c r="F49" s="12" t="s">
        <v>271</v>
      </c>
      <c r="G49" s="11" t="s">
        <v>124</v>
      </c>
      <c r="H49" s="11" t="s">
        <v>124</v>
      </c>
      <c r="I49" s="11" t="s">
        <v>124</v>
      </c>
      <c r="J49" s="12"/>
      <c r="K49" s="14" t="str">
        <f t="shared" si="0"/>
        <v>YES</v>
      </c>
      <c r="L49" s="12" t="s">
        <v>125</v>
      </c>
      <c r="M49" s="12"/>
      <c r="N49" s="12" t="s">
        <v>367</v>
      </c>
      <c r="O49" s="12" t="s">
        <v>368</v>
      </c>
    </row>
    <row r="50" spans="1:15" ht="24" customHeight="1" x14ac:dyDescent="0.35">
      <c r="A50" s="11">
        <v>45</v>
      </c>
      <c r="B50" s="12" t="s">
        <v>369</v>
      </c>
      <c r="C50" s="12" t="s">
        <v>370</v>
      </c>
      <c r="D50" s="11">
        <v>2026</v>
      </c>
      <c r="E50" s="12" t="s">
        <v>149</v>
      </c>
      <c r="F50" s="12" t="s">
        <v>271</v>
      </c>
      <c r="G50" s="11" t="s">
        <v>131</v>
      </c>
      <c r="H50" s="11"/>
      <c r="I50" s="11"/>
      <c r="J50" s="12"/>
      <c r="K50" s="14" t="str">
        <f t="shared" si="0"/>
        <v>NO</v>
      </c>
      <c r="L50" s="12" t="s">
        <v>125</v>
      </c>
      <c r="M50" s="12" t="s">
        <v>371</v>
      </c>
      <c r="N50" s="12" t="s">
        <v>372</v>
      </c>
      <c r="O50" s="12" t="s">
        <v>373</v>
      </c>
    </row>
    <row r="51" spans="1:15" ht="41.5" customHeight="1" x14ac:dyDescent="0.35">
      <c r="A51" s="11">
        <v>46</v>
      </c>
      <c r="B51" s="12" t="s">
        <v>374</v>
      </c>
      <c r="C51" s="12" t="s">
        <v>375</v>
      </c>
      <c r="D51" s="11">
        <v>2026</v>
      </c>
      <c r="E51" s="12" t="s">
        <v>376</v>
      </c>
      <c r="F51" s="12" t="s">
        <v>271</v>
      </c>
      <c r="G51" s="11" t="s">
        <v>124</v>
      </c>
      <c r="H51" s="11" t="s">
        <v>124</v>
      </c>
      <c r="I51" s="11" t="s">
        <v>131</v>
      </c>
      <c r="J51" s="12" t="s">
        <v>179</v>
      </c>
      <c r="K51" s="14" t="str">
        <f t="shared" si="0"/>
        <v>NO</v>
      </c>
      <c r="L51" s="12" t="s">
        <v>125</v>
      </c>
      <c r="M51" s="12" t="s">
        <v>377</v>
      </c>
      <c r="N51" s="12" t="s">
        <v>378</v>
      </c>
      <c r="O51" s="12" t="s">
        <v>379</v>
      </c>
    </row>
    <row r="52" spans="1:15" ht="29" customHeight="1" x14ac:dyDescent="0.35">
      <c r="A52" s="11">
        <v>47</v>
      </c>
      <c r="B52" s="12" t="s">
        <v>380</v>
      </c>
      <c r="C52" s="12" t="s">
        <v>381</v>
      </c>
      <c r="D52" s="11">
        <v>2026</v>
      </c>
      <c r="E52" s="12" t="s">
        <v>178</v>
      </c>
      <c r="F52" s="12" t="s">
        <v>271</v>
      </c>
      <c r="G52" s="11" t="s">
        <v>124</v>
      </c>
      <c r="H52" s="11" t="s">
        <v>124</v>
      </c>
      <c r="I52" s="11" t="s">
        <v>131</v>
      </c>
      <c r="J52" s="12" t="s">
        <v>179</v>
      </c>
      <c r="K52" s="14" t="str">
        <f t="shared" si="0"/>
        <v>NO</v>
      </c>
      <c r="L52" s="12" t="s">
        <v>125</v>
      </c>
      <c r="M52" s="12" t="s">
        <v>382</v>
      </c>
      <c r="N52" s="12" t="s">
        <v>383</v>
      </c>
      <c r="O52" s="12" t="s">
        <v>384</v>
      </c>
    </row>
    <row r="53" spans="1:15" ht="29" customHeight="1" x14ac:dyDescent="0.35">
      <c r="A53" s="11">
        <v>48</v>
      </c>
      <c r="B53" s="12" t="s">
        <v>385</v>
      </c>
      <c r="C53" s="12" t="s">
        <v>386</v>
      </c>
      <c r="D53" s="11">
        <v>2026</v>
      </c>
      <c r="E53" s="12" t="s">
        <v>236</v>
      </c>
      <c r="F53" s="12" t="s">
        <v>271</v>
      </c>
      <c r="G53" s="11" t="s">
        <v>124</v>
      </c>
      <c r="H53" s="11" t="s">
        <v>124</v>
      </c>
      <c r="I53" s="11" t="s">
        <v>131</v>
      </c>
      <c r="J53" s="12" t="s">
        <v>302</v>
      </c>
      <c r="K53" s="14" t="str">
        <f t="shared" si="0"/>
        <v>NO</v>
      </c>
      <c r="L53" s="12" t="s">
        <v>125</v>
      </c>
      <c r="M53" s="12" t="s">
        <v>387</v>
      </c>
      <c r="N53" s="12" t="s">
        <v>388</v>
      </c>
      <c r="O53" s="12" t="s">
        <v>389</v>
      </c>
    </row>
    <row r="54" spans="1:15" ht="29" customHeight="1" x14ac:dyDescent="0.35">
      <c r="A54" s="11">
        <v>49</v>
      </c>
      <c r="B54" s="12" t="s">
        <v>390</v>
      </c>
      <c r="C54" s="12" t="s">
        <v>391</v>
      </c>
      <c r="D54" s="11">
        <v>2023</v>
      </c>
      <c r="E54" s="12" t="s">
        <v>218</v>
      </c>
      <c r="F54" s="12" t="s">
        <v>392</v>
      </c>
      <c r="G54" s="11" t="s">
        <v>131</v>
      </c>
      <c r="H54" s="11"/>
      <c r="I54" s="11"/>
      <c r="J54" s="12"/>
      <c r="K54" s="14" t="str">
        <f t="shared" si="0"/>
        <v>NO</v>
      </c>
      <c r="L54" s="12" t="s">
        <v>125</v>
      </c>
      <c r="M54" s="12" t="s">
        <v>393</v>
      </c>
      <c r="N54" s="12" t="s">
        <v>394</v>
      </c>
      <c r="O54" s="12" t="s">
        <v>395</v>
      </c>
    </row>
    <row r="55" spans="1:15" ht="41.5" customHeight="1" x14ac:dyDescent="0.35">
      <c r="A55" s="11">
        <v>50</v>
      </c>
      <c r="B55" s="12" t="s">
        <v>396</v>
      </c>
      <c r="C55" s="12" t="s">
        <v>397</v>
      </c>
      <c r="D55" s="11">
        <v>2021</v>
      </c>
      <c r="E55" s="12" t="s">
        <v>398</v>
      </c>
      <c r="F55" s="12" t="s">
        <v>392</v>
      </c>
      <c r="G55" s="11" t="s">
        <v>124</v>
      </c>
      <c r="H55" s="11" t="s">
        <v>124</v>
      </c>
      <c r="I55" s="11" t="s">
        <v>124</v>
      </c>
      <c r="J55" s="12"/>
      <c r="K55" s="14" t="str">
        <f t="shared" si="0"/>
        <v>YES</v>
      </c>
      <c r="L55" s="12" t="s">
        <v>125</v>
      </c>
      <c r="M55" s="12"/>
      <c r="N55" s="12" t="s">
        <v>399</v>
      </c>
      <c r="O55" s="12" t="s">
        <v>400</v>
      </c>
    </row>
    <row r="56" spans="1:15" ht="29" customHeight="1" x14ac:dyDescent="0.35">
      <c r="A56" s="11">
        <v>51</v>
      </c>
      <c r="B56" s="12" t="s">
        <v>401</v>
      </c>
      <c r="C56" s="12" t="s">
        <v>402</v>
      </c>
      <c r="D56" s="11">
        <v>2023</v>
      </c>
      <c r="E56" s="12" t="s">
        <v>403</v>
      </c>
      <c r="F56" s="12" t="s">
        <v>392</v>
      </c>
      <c r="G56" s="11" t="s">
        <v>124</v>
      </c>
      <c r="H56" s="11" t="s">
        <v>124</v>
      </c>
      <c r="I56" s="11" t="s">
        <v>124</v>
      </c>
      <c r="J56" s="12"/>
      <c r="K56" s="14" t="str">
        <f t="shared" si="0"/>
        <v>YES</v>
      </c>
      <c r="L56" s="12" t="s">
        <v>125</v>
      </c>
      <c r="M56" s="12"/>
      <c r="N56" s="12" t="s">
        <v>404</v>
      </c>
      <c r="O56" s="12" t="s">
        <v>405</v>
      </c>
    </row>
    <row r="57" spans="1:15" ht="29" customHeight="1" x14ac:dyDescent="0.35">
      <c r="A57" s="11">
        <v>52</v>
      </c>
      <c r="B57" s="12" t="s">
        <v>406</v>
      </c>
      <c r="C57" s="12" t="s">
        <v>407</v>
      </c>
      <c r="D57" s="11">
        <v>2023</v>
      </c>
      <c r="E57" s="12" t="s">
        <v>408</v>
      </c>
      <c r="F57" s="12" t="s">
        <v>392</v>
      </c>
      <c r="G57" s="11" t="s">
        <v>124</v>
      </c>
      <c r="H57" s="11" t="s">
        <v>124</v>
      </c>
      <c r="I57" s="11" t="s">
        <v>124</v>
      </c>
      <c r="J57" s="12"/>
      <c r="K57" s="14" t="str">
        <f t="shared" si="0"/>
        <v>YES</v>
      </c>
      <c r="L57" s="12" t="s">
        <v>125</v>
      </c>
      <c r="M57" s="12"/>
      <c r="N57" s="12" t="s">
        <v>409</v>
      </c>
      <c r="O57" s="12" t="s">
        <v>410</v>
      </c>
    </row>
    <row r="58" spans="1:15" ht="29" customHeight="1" x14ac:dyDescent="0.35">
      <c r="A58" s="11">
        <v>53</v>
      </c>
      <c r="B58" s="12" t="s">
        <v>411</v>
      </c>
      <c r="C58" s="12" t="s">
        <v>412</v>
      </c>
      <c r="D58" s="11">
        <v>2023</v>
      </c>
      <c r="E58" s="12" t="s">
        <v>218</v>
      </c>
      <c r="F58" s="12" t="s">
        <v>392</v>
      </c>
      <c r="G58" s="11" t="s">
        <v>124</v>
      </c>
      <c r="H58" s="11" t="s">
        <v>131</v>
      </c>
      <c r="I58" s="11"/>
      <c r="J58" s="12"/>
      <c r="K58" s="14" t="str">
        <f t="shared" si="0"/>
        <v>NO</v>
      </c>
      <c r="L58" s="12" t="s">
        <v>125</v>
      </c>
      <c r="M58" s="12" t="s">
        <v>413</v>
      </c>
      <c r="N58" s="12" t="s">
        <v>414</v>
      </c>
      <c r="O58" s="12" t="s">
        <v>415</v>
      </c>
    </row>
    <row r="59" spans="1:15" ht="29" customHeight="1" x14ac:dyDescent="0.35">
      <c r="A59" s="11">
        <v>54</v>
      </c>
      <c r="B59" s="12" t="s">
        <v>416</v>
      </c>
      <c r="C59" s="12" t="s">
        <v>391</v>
      </c>
      <c r="D59" s="11">
        <v>2023</v>
      </c>
      <c r="E59" s="12" t="s">
        <v>178</v>
      </c>
      <c r="F59" s="12" t="s">
        <v>392</v>
      </c>
      <c r="G59" s="11" t="s">
        <v>131</v>
      </c>
      <c r="H59" s="11"/>
      <c r="I59" s="11"/>
      <c r="J59" s="12"/>
      <c r="K59" s="14" t="str">
        <f t="shared" si="0"/>
        <v>NO</v>
      </c>
      <c r="L59" s="12" t="s">
        <v>125</v>
      </c>
      <c r="M59" s="12" t="s">
        <v>393</v>
      </c>
      <c r="N59" s="12" t="s">
        <v>417</v>
      </c>
      <c r="O59" s="12" t="s">
        <v>418</v>
      </c>
    </row>
    <row r="60" spans="1:15" ht="29" customHeight="1" x14ac:dyDescent="0.35">
      <c r="A60" s="11">
        <v>55</v>
      </c>
      <c r="B60" s="12" t="s">
        <v>419</v>
      </c>
      <c r="C60" s="12" t="s">
        <v>397</v>
      </c>
      <c r="D60" s="11">
        <v>2022</v>
      </c>
      <c r="E60" s="12" t="s">
        <v>420</v>
      </c>
      <c r="F60" s="12" t="s">
        <v>392</v>
      </c>
      <c r="G60" s="11" t="s">
        <v>124</v>
      </c>
      <c r="H60" s="11" t="s">
        <v>124</v>
      </c>
      <c r="I60" s="11" t="s">
        <v>124</v>
      </c>
      <c r="J60" s="12"/>
      <c r="K60" s="14" t="str">
        <f t="shared" si="0"/>
        <v>YES</v>
      </c>
      <c r="L60" s="12" t="s">
        <v>125</v>
      </c>
      <c r="M60" s="12" t="s">
        <v>173</v>
      </c>
      <c r="N60" s="12" t="s">
        <v>421</v>
      </c>
      <c r="O60" s="12" t="s">
        <v>422</v>
      </c>
    </row>
    <row r="61" spans="1:15" ht="29" customHeight="1" x14ac:dyDescent="0.35">
      <c r="A61" s="11">
        <v>56</v>
      </c>
      <c r="B61" s="12" t="s">
        <v>423</v>
      </c>
      <c r="C61" s="12" t="s">
        <v>424</v>
      </c>
      <c r="D61" s="11">
        <v>2024</v>
      </c>
      <c r="E61" s="12" t="s">
        <v>425</v>
      </c>
      <c r="F61" s="12" t="s">
        <v>392</v>
      </c>
      <c r="G61" s="11" t="s">
        <v>131</v>
      </c>
      <c r="H61" s="11"/>
      <c r="I61" s="11"/>
      <c r="J61" s="12"/>
      <c r="K61" s="14" t="str">
        <f t="shared" si="0"/>
        <v>NO</v>
      </c>
      <c r="L61" s="12" t="s">
        <v>125</v>
      </c>
      <c r="M61" s="12" t="s">
        <v>426</v>
      </c>
      <c r="N61" s="12" t="s">
        <v>427</v>
      </c>
      <c r="O61" s="12" t="s">
        <v>428</v>
      </c>
    </row>
    <row r="62" spans="1:15" ht="41.5" customHeight="1" x14ac:dyDescent="0.35">
      <c r="A62" s="11">
        <v>57</v>
      </c>
      <c r="B62" s="12" t="s">
        <v>429</v>
      </c>
      <c r="C62" s="12" t="s">
        <v>430</v>
      </c>
      <c r="D62" s="11">
        <v>2023</v>
      </c>
      <c r="E62" s="12" t="s">
        <v>431</v>
      </c>
      <c r="F62" s="12" t="s">
        <v>392</v>
      </c>
      <c r="G62" s="11" t="s">
        <v>131</v>
      </c>
      <c r="H62" s="11"/>
      <c r="I62" s="11"/>
      <c r="J62" s="12"/>
      <c r="K62" s="14" t="str">
        <f t="shared" si="0"/>
        <v>NO</v>
      </c>
      <c r="L62" s="12" t="s">
        <v>125</v>
      </c>
      <c r="M62" s="12" t="s">
        <v>432</v>
      </c>
      <c r="N62" s="12" t="s">
        <v>433</v>
      </c>
      <c r="O62" s="12" t="s">
        <v>434</v>
      </c>
    </row>
    <row r="63" spans="1:15" ht="41.5" customHeight="1" x14ac:dyDescent="0.35">
      <c r="A63" s="11">
        <v>58</v>
      </c>
      <c r="B63" s="12" t="s">
        <v>435</v>
      </c>
      <c r="C63" s="12" t="s">
        <v>436</v>
      </c>
      <c r="D63" s="11">
        <v>2023</v>
      </c>
      <c r="E63" s="12" t="s">
        <v>437</v>
      </c>
      <c r="F63" s="12" t="s">
        <v>392</v>
      </c>
      <c r="G63" s="11" t="s">
        <v>124</v>
      </c>
      <c r="H63" s="11" t="s">
        <v>124</v>
      </c>
      <c r="I63" s="11" t="s">
        <v>131</v>
      </c>
      <c r="J63" s="12" t="s">
        <v>179</v>
      </c>
      <c r="K63" s="14" t="str">
        <f t="shared" si="0"/>
        <v>NO</v>
      </c>
      <c r="L63" s="12" t="s">
        <v>125</v>
      </c>
      <c r="M63" s="12" t="s">
        <v>438</v>
      </c>
      <c r="N63" s="12" t="s">
        <v>439</v>
      </c>
      <c r="O63" s="12" t="s">
        <v>440</v>
      </c>
    </row>
    <row r="64" spans="1:15" ht="29" customHeight="1" x14ac:dyDescent="0.35">
      <c r="A64" s="11">
        <v>59</v>
      </c>
      <c r="B64" s="12" t="s">
        <v>441</v>
      </c>
      <c r="C64" s="12" t="s">
        <v>412</v>
      </c>
      <c r="D64" s="11">
        <v>2022</v>
      </c>
      <c r="E64" s="12" t="s">
        <v>178</v>
      </c>
      <c r="F64" s="12" t="s">
        <v>392</v>
      </c>
      <c r="G64" s="11" t="s">
        <v>124</v>
      </c>
      <c r="H64" s="11" t="s">
        <v>131</v>
      </c>
      <c r="I64" s="11"/>
      <c r="J64" s="12"/>
      <c r="K64" s="14" t="str">
        <f t="shared" si="0"/>
        <v>NO</v>
      </c>
      <c r="L64" s="12" t="s">
        <v>125</v>
      </c>
      <c r="M64" s="12" t="s">
        <v>413</v>
      </c>
      <c r="N64" s="12" t="s">
        <v>442</v>
      </c>
      <c r="O64" s="12" t="s">
        <v>443</v>
      </c>
    </row>
    <row r="65" spans="1:15" ht="41.5" customHeight="1" x14ac:dyDescent="0.35">
      <c r="A65" s="11">
        <v>60</v>
      </c>
      <c r="B65" s="12" t="s">
        <v>444</v>
      </c>
      <c r="C65" s="12" t="s">
        <v>445</v>
      </c>
      <c r="D65" s="11">
        <v>2021</v>
      </c>
      <c r="E65" s="12" t="s">
        <v>178</v>
      </c>
      <c r="F65" s="12" t="s">
        <v>392</v>
      </c>
      <c r="G65" s="11" t="s">
        <v>131</v>
      </c>
      <c r="H65" s="11"/>
      <c r="I65" s="11"/>
      <c r="J65" s="12"/>
      <c r="K65" s="14" t="str">
        <f t="shared" si="0"/>
        <v>NO</v>
      </c>
      <c r="L65" s="12" t="s">
        <v>125</v>
      </c>
      <c r="M65" s="12" t="s">
        <v>446</v>
      </c>
      <c r="N65" s="12" t="s">
        <v>447</v>
      </c>
      <c r="O65" s="12" t="s">
        <v>448</v>
      </c>
    </row>
    <row r="66" spans="1:15" ht="41.5" customHeight="1" x14ac:dyDescent="0.35">
      <c r="A66" s="11">
        <v>61</v>
      </c>
      <c r="B66" s="12" t="s">
        <v>449</v>
      </c>
      <c r="C66" s="12" t="s">
        <v>450</v>
      </c>
      <c r="D66" s="11">
        <v>2023</v>
      </c>
      <c r="E66" s="12" t="s">
        <v>178</v>
      </c>
      <c r="F66" s="12" t="s">
        <v>392</v>
      </c>
      <c r="G66" s="11" t="s">
        <v>131</v>
      </c>
      <c r="H66" s="11"/>
      <c r="I66" s="11"/>
      <c r="J66" s="12"/>
      <c r="K66" s="14" t="str">
        <f t="shared" si="0"/>
        <v>NO</v>
      </c>
      <c r="L66" s="12" t="s">
        <v>125</v>
      </c>
      <c r="M66" s="12" t="s">
        <v>451</v>
      </c>
      <c r="N66" s="12" t="s">
        <v>452</v>
      </c>
      <c r="O66" s="12" t="s">
        <v>453</v>
      </c>
    </row>
    <row r="67" spans="1:15" ht="29" customHeight="1" x14ac:dyDescent="0.35">
      <c r="A67" s="11">
        <v>62</v>
      </c>
      <c r="B67" s="12" t="s">
        <v>454</v>
      </c>
      <c r="C67" s="12" t="s">
        <v>455</v>
      </c>
      <c r="D67" s="11">
        <v>2023</v>
      </c>
      <c r="E67" s="12" t="s">
        <v>403</v>
      </c>
      <c r="F67" s="12" t="s">
        <v>392</v>
      </c>
      <c r="G67" s="11" t="s">
        <v>124</v>
      </c>
      <c r="H67" s="11" t="s">
        <v>124</v>
      </c>
      <c r="I67" s="11" t="s">
        <v>124</v>
      </c>
      <c r="J67" s="12"/>
      <c r="K67" s="14" t="str">
        <f t="shared" si="0"/>
        <v>YES</v>
      </c>
      <c r="L67" s="12" t="s">
        <v>125</v>
      </c>
      <c r="M67" s="12"/>
      <c r="N67" s="12" t="s">
        <v>456</v>
      </c>
      <c r="O67" s="12" t="s">
        <v>457</v>
      </c>
    </row>
    <row r="68" spans="1:15" ht="29" customHeight="1" x14ac:dyDescent="0.35">
      <c r="A68" s="11">
        <v>63</v>
      </c>
      <c r="B68" s="12" t="s">
        <v>458</v>
      </c>
      <c r="C68" s="12" t="s">
        <v>459</v>
      </c>
      <c r="D68" s="11">
        <v>2026</v>
      </c>
      <c r="E68" s="12" t="s">
        <v>460</v>
      </c>
      <c r="F68" s="12" t="s">
        <v>392</v>
      </c>
      <c r="G68" s="11" t="s">
        <v>131</v>
      </c>
      <c r="H68" s="11"/>
      <c r="I68" s="11"/>
      <c r="J68" s="12"/>
      <c r="K68" s="14" t="str">
        <f t="shared" si="0"/>
        <v>NO</v>
      </c>
      <c r="L68" s="12" t="s">
        <v>125</v>
      </c>
      <c r="M68" s="12" t="s">
        <v>461</v>
      </c>
      <c r="N68" s="12" t="s">
        <v>462</v>
      </c>
      <c r="O68" s="12" t="s">
        <v>463</v>
      </c>
    </row>
    <row r="69" spans="1:15" ht="41.5" customHeight="1" x14ac:dyDescent="0.35">
      <c r="A69" s="11">
        <v>64</v>
      </c>
      <c r="B69" s="12" t="s">
        <v>464</v>
      </c>
      <c r="C69" s="12" t="s">
        <v>465</v>
      </c>
      <c r="D69" s="11">
        <v>2023</v>
      </c>
      <c r="E69" s="12" t="s">
        <v>466</v>
      </c>
      <c r="F69" s="12" t="s">
        <v>392</v>
      </c>
      <c r="G69" s="11" t="s">
        <v>124</v>
      </c>
      <c r="H69" s="11" t="s">
        <v>124</v>
      </c>
      <c r="I69" s="11" t="s">
        <v>124</v>
      </c>
      <c r="J69" s="12"/>
      <c r="K69" s="14" t="str">
        <f t="shared" si="0"/>
        <v>YES</v>
      </c>
      <c r="L69" s="12" t="s">
        <v>125</v>
      </c>
      <c r="M69" s="12"/>
      <c r="N69" s="12" t="s">
        <v>467</v>
      </c>
      <c r="O69" s="12" t="s">
        <v>468</v>
      </c>
    </row>
    <row r="70" spans="1:15" ht="41.5" customHeight="1" x14ac:dyDescent="0.35">
      <c r="A70" s="11">
        <v>65</v>
      </c>
      <c r="B70" s="12" t="s">
        <v>469</v>
      </c>
      <c r="C70" s="12" t="s">
        <v>470</v>
      </c>
      <c r="D70" s="11">
        <v>2023</v>
      </c>
      <c r="E70" s="12" t="s">
        <v>218</v>
      </c>
      <c r="F70" s="12" t="s">
        <v>392</v>
      </c>
      <c r="G70" s="11" t="s">
        <v>131</v>
      </c>
      <c r="H70" s="11"/>
      <c r="I70" s="11"/>
      <c r="J70" s="12"/>
      <c r="K70" s="14" t="str">
        <f t="shared" ref="K70:K133" si="1">IF(AND(G70="KEEP",H70="KEEP",I70="KEEP"),"YES",IF(OR(G70="DROP",H70="DROP",I70="DROP"),"NO",""))</f>
        <v>NO</v>
      </c>
      <c r="L70" s="12" t="s">
        <v>125</v>
      </c>
      <c r="M70" s="12" t="s">
        <v>471</v>
      </c>
      <c r="N70" s="12" t="s">
        <v>472</v>
      </c>
      <c r="O70" s="12" t="s">
        <v>473</v>
      </c>
    </row>
    <row r="71" spans="1:15" ht="29" customHeight="1" x14ac:dyDescent="0.35">
      <c r="A71" s="11">
        <v>66</v>
      </c>
      <c r="B71" s="12" t="s">
        <v>474</v>
      </c>
      <c r="C71" s="12" t="s">
        <v>475</v>
      </c>
      <c r="D71" s="11">
        <v>2022</v>
      </c>
      <c r="E71" s="12" t="s">
        <v>420</v>
      </c>
      <c r="F71" s="12" t="s">
        <v>392</v>
      </c>
      <c r="G71" s="11" t="s">
        <v>124</v>
      </c>
      <c r="H71" s="11" t="s">
        <v>124</v>
      </c>
      <c r="I71" s="11" t="s">
        <v>124</v>
      </c>
      <c r="J71" s="12"/>
      <c r="K71" s="14" t="str">
        <f t="shared" si="1"/>
        <v>YES</v>
      </c>
      <c r="L71" s="12" t="s">
        <v>125</v>
      </c>
      <c r="M71" s="12" t="s">
        <v>173</v>
      </c>
      <c r="N71" s="12" t="s">
        <v>476</v>
      </c>
      <c r="O71" s="12" t="s">
        <v>477</v>
      </c>
    </row>
    <row r="72" spans="1:15" ht="29" customHeight="1" x14ac:dyDescent="0.35">
      <c r="A72" s="11">
        <v>67</v>
      </c>
      <c r="B72" s="12" t="s">
        <v>478</v>
      </c>
      <c r="C72" s="12" t="s">
        <v>479</v>
      </c>
      <c r="D72" s="11">
        <v>2026</v>
      </c>
      <c r="E72" s="12" t="s">
        <v>480</v>
      </c>
      <c r="F72" s="12" t="s">
        <v>392</v>
      </c>
      <c r="G72" s="11" t="s">
        <v>131</v>
      </c>
      <c r="H72" s="11"/>
      <c r="I72" s="11"/>
      <c r="J72" s="12"/>
      <c r="K72" s="14" t="str">
        <f t="shared" si="1"/>
        <v>NO</v>
      </c>
      <c r="L72" s="12" t="s">
        <v>125</v>
      </c>
      <c r="M72" s="12" t="s">
        <v>481</v>
      </c>
      <c r="N72" s="12" t="s">
        <v>482</v>
      </c>
      <c r="O72" s="12" t="s">
        <v>483</v>
      </c>
    </row>
    <row r="73" spans="1:15" ht="41.5" customHeight="1" x14ac:dyDescent="0.35">
      <c r="A73" s="11">
        <v>68</v>
      </c>
      <c r="B73" s="12" t="s">
        <v>484</v>
      </c>
      <c r="C73" s="12" t="s">
        <v>485</v>
      </c>
      <c r="D73" s="11">
        <v>2026</v>
      </c>
      <c r="E73" s="12" t="s">
        <v>486</v>
      </c>
      <c r="F73" s="12" t="s">
        <v>392</v>
      </c>
      <c r="G73" s="11" t="s">
        <v>131</v>
      </c>
      <c r="H73" s="11"/>
      <c r="I73" s="11"/>
      <c r="J73" s="12"/>
      <c r="K73" s="14" t="str">
        <f t="shared" si="1"/>
        <v>NO</v>
      </c>
      <c r="L73" s="12" t="s">
        <v>125</v>
      </c>
      <c r="M73" s="12" t="s">
        <v>487</v>
      </c>
      <c r="N73" s="12" t="s">
        <v>488</v>
      </c>
      <c r="O73" s="12" t="s">
        <v>489</v>
      </c>
    </row>
    <row r="74" spans="1:15" ht="41.5" customHeight="1" x14ac:dyDescent="0.35">
      <c r="A74" s="11">
        <v>69</v>
      </c>
      <c r="B74" s="12" t="s">
        <v>490</v>
      </c>
      <c r="C74" s="12" t="s">
        <v>491</v>
      </c>
      <c r="D74" s="11">
        <v>2026</v>
      </c>
      <c r="E74" s="12" t="s">
        <v>492</v>
      </c>
      <c r="F74" s="12" t="s">
        <v>392</v>
      </c>
      <c r="G74" s="11" t="s">
        <v>131</v>
      </c>
      <c r="H74" s="11"/>
      <c r="I74" s="11"/>
      <c r="J74" s="12"/>
      <c r="K74" s="14" t="str">
        <f t="shared" si="1"/>
        <v>NO</v>
      </c>
      <c r="L74" s="12" t="s">
        <v>125</v>
      </c>
      <c r="M74" s="12" t="s">
        <v>493</v>
      </c>
      <c r="N74" s="12" t="s">
        <v>494</v>
      </c>
      <c r="O74" s="12" t="s">
        <v>495</v>
      </c>
    </row>
    <row r="75" spans="1:15" ht="41.5" customHeight="1" x14ac:dyDescent="0.35">
      <c r="A75" s="11">
        <v>70</v>
      </c>
      <c r="B75" s="12" t="s">
        <v>496</v>
      </c>
      <c r="C75" s="12" t="s">
        <v>497</v>
      </c>
      <c r="D75" s="11">
        <v>2025</v>
      </c>
      <c r="E75" s="12" t="s">
        <v>218</v>
      </c>
      <c r="F75" s="12" t="s">
        <v>392</v>
      </c>
      <c r="G75" s="11" t="s">
        <v>124</v>
      </c>
      <c r="H75" s="11" t="s">
        <v>131</v>
      </c>
      <c r="I75" s="11"/>
      <c r="J75" s="12"/>
      <c r="K75" s="14" t="str">
        <f t="shared" si="1"/>
        <v>NO</v>
      </c>
      <c r="L75" s="12" t="s">
        <v>125</v>
      </c>
      <c r="M75" s="12" t="s">
        <v>498</v>
      </c>
      <c r="N75" s="12" t="s">
        <v>499</v>
      </c>
      <c r="O75" s="12" t="s">
        <v>500</v>
      </c>
    </row>
    <row r="76" spans="1:15" ht="29" customHeight="1" x14ac:dyDescent="0.35">
      <c r="A76" s="11">
        <v>71</v>
      </c>
      <c r="B76" s="12" t="s">
        <v>501</v>
      </c>
      <c r="C76" s="12" t="s">
        <v>402</v>
      </c>
      <c r="D76" s="11">
        <v>2023</v>
      </c>
      <c r="E76" s="12" t="s">
        <v>502</v>
      </c>
      <c r="F76" s="12" t="s">
        <v>392</v>
      </c>
      <c r="G76" s="11" t="s">
        <v>124</v>
      </c>
      <c r="H76" s="11" t="s">
        <v>124</v>
      </c>
      <c r="I76" s="11" t="s">
        <v>124</v>
      </c>
      <c r="J76" s="12"/>
      <c r="K76" s="14" t="str">
        <f t="shared" si="1"/>
        <v>YES</v>
      </c>
      <c r="L76" s="12" t="s">
        <v>125</v>
      </c>
      <c r="M76" s="12"/>
      <c r="N76" s="12" t="s">
        <v>503</v>
      </c>
      <c r="O76" s="12" t="s">
        <v>504</v>
      </c>
    </row>
    <row r="77" spans="1:15" ht="29" customHeight="1" x14ac:dyDescent="0.35">
      <c r="A77" s="11">
        <v>72</v>
      </c>
      <c r="B77" s="12" t="s">
        <v>454</v>
      </c>
      <c r="C77" s="12" t="s">
        <v>455</v>
      </c>
      <c r="D77" s="11">
        <v>2022</v>
      </c>
      <c r="E77" s="12" t="s">
        <v>178</v>
      </c>
      <c r="F77" s="12" t="s">
        <v>392</v>
      </c>
      <c r="G77" s="11" t="s">
        <v>124</v>
      </c>
      <c r="H77" s="11" t="s">
        <v>124</v>
      </c>
      <c r="I77" s="11" t="s">
        <v>131</v>
      </c>
      <c r="J77" s="12" t="s">
        <v>280</v>
      </c>
      <c r="K77" s="14" t="str">
        <f t="shared" si="1"/>
        <v>NO</v>
      </c>
      <c r="L77" s="12" t="s">
        <v>125</v>
      </c>
      <c r="M77" s="12" t="s">
        <v>505</v>
      </c>
      <c r="N77" s="12" t="s">
        <v>506</v>
      </c>
      <c r="O77" s="12" t="s">
        <v>507</v>
      </c>
    </row>
    <row r="78" spans="1:15" ht="41.5" customHeight="1" x14ac:dyDescent="0.35">
      <c r="A78" s="11">
        <v>73</v>
      </c>
      <c r="B78" s="12" t="s">
        <v>508</v>
      </c>
      <c r="C78" s="12" t="s">
        <v>509</v>
      </c>
      <c r="D78" s="11">
        <v>2022</v>
      </c>
      <c r="E78" s="12" t="s">
        <v>510</v>
      </c>
      <c r="F78" s="12" t="s">
        <v>392</v>
      </c>
      <c r="G78" s="11" t="s">
        <v>124</v>
      </c>
      <c r="H78" s="11" t="s">
        <v>124</v>
      </c>
      <c r="I78" s="11" t="s">
        <v>124</v>
      </c>
      <c r="J78" s="12"/>
      <c r="K78" s="14" t="str">
        <f t="shared" si="1"/>
        <v>YES</v>
      </c>
      <c r="L78" s="12" t="s">
        <v>125</v>
      </c>
      <c r="M78" s="12"/>
      <c r="N78" s="12" t="s">
        <v>511</v>
      </c>
      <c r="O78" s="12" t="s">
        <v>512</v>
      </c>
    </row>
    <row r="79" spans="1:15" ht="29" customHeight="1" x14ac:dyDescent="0.35">
      <c r="A79" s="11">
        <v>74</v>
      </c>
      <c r="B79" s="12" t="s">
        <v>513</v>
      </c>
      <c r="C79" s="12" t="s">
        <v>514</v>
      </c>
      <c r="D79" s="11">
        <v>2020</v>
      </c>
      <c r="E79" s="12" t="s">
        <v>515</v>
      </c>
      <c r="F79" s="12" t="s">
        <v>516</v>
      </c>
      <c r="G79" s="11" t="s">
        <v>124</v>
      </c>
      <c r="H79" s="11" t="s">
        <v>124</v>
      </c>
      <c r="I79" s="11" t="s">
        <v>124</v>
      </c>
      <c r="J79" s="12"/>
      <c r="K79" s="14" t="str">
        <f t="shared" si="1"/>
        <v>YES</v>
      </c>
      <c r="L79" s="12" t="s">
        <v>125</v>
      </c>
      <c r="M79" s="12"/>
      <c r="N79" s="12" t="s">
        <v>517</v>
      </c>
      <c r="O79" s="12" t="s">
        <v>518</v>
      </c>
    </row>
    <row r="80" spans="1:15" ht="29" customHeight="1" x14ac:dyDescent="0.35">
      <c r="A80" s="11">
        <v>75</v>
      </c>
      <c r="B80" s="12" t="s">
        <v>519</v>
      </c>
      <c r="C80" s="12" t="s">
        <v>514</v>
      </c>
      <c r="D80" s="11">
        <v>2023</v>
      </c>
      <c r="E80" s="12" t="s">
        <v>520</v>
      </c>
      <c r="F80" s="12" t="s">
        <v>516</v>
      </c>
      <c r="G80" s="11" t="s">
        <v>124</v>
      </c>
      <c r="H80" s="11" t="s">
        <v>124</v>
      </c>
      <c r="I80" s="11" t="s">
        <v>124</v>
      </c>
      <c r="J80" s="12"/>
      <c r="K80" s="14" t="str">
        <f t="shared" si="1"/>
        <v>YES</v>
      </c>
      <c r="L80" s="12" t="s">
        <v>125</v>
      </c>
      <c r="M80" s="12"/>
      <c r="N80" s="12" t="s">
        <v>521</v>
      </c>
      <c r="O80" s="12" t="s">
        <v>522</v>
      </c>
    </row>
    <row r="81" spans="1:15" ht="29" customHeight="1" x14ac:dyDescent="0.35">
      <c r="A81" s="11">
        <v>76</v>
      </c>
      <c r="B81" s="12" t="s">
        <v>523</v>
      </c>
      <c r="C81" s="12" t="s">
        <v>524</v>
      </c>
      <c r="D81" s="11">
        <v>2021</v>
      </c>
      <c r="E81" s="12" t="s">
        <v>525</v>
      </c>
      <c r="F81" s="12" t="s">
        <v>516</v>
      </c>
      <c r="G81" s="11" t="s">
        <v>124</v>
      </c>
      <c r="H81" s="11" t="s">
        <v>124</v>
      </c>
      <c r="I81" s="11" t="s">
        <v>124</v>
      </c>
      <c r="J81" s="12"/>
      <c r="K81" s="14" t="str">
        <f t="shared" si="1"/>
        <v>YES</v>
      </c>
      <c r="L81" s="12" t="s">
        <v>125</v>
      </c>
      <c r="M81" s="12"/>
      <c r="N81" s="12" t="s">
        <v>526</v>
      </c>
      <c r="O81" s="12" t="s">
        <v>527</v>
      </c>
    </row>
    <row r="82" spans="1:15" ht="29" customHeight="1" x14ac:dyDescent="0.35">
      <c r="A82" s="11">
        <v>77</v>
      </c>
      <c r="B82" s="12" t="s">
        <v>528</v>
      </c>
      <c r="C82" s="12" t="s">
        <v>529</v>
      </c>
      <c r="D82" s="11">
        <v>2020</v>
      </c>
      <c r="E82" s="12" t="s">
        <v>530</v>
      </c>
      <c r="F82" s="12" t="s">
        <v>516</v>
      </c>
      <c r="G82" s="11" t="s">
        <v>124</v>
      </c>
      <c r="H82" s="11" t="s">
        <v>124</v>
      </c>
      <c r="I82" s="11" t="s">
        <v>124</v>
      </c>
      <c r="J82" s="12"/>
      <c r="K82" s="14" t="str">
        <f t="shared" si="1"/>
        <v>YES</v>
      </c>
      <c r="L82" s="12" t="s">
        <v>125</v>
      </c>
      <c r="M82" s="12"/>
      <c r="N82" s="12" t="s">
        <v>531</v>
      </c>
      <c r="O82" s="12" t="s">
        <v>532</v>
      </c>
    </row>
    <row r="83" spans="1:15" ht="29" customHeight="1" x14ac:dyDescent="0.35">
      <c r="A83" s="11">
        <v>78</v>
      </c>
      <c r="B83" s="12" t="s">
        <v>533</v>
      </c>
      <c r="C83" s="12" t="s">
        <v>534</v>
      </c>
      <c r="D83" s="11">
        <v>2020</v>
      </c>
      <c r="E83" s="12" t="s">
        <v>530</v>
      </c>
      <c r="F83" s="12" t="s">
        <v>516</v>
      </c>
      <c r="G83" s="11" t="s">
        <v>124</v>
      </c>
      <c r="H83" s="11" t="s">
        <v>124</v>
      </c>
      <c r="I83" s="11" t="s">
        <v>124</v>
      </c>
      <c r="J83" s="12"/>
      <c r="K83" s="14" t="str">
        <f t="shared" si="1"/>
        <v>YES</v>
      </c>
      <c r="L83" s="12" t="s">
        <v>125</v>
      </c>
      <c r="M83" s="12"/>
      <c r="N83" s="12" t="s">
        <v>535</v>
      </c>
      <c r="O83" s="12" t="s">
        <v>536</v>
      </c>
    </row>
    <row r="84" spans="1:15" ht="41.5" customHeight="1" x14ac:dyDescent="0.35">
      <c r="A84" s="11">
        <v>79</v>
      </c>
      <c r="B84" s="12" t="s">
        <v>537</v>
      </c>
      <c r="C84" s="12" t="s">
        <v>538</v>
      </c>
      <c r="D84" s="11">
        <v>2021</v>
      </c>
      <c r="E84" s="12" t="s">
        <v>539</v>
      </c>
      <c r="F84" s="12" t="s">
        <v>516</v>
      </c>
      <c r="G84" s="11" t="s">
        <v>124</v>
      </c>
      <c r="H84" s="11" t="s">
        <v>124</v>
      </c>
      <c r="I84" s="11" t="s">
        <v>124</v>
      </c>
      <c r="J84" s="12"/>
      <c r="K84" s="14" t="str">
        <f t="shared" si="1"/>
        <v>YES</v>
      </c>
      <c r="L84" s="12" t="s">
        <v>125</v>
      </c>
      <c r="M84" s="12"/>
      <c r="N84" s="12" t="s">
        <v>540</v>
      </c>
      <c r="O84" s="12" t="s">
        <v>541</v>
      </c>
    </row>
    <row r="85" spans="1:15" ht="29" customHeight="1" x14ac:dyDescent="0.35">
      <c r="A85" s="11">
        <v>80</v>
      </c>
      <c r="B85" s="12" t="s">
        <v>542</v>
      </c>
      <c r="C85" s="12" t="s">
        <v>543</v>
      </c>
      <c r="D85" s="11">
        <v>2020</v>
      </c>
      <c r="E85" s="12" t="s">
        <v>544</v>
      </c>
      <c r="F85" s="12" t="s">
        <v>516</v>
      </c>
      <c r="G85" s="11" t="s">
        <v>124</v>
      </c>
      <c r="H85" s="11" t="s">
        <v>124</v>
      </c>
      <c r="I85" s="11" t="s">
        <v>124</v>
      </c>
      <c r="J85" s="12"/>
      <c r="K85" s="14" t="str">
        <f t="shared" si="1"/>
        <v>YES</v>
      </c>
      <c r="L85" s="12" t="s">
        <v>125</v>
      </c>
      <c r="M85" s="12"/>
      <c r="N85" s="12" t="s">
        <v>545</v>
      </c>
      <c r="O85" s="12" t="s">
        <v>546</v>
      </c>
    </row>
    <row r="86" spans="1:15" ht="29" customHeight="1" x14ac:dyDescent="0.35">
      <c r="A86" s="11">
        <v>81</v>
      </c>
      <c r="B86" s="12" t="s">
        <v>547</v>
      </c>
      <c r="C86" s="12" t="s">
        <v>548</v>
      </c>
      <c r="D86" s="11">
        <v>2025</v>
      </c>
      <c r="E86" s="12" t="s">
        <v>549</v>
      </c>
      <c r="F86" s="12" t="s">
        <v>516</v>
      </c>
      <c r="G86" s="11" t="s">
        <v>124</v>
      </c>
      <c r="H86" s="11" t="s">
        <v>124</v>
      </c>
      <c r="I86" s="11" t="s">
        <v>124</v>
      </c>
      <c r="J86" s="12"/>
      <c r="K86" s="14" t="str">
        <f t="shared" si="1"/>
        <v>YES</v>
      </c>
      <c r="L86" s="12" t="s">
        <v>125</v>
      </c>
      <c r="M86" s="12"/>
      <c r="N86" s="12" t="s">
        <v>550</v>
      </c>
      <c r="O86" s="12" t="s">
        <v>551</v>
      </c>
    </row>
    <row r="87" spans="1:15" ht="29" customHeight="1" x14ac:dyDescent="0.35">
      <c r="A87" s="11">
        <v>82</v>
      </c>
      <c r="B87" s="12" t="s">
        <v>552</v>
      </c>
      <c r="C87" s="12" t="s">
        <v>553</v>
      </c>
      <c r="D87" s="11">
        <v>2022</v>
      </c>
      <c r="E87" s="12" t="s">
        <v>554</v>
      </c>
      <c r="F87" s="12" t="s">
        <v>516</v>
      </c>
      <c r="G87" s="11" t="s">
        <v>124</v>
      </c>
      <c r="H87" s="11" t="s">
        <v>124</v>
      </c>
      <c r="I87" s="11" t="s">
        <v>124</v>
      </c>
      <c r="J87" s="12"/>
      <c r="K87" s="14" t="str">
        <f t="shared" si="1"/>
        <v>YES</v>
      </c>
      <c r="L87" s="12" t="s">
        <v>125</v>
      </c>
      <c r="M87" s="12"/>
      <c r="N87" s="12" t="s">
        <v>555</v>
      </c>
      <c r="O87" s="12" t="s">
        <v>556</v>
      </c>
    </row>
    <row r="88" spans="1:15" ht="29" customHeight="1" x14ac:dyDescent="0.35">
      <c r="A88" s="11">
        <v>83</v>
      </c>
      <c r="B88" s="12" t="s">
        <v>523</v>
      </c>
      <c r="C88" s="12" t="s">
        <v>524</v>
      </c>
      <c r="D88" s="11">
        <v>2021</v>
      </c>
      <c r="E88" s="12" t="s">
        <v>149</v>
      </c>
      <c r="F88" s="12" t="s">
        <v>516</v>
      </c>
      <c r="G88" s="11" t="s">
        <v>124</v>
      </c>
      <c r="H88" s="11" t="s">
        <v>124</v>
      </c>
      <c r="I88" s="11" t="s">
        <v>131</v>
      </c>
      <c r="J88" s="12" t="s">
        <v>280</v>
      </c>
      <c r="K88" s="14" t="str">
        <f t="shared" si="1"/>
        <v>NO</v>
      </c>
      <c r="L88" s="12" t="s">
        <v>125</v>
      </c>
      <c r="M88" s="12" t="s">
        <v>557</v>
      </c>
      <c r="N88" s="12" t="s">
        <v>558</v>
      </c>
      <c r="O88" s="12" t="s">
        <v>559</v>
      </c>
    </row>
    <row r="89" spans="1:15" ht="41.5" customHeight="1" x14ac:dyDescent="0.35">
      <c r="A89" s="11">
        <v>84</v>
      </c>
      <c r="B89" s="12" t="s">
        <v>560</v>
      </c>
      <c r="C89" s="12" t="s">
        <v>543</v>
      </c>
      <c r="D89" s="11">
        <v>2021</v>
      </c>
      <c r="E89" s="12" t="s">
        <v>398</v>
      </c>
      <c r="F89" s="12" t="s">
        <v>516</v>
      </c>
      <c r="G89" s="11" t="s">
        <v>124</v>
      </c>
      <c r="H89" s="11" t="s">
        <v>124</v>
      </c>
      <c r="I89" s="11" t="s">
        <v>124</v>
      </c>
      <c r="J89" s="12"/>
      <c r="K89" s="14" t="str">
        <f t="shared" si="1"/>
        <v>YES</v>
      </c>
      <c r="L89" s="12" t="s">
        <v>125</v>
      </c>
      <c r="M89" s="12"/>
      <c r="N89" s="12" t="s">
        <v>561</v>
      </c>
      <c r="O89" s="12" t="s">
        <v>562</v>
      </c>
    </row>
    <row r="90" spans="1:15" ht="41.5" customHeight="1" x14ac:dyDescent="0.35">
      <c r="A90" s="11">
        <v>85</v>
      </c>
      <c r="B90" s="12" t="s">
        <v>563</v>
      </c>
      <c r="C90" s="12" t="s">
        <v>564</v>
      </c>
      <c r="D90" s="11">
        <v>2022</v>
      </c>
      <c r="E90" s="12" t="s">
        <v>554</v>
      </c>
      <c r="F90" s="12" t="s">
        <v>516</v>
      </c>
      <c r="G90" s="11" t="s">
        <v>124</v>
      </c>
      <c r="H90" s="11" t="s">
        <v>124</v>
      </c>
      <c r="I90" s="11" t="s">
        <v>124</v>
      </c>
      <c r="J90" s="12"/>
      <c r="K90" s="14" t="str">
        <f t="shared" si="1"/>
        <v>YES</v>
      </c>
      <c r="L90" s="12" t="s">
        <v>125</v>
      </c>
      <c r="M90" s="12"/>
      <c r="N90" s="12" t="s">
        <v>565</v>
      </c>
      <c r="O90" s="12" t="s">
        <v>566</v>
      </c>
    </row>
    <row r="91" spans="1:15" ht="29" customHeight="1" x14ac:dyDescent="0.35">
      <c r="A91" s="11">
        <v>86</v>
      </c>
      <c r="B91" s="12" t="s">
        <v>567</v>
      </c>
      <c r="C91" s="12" t="s">
        <v>568</v>
      </c>
      <c r="D91" s="11">
        <v>2024</v>
      </c>
      <c r="E91" s="12" t="s">
        <v>569</v>
      </c>
      <c r="F91" s="12" t="s">
        <v>516</v>
      </c>
      <c r="G91" s="11" t="s">
        <v>124</v>
      </c>
      <c r="H91" s="11" t="s">
        <v>124</v>
      </c>
      <c r="I91" s="11" t="s">
        <v>124</v>
      </c>
      <c r="J91" s="12"/>
      <c r="K91" s="14" t="str">
        <f t="shared" si="1"/>
        <v>YES</v>
      </c>
      <c r="L91" s="12" t="s">
        <v>125</v>
      </c>
      <c r="M91" s="12"/>
      <c r="N91" s="12" t="s">
        <v>570</v>
      </c>
      <c r="O91" s="12" t="s">
        <v>571</v>
      </c>
    </row>
    <row r="92" spans="1:15" ht="29" customHeight="1" x14ac:dyDescent="0.35">
      <c r="A92" s="11">
        <v>87</v>
      </c>
      <c r="B92" s="12" t="s">
        <v>572</v>
      </c>
      <c r="C92" s="12" t="s">
        <v>534</v>
      </c>
      <c r="D92" s="11">
        <v>2021</v>
      </c>
      <c r="E92" s="12" t="s">
        <v>573</v>
      </c>
      <c r="F92" s="12" t="s">
        <v>516</v>
      </c>
      <c r="G92" s="11" t="s">
        <v>124</v>
      </c>
      <c r="H92" s="11" t="s">
        <v>124</v>
      </c>
      <c r="I92" s="11" t="s">
        <v>124</v>
      </c>
      <c r="J92" s="12"/>
      <c r="K92" s="14" t="str">
        <f t="shared" si="1"/>
        <v>YES</v>
      </c>
      <c r="L92" s="12" t="s">
        <v>125</v>
      </c>
      <c r="M92" s="12"/>
      <c r="N92" s="12" t="s">
        <v>574</v>
      </c>
      <c r="O92" s="12" t="s">
        <v>575</v>
      </c>
    </row>
    <row r="93" spans="1:15" ht="54" customHeight="1" x14ac:dyDescent="0.35">
      <c r="A93" s="11">
        <v>88</v>
      </c>
      <c r="B93" s="12" t="s">
        <v>576</v>
      </c>
      <c r="C93" s="12" t="s">
        <v>564</v>
      </c>
      <c r="D93" s="11">
        <v>2023</v>
      </c>
      <c r="E93" s="12" t="s">
        <v>577</v>
      </c>
      <c r="F93" s="12" t="s">
        <v>516</v>
      </c>
      <c r="G93" s="11" t="s">
        <v>131</v>
      </c>
      <c r="H93" s="11"/>
      <c r="I93" s="11"/>
      <c r="J93" s="12"/>
      <c r="K93" s="14" t="str">
        <f t="shared" si="1"/>
        <v>NO</v>
      </c>
      <c r="L93" s="12" t="s">
        <v>125</v>
      </c>
      <c r="M93" s="12" t="s">
        <v>578</v>
      </c>
      <c r="N93" s="12" t="s">
        <v>579</v>
      </c>
      <c r="O93" s="12" t="s">
        <v>580</v>
      </c>
    </row>
    <row r="94" spans="1:15" ht="41.5" customHeight="1" x14ac:dyDescent="0.35">
      <c r="A94" s="11">
        <v>89</v>
      </c>
      <c r="B94" s="12" t="s">
        <v>581</v>
      </c>
      <c r="C94" s="12" t="s">
        <v>548</v>
      </c>
      <c r="D94" s="11">
        <v>2023</v>
      </c>
      <c r="E94" s="12" t="s">
        <v>308</v>
      </c>
      <c r="F94" s="12" t="s">
        <v>516</v>
      </c>
      <c r="G94" s="11" t="s">
        <v>124</v>
      </c>
      <c r="H94" s="11" t="s">
        <v>124</v>
      </c>
      <c r="I94" s="11" t="s">
        <v>131</v>
      </c>
      <c r="J94" s="12" t="s">
        <v>302</v>
      </c>
      <c r="K94" s="14" t="str">
        <f t="shared" si="1"/>
        <v>NO</v>
      </c>
      <c r="L94" s="12" t="s">
        <v>125</v>
      </c>
      <c r="M94" s="12" t="s">
        <v>582</v>
      </c>
      <c r="N94" s="12" t="s">
        <v>583</v>
      </c>
      <c r="O94" s="12" t="s">
        <v>584</v>
      </c>
    </row>
    <row r="95" spans="1:15" ht="29" customHeight="1" x14ac:dyDescent="0.35">
      <c r="A95" s="11">
        <v>90</v>
      </c>
      <c r="B95" s="12" t="s">
        <v>585</v>
      </c>
      <c r="C95" s="12" t="s">
        <v>586</v>
      </c>
      <c r="D95" s="11">
        <v>2022</v>
      </c>
      <c r="E95" s="12" t="s">
        <v>587</v>
      </c>
      <c r="F95" s="12" t="s">
        <v>516</v>
      </c>
      <c r="G95" s="11" t="s">
        <v>124</v>
      </c>
      <c r="H95" s="11" t="s">
        <v>124</v>
      </c>
      <c r="I95" s="11" t="s">
        <v>124</v>
      </c>
      <c r="J95" s="12"/>
      <c r="K95" s="14" t="str">
        <f t="shared" si="1"/>
        <v>YES</v>
      </c>
      <c r="L95" s="12" t="s">
        <v>125</v>
      </c>
      <c r="M95" s="12"/>
      <c r="N95" s="12" t="s">
        <v>588</v>
      </c>
      <c r="O95" s="12" t="s">
        <v>589</v>
      </c>
    </row>
    <row r="96" spans="1:15" ht="29" customHeight="1" x14ac:dyDescent="0.35">
      <c r="A96" s="11">
        <v>91</v>
      </c>
      <c r="B96" s="12" t="s">
        <v>590</v>
      </c>
      <c r="C96" s="12" t="s">
        <v>591</v>
      </c>
      <c r="D96" s="11">
        <v>2022</v>
      </c>
      <c r="E96" s="12" t="s">
        <v>420</v>
      </c>
      <c r="F96" s="12" t="s">
        <v>516</v>
      </c>
      <c r="G96" s="11" t="s">
        <v>124</v>
      </c>
      <c r="H96" s="11" t="s">
        <v>124</v>
      </c>
      <c r="I96" s="11" t="s">
        <v>124</v>
      </c>
      <c r="J96" s="12"/>
      <c r="K96" s="14" t="str">
        <f t="shared" si="1"/>
        <v>YES</v>
      </c>
      <c r="L96" s="12" t="s">
        <v>125</v>
      </c>
      <c r="M96" s="12"/>
      <c r="N96" s="12" t="s">
        <v>592</v>
      </c>
      <c r="O96" s="12" t="s">
        <v>593</v>
      </c>
    </row>
    <row r="97" spans="1:15" ht="29" customHeight="1" x14ac:dyDescent="0.35">
      <c r="A97" s="11">
        <v>92</v>
      </c>
      <c r="B97" s="12" t="s">
        <v>594</v>
      </c>
      <c r="C97" s="12" t="s">
        <v>595</v>
      </c>
      <c r="D97" s="11">
        <v>2021</v>
      </c>
      <c r="E97" s="12" t="s">
        <v>573</v>
      </c>
      <c r="F97" s="12" t="s">
        <v>516</v>
      </c>
      <c r="G97" s="11" t="s">
        <v>124</v>
      </c>
      <c r="H97" s="11" t="s">
        <v>124</v>
      </c>
      <c r="I97" s="11" t="s">
        <v>124</v>
      </c>
      <c r="J97" s="12"/>
      <c r="K97" s="14" t="str">
        <f t="shared" si="1"/>
        <v>YES</v>
      </c>
      <c r="L97" s="12" t="s">
        <v>125</v>
      </c>
      <c r="M97" s="12"/>
      <c r="N97" s="12" t="s">
        <v>596</v>
      </c>
      <c r="O97" s="12" t="s">
        <v>597</v>
      </c>
    </row>
    <row r="98" spans="1:15" ht="29" customHeight="1" x14ac:dyDescent="0.35">
      <c r="A98" s="11">
        <v>93</v>
      </c>
      <c r="B98" s="12" t="s">
        <v>598</v>
      </c>
      <c r="C98" s="12" t="s">
        <v>599</v>
      </c>
      <c r="D98" s="11">
        <v>2024</v>
      </c>
      <c r="E98" s="12" t="s">
        <v>218</v>
      </c>
      <c r="F98" s="12" t="s">
        <v>516</v>
      </c>
      <c r="G98" s="11" t="s">
        <v>131</v>
      </c>
      <c r="H98" s="11"/>
      <c r="I98" s="11"/>
      <c r="J98" s="12"/>
      <c r="K98" s="14" t="str">
        <f t="shared" si="1"/>
        <v>NO</v>
      </c>
      <c r="L98" s="12" t="s">
        <v>125</v>
      </c>
      <c r="M98" s="12" t="s">
        <v>600</v>
      </c>
      <c r="N98" s="12" t="s">
        <v>601</v>
      </c>
      <c r="O98" s="12" t="s">
        <v>602</v>
      </c>
    </row>
    <row r="99" spans="1:15" ht="41.5" customHeight="1" x14ac:dyDescent="0.35">
      <c r="A99" s="11">
        <v>94</v>
      </c>
      <c r="B99" s="12" t="s">
        <v>603</v>
      </c>
      <c r="C99" s="12" t="s">
        <v>604</v>
      </c>
      <c r="D99" s="11">
        <v>2022</v>
      </c>
      <c r="E99" s="12" t="s">
        <v>270</v>
      </c>
      <c r="F99" s="12" t="s">
        <v>516</v>
      </c>
      <c r="G99" s="11" t="s">
        <v>124</v>
      </c>
      <c r="H99" s="11" t="s">
        <v>124</v>
      </c>
      <c r="I99" s="11" t="s">
        <v>124</v>
      </c>
      <c r="J99" s="12"/>
      <c r="K99" s="14" t="str">
        <f t="shared" si="1"/>
        <v>YES</v>
      </c>
      <c r="L99" s="12" t="s">
        <v>125</v>
      </c>
      <c r="M99" s="12"/>
      <c r="N99" s="12" t="s">
        <v>605</v>
      </c>
      <c r="O99" s="12" t="s">
        <v>606</v>
      </c>
    </row>
    <row r="100" spans="1:15" ht="29" customHeight="1" x14ac:dyDescent="0.35">
      <c r="A100" s="11">
        <v>95</v>
      </c>
      <c r="B100" s="12" t="s">
        <v>607</v>
      </c>
      <c r="C100" s="12" t="s">
        <v>608</v>
      </c>
      <c r="D100" s="11">
        <v>2021</v>
      </c>
      <c r="E100" s="12" t="s">
        <v>609</v>
      </c>
      <c r="F100" s="12" t="s">
        <v>516</v>
      </c>
      <c r="G100" s="11" t="s">
        <v>124</v>
      </c>
      <c r="H100" s="11" t="s">
        <v>124</v>
      </c>
      <c r="I100" s="11" t="s">
        <v>124</v>
      </c>
      <c r="J100" s="12"/>
      <c r="K100" s="14" t="str">
        <f t="shared" si="1"/>
        <v>YES</v>
      </c>
      <c r="L100" s="12" t="s">
        <v>125</v>
      </c>
      <c r="M100" s="12"/>
      <c r="N100" s="12" t="s">
        <v>610</v>
      </c>
      <c r="O100" s="12" t="s">
        <v>611</v>
      </c>
    </row>
    <row r="101" spans="1:15" ht="29" customHeight="1" x14ac:dyDescent="0.35">
      <c r="A101" s="11">
        <v>96</v>
      </c>
      <c r="B101" s="12" t="s">
        <v>612</v>
      </c>
      <c r="C101" s="12" t="s">
        <v>613</v>
      </c>
      <c r="D101" s="11">
        <v>2024</v>
      </c>
      <c r="E101" s="12" t="s">
        <v>614</v>
      </c>
      <c r="F101" s="12" t="s">
        <v>516</v>
      </c>
      <c r="G101" s="11" t="s">
        <v>124</v>
      </c>
      <c r="H101" s="11" t="s">
        <v>124</v>
      </c>
      <c r="I101" s="11" t="s">
        <v>124</v>
      </c>
      <c r="J101" s="12"/>
      <c r="K101" s="14" t="str">
        <f t="shared" si="1"/>
        <v>YES</v>
      </c>
      <c r="L101" s="12" t="s">
        <v>125</v>
      </c>
      <c r="M101" s="12"/>
      <c r="N101" s="12" t="s">
        <v>615</v>
      </c>
      <c r="O101" s="12" t="s">
        <v>616</v>
      </c>
    </row>
    <row r="102" spans="1:15" ht="29" customHeight="1" x14ac:dyDescent="0.35">
      <c r="A102" s="11">
        <v>97</v>
      </c>
      <c r="B102" s="12" t="s">
        <v>617</v>
      </c>
      <c r="C102" s="12" t="s">
        <v>618</v>
      </c>
      <c r="D102" s="11">
        <v>2025</v>
      </c>
      <c r="E102" s="12" t="s">
        <v>366</v>
      </c>
      <c r="F102" s="12" t="s">
        <v>516</v>
      </c>
      <c r="G102" s="11" t="s">
        <v>124</v>
      </c>
      <c r="H102" s="11" t="s">
        <v>124</v>
      </c>
      <c r="I102" s="11" t="s">
        <v>124</v>
      </c>
      <c r="J102" s="12"/>
      <c r="K102" s="14" t="str">
        <f t="shared" si="1"/>
        <v>YES</v>
      </c>
      <c r="L102" s="12" t="s">
        <v>125</v>
      </c>
      <c r="M102" s="12"/>
      <c r="N102" s="12" t="s">
        <v>619</v>
      </c>
      <c r="O102" s="12" t="s">
        <v>620</v>
      </c>
    </row>
    <row r="103" spans="1:15" ht="41.5" customHeight="1" x14ac:dyDescent="0.35">
      <c r="A103" s="11">
        <v>98</v>
      </c>
      <c r="B103" s="12" t="s">
        <v>621</v>
      </c>
      <c r="C103" s="12" t="s">
        <v>622</v>
      </c>
      <c r="D103" s="11">
        <v>2023</v>
      </c>
      <c r="E103" s="12" t="s">
        <v>623</v>
      </c>
      <c r="F103" s="12" t="s">
        <v>516</v>
      </c>
      <c r="G103" s="11" t="s">
        <v>124</v>
      </c>
      <c r="H103" s="11" t="s">
        <v>124</v>
      </c>
      <c r="I103" s="11" t="s">
        <v>131</v>
      </c>
      <c r="J103" s="12" t="s">
        <v>302</v>
      </c>
      <c r="K103" s="14" t="str">
        <f t="shared" si="1"/>
        <v>NO</v>
      </c>
      <c r="L103" s="12" t="s">
        <v>125</v>
      </c>
      <c r="M103" s="12" t="s">
        <v>624</v>
      </c>
      <c r="N103" s="12" t="s">
        <v>625</v>
      </c>
      <c r="O103" s="12" t="s">
        <v>626</v>
      </c>
    </row>
    <row r="104" spans="1:15" ht="24" customHeight="1" x14ac:dyDescent="0.35">
      <c r="A104" s="11">
        <v>99</v>
      </c>
      <c r="B104" s="12" t="s">
        <v>627</v>
      </c>
      <c r="C104" s="12" t="s">
        <v>628</v>
      </c>
      <c r="D104" s="11">
        <v>2018</v>
      </c>
      <c r="E104" s="12" t="s">
        <v>629</v>
      </c>
      <c r="F104" s="12" t="s">
        <v>630</v>
      </c>
      <c r="G104" s="11" t="s">
        <v>131</v>
      </c>
      <c r="H104" s="11"/>
      <c r="I104" s="11"/>
      <c r="J104" s="12"/>
      <c r="K104" s="14" t="str">
        <f t="shared" si="1"/>
        <v>NO</v>
      </c>
      <c r="L104" s="12" t="s">
        <v>125</v>
      </c>
      <c r="M104" s="12" t="s">
        <v>631</v>
      </c>
      <c r="N104" s="12" t="s">
        <v>632</v>
      </c>
      <c r="O104" s="12" t="s">
        <v>633</v>
      </c>
    </row>
    <row r="105" spans="1:15" ht="29" customHeight="1" x14ac:dyDescent="0.35">
      <c r="A105" s="11">
        <v>100</v>
      </c>
      <c r="B105" s="12" t="s">
        <v>634</v>
      </c>
      <c r="C105" s="12" t="s">
        <v>635</v>
      </c>
      <c r="D105" s="11">
        <v>2023</v>
      </c>
      <c r="E105" s="12" t="s">
        <v>636</v>
      </c>
      <c r="F105" s="12" t="s">
        <v>630</v>
      </c>
      <c r="G105" s="11" t="s">
        <v>131</v>
      </c>
      <c r="H105" s="11"/>
      <c r="I105" s="11"/>
      <c r="J105" s="12"/>
      <c r="K105" s="14" t="str">
        <f t="shared" si="1"/>
        <v>NO</v>
      </c>
      <c r="L105" s="12" t="s">
        <v>125</v>
      </c>
      <c r="M105" s="12" t="s">
        <v>637</v>
      </c>
      <c r="N105" s="12" t="s">
        <v>638</v>
      </c>
      <c r="O105" s="12" t="s">
        <v>639</v>
      </c>
    </row>
    <row r="106" spans="1:15" ht="29" customHeight="1" x14ac:dyDescent="0.35">
      <c r="A106" s="11">
        <v>101</v>
      </c>
      <c r="B106" s="12" t="s">
        <v>640</v>
      </c>
      <c r="C106" s="12" t="s">
        <v>641</v>
      </c>
      <c r="D106" s="11">
        <v>2020</v>
      </c>
      <c r="E106" s="12" t="s">
        <v>642</v>
      </c>
      <c r="F106" s="12" t="s">
        <v>630</v>
      </c>
      <c r="G106" s="11" t="s">
        <v>131</v>
      </c>
      <c r="H106" s="11"/>
      <c r="I106" s="11"/>
      <c r="J106" s="12"/>
      <c r="K106" s="14" t="str">
        <f t="shared" si="1"/>
        <v>NO</v>
      </c>
      <c r="L106" s="12" t="s">
        <v>125</v>
      </c>
      <c r="M106" s="12" t="s">
        <v>643</v>
      </c>
      <c r="N106" s="12" t="s">
        <v>644</v>
      </c>
      <c r="O106" s="12" t="s">
        <v>645</v>
      </c>
    </row>
    <row r="107" spans="1:15" ht="29" customHeight="1" x14ac:dyDescent="0.35">
      <c r="A107" s="11">
        <v>102</v>
      </c>
      <c r="B107" s="12" t="s">
        <v>646</v>
      </c>
      <c r="C107" s="12" t="s">
        <v>647</v>
      </c>
      <c r="D107" s="11">
        <v>2024</v>
      </c>
      <c r="E107" s="12" t="s">
        <v>178</v>
      </c>
      <c r="F107" s="12" t="s">
        <v>630</v>
      </c>
      <c r="G107" s="11" t="s">
        <v>131</v>
      </c>
      <c r="H107" s="11"/>
      <c r="I107" s="11"/>
      <c r="J107" s="12"/>
      <c r="K107" s="14" t="str">
        <f t="shared" si="1"/>
        <v>NO</v>
      </c>
      <c r="L107" s="12" t="s">
        <v>125</v>
      </c>
      <c r="M107" s="12" t="s">
        <v>648</v>
      </c>
      <c r="N107" s="12" t="s">
        <v>649</v>
      </c>
      <c r="O107" s="12" t="s">
        <v>650</v>
      </c>
    </row>
    <row r="108" spans="1:15" ht="29" customHeight="1" x14ac:dyDescent="0.35">
      <c r="A108" s="11">
        <v>103</v>
      </c>
      <c r="B108" s="12" t="s">
        <v>651</v>
      </c>
      <c r="C108" s="12" t="s">
        <v>652</v>
      </c>
      <c r="D108" s="11">
        <v>2017</v>
      </c>
      <c r="E108" s="12" t="s">
        <v>653</v>
      </c>
      <c r="F108" s="12" t="s">
        <v>630</v>
      </c>
      <c r="G108" s="11" t="s">
        <v>131</v>
      </c>
      <c r="H108" s="11"/>
      <c r="I108" s="11"/>
      <c r="J108" s="12"/>
      <c r="K108" s="14" t="str">
        <f t="shared" si="1"/>
        <v>NO</v>
      </c>
      <c r="L108" s="12" t="s">
        <v>125</v>
      </c>
      <c r="M108" s="12" t="s">
        <v>654</v>
      </c>
      <c r="N108" s="12" t="s">
        <v>655</v>
      </c>
      <c r="O108" s="12" t="s">
        <v>656</v>
      </c>
    </row>
    <row r="109" spans="1:15" ht="29" customHeight="1" x14ac:dyDescent="0.35">
      <c r="A109" s="11">
        <v>104</v>
      </c>
      <c r="B109" s="12" t="s">
        <v>657</v>
      </c>
      <c r="C109" s="12" t="s">
        <v>658</v>
      </c>
      <c r="D109" s="11">
        <v>2025</v>
      </c>
      <c r="E109" s="12" t="s">
        <v>659</v>
      </c>
      <c r="F109" s="12" t="s">
        <v>630</v>
      </c>
      <c r="G109" s="11" t="s">
        <v>131</v>
      </c>
      <c r="H109" s="11"/>
      <c r="I109" s="11"/>
      <c r="J109" s="12"/>
      <c r="K109" s="14" t="str">
        <f t="shared" si="1"/>
        <v>NO</v>
      </c>
      <c r="L109" s="12" t="s">
        <v>125</v>
      </c>
      <c r="M109" s="12" t="s">
        <v>660</v>
      </c>
      <c r="N109" s="12" t="s">
        <v>661</v>
      </c>
      <c r="O109" s="12" t="s">
        <v>662</v>
      </c>
    </row>
    <row r="110" spans="1:15" ht="29" customHeight="1" x14ac:dyDescent="0.35">
      <c r="A110" s="11">
        <v>105</v>
      </c>
      <c r="B110" s="12" t="s">
        <v>663</v>
      </c>
      <c r="C110" s="12" t="s">
        <v>664</v>
      </c>
      <c r="D110" s="11">
        <v>2018</v>
      </c>
      <c r="E110" s="12" t="s">
        <v>665</v>
      </c>
      <c r="F110" s="12" t="s">
        <v>630</v>
      </c>
      <c r="G110" s="11" t="s">
        <v>131</v>
      </c>
      <c r="H110" s="11"/>
      <c r="I110" s="11"/>
      <c r="J110" s="12"/>
      <c r="K110" s="14" t="str">
        <f t="shared" si="1"/>
        <v>NO</v>
      </c>
      <c r="L110" s="12" t="s">
        <v>125</v>
      </c>
      <c r="M110" s="12" t="s">
        <v>666</v>
      </c>
      <c r="N110" s="12" t="s">
        <v>667</v>
      </c>
      <c r="O110" s="12" t="s">
        <v>668</v>
      </c>
    </row>
    <row r="111" spans="1:15" ht="29" customHeight="1" x14ac:dyDescent="0.35">
      <c r="A111" s="11">
        <v>106</v>
      </c>
      <c r="B111" s="12" t="s">
        <v>669</v>
      </c>
      <c r="C111" s="12" t="s">
        <v>670</v>
      </c>
      <c r="D111" s="11">
        <v>2025</v>
      </c>
      <c r="E111" s="12" t="s">
        <v>671</v>
      </c>
      <c r="F111" s="12" t="s">
        <v>630</v>
      </c>
      <c r="G111" s="11" t="s">
        <v>124</v>
      </c>
      <c r="H111" s="11" t="s">
        <v>131</v>
      </c>
      <c r="I111" s="11"/>
      <c r="J111" s="12"/>
      <c r="K111" s="14" t="str">
        <f t="shared" si="1"/>
        <v>NO</v>
      </c>
      <c r="L111" s="12" t="s">
        <v>125</v>
      </c>
      <c r="M111" s="12" t="s">
        <v>672</v>
      </c>
      <c r="N111" s="12" t="s">
        <v>673</v>
      </c>
      <c r="O111" s="12" t="s">
        <v>674</v>
      </c>
    </row>
    <row r="112" spans="1:15" ht="29" customHeight="1" x14ac:dyDescent="0.35">
      <c r="A112" s="11">
        <v>107</v>
      </c>
      <c r="B112" s="12" t="s">
        <v>675</v>
      </c>
      <c r="C112" s="12" t="s">
        <v>676</v>
      </c>
      <c r="D112" s="11">
        <v>2023</v>
      </c>
      <c r="E112" s="12" t="s">
        <v>677</v>
      </c>
      <c r="F112" s="12" t="s">
        <v>630</v>
      </c>
      <c r="G112" s="11" t="s">
        <v>124</v>
      </c>
      <c r="H112" s="11" t="s">
        <v>124</v>
      </c>
      <c r="I112" s="11" t="s">
        <v>124</v>
      </c>
      <c r="J112" s="12"/>
      <c r="K112" s="14" t="str">
        <f t="shared" si="1"/>
        <v>YES</v>
      </c>
      <c r="L112" s="12" t="s">
        <v>125</v>
      </c>
      <c r="M112" s="12"/>
      <c r="N112" s="12" t="s">
        <v>678</v>
      </c>
      <c r="O112" s="12" t="s">
        <v>679</v>
      </c>
    </row>
    <row r="113" spans="1:15" ht="54" customHeight="1" x14ac:dyDescent="0.35">
      <c r="A113" s="11">
        <v>108</v>
      </c>
      <c r="B113" s="12" t="s">
        <v>680</v>
      </c>
      <c r="C113" s="12" t="s">
        <v>681</v>
      </c>
      <c r="D113" s="11">
        <v>2024</v>
      </c>
      <c r="E113" s="12" t="s">
        <v>166</v>
      </c>
      <c r="F113" s="12" t="s">
        <v>630</v>
      </c>
      <c r="G113" s="11" t="s">
        <v>131</v>
      </c>
      <c r="H113" s="11"/>
      <c r="I113" s="11"/>
      <c r="J113" s="12"/>
      <c r="K113" s="14" t="str">
        <f t="shared" si="1"/>
        <v>NO</v>
      </c>
      <c r="L113" s="12" t="s">
        <v>125</v>
      </c>
      <c r="M113" s="12" t="s">
        <v>682</v>
      </c>
      <c r="N113" s="12" t="s">
        <v>683</v>
      </c>
      <c r="O113" s="12" t="s">
        <v>684</v>
      </c>
    </row>
    <row r="114" spans="1:15" ht="24" customHeight="1" x14ac:dyDescent="0.35">
      <c r="A114" s="11">
        <v>109</v>
      </c>
      <c r="B114" s="12" t="s">
        <v>685</v>
      </c>
      <c r="C114" s="12" t="s">
        <v>686</v>
      </c>
      <c r="D114" s="11">
        <v>2021</v>
      </c>
      <c r="E114" s="12" t="s">
        <v>218</v>
      </c>
      <c r="F114" s="12" t="s">
        <v>630</v>
      </c>
      <c r="G114" s="11" t="s">
        <v>131</v>
      </c>
      <c r="H114" s="11"/>
      <c r="I114" s="11"/>
      <c r="J114" s="12"/>
      <c r="K114" s="14" t="str">
        <f t="shared" si="1"/>
        <v>NO</v>
      </c>
      <c r="L114" s="12" t="s">
        <v>125</v>
      </c>
      <c r="M114" s="12" t="s">
        <v>687</v>
      </c>
      <c r="N114" s="12" t="s">
        <v>688</v>
      </c>
      <c r="O114" s="12" t="s">
        <v>689</v>
      </c>
    </row>
    <row r="115" spans="1:15" ht="29" customHeight="1" x14ac:dyDescent="0.35">
      <c r="A115" s="11">
        <v>110</v>
      </c>
      <c r="B115" s="12" t="s">
        <v>690</v>
      </c>
      <c r="C115" s="12" t="s">
        <v>691</v>
      </c>
      <c r="D115" s="11">
        <v>2022</v>
      </c>
      <c r="E115" s="12" t="s">
        <v>692</v>
      </c>
      <c r="F115" s="12" t="s">
        <v>630</v>
      </c>
      <c r="G115" s="11" t="s">
        <v>131</v>
      </c>
      <c r="H115" s="11"/>
      <c r="I115" s="11"/>
      <c r="J115" s="12"/>
      <c r="K115" s="14" t="str">
        <f t="shared" si="1"/>
        <v>NO</v>
      </c>
      <c r="L115" s="12" t="s">
        <v>125</v>
      </c>
      <c r="M115" s="12" t="s">
        <v>693</v>
      </c>
      <c r="N115" s="12" t="s">
        <v>694</v>
      </c>
      <c r="O115" s="12" t="s">
        <v>695</v>
      </c>
    </row>
    <row r="116" spans="1:15" ht="41.5" customHeight="1" x14ac:dyDescent="0.35">
      <c r="A116" s="11">
        <v>111</v>
      </c>
      <c r="B116" s="12" t="s">
        <v>696</v>
      </c>
      <c r="C116" s="12" t="s">
        <v>697</v>
      </c>
      <c r="D116" s="11">
        <v>2017</v>
      </c>
      <c r="E116" s="12" t="s">
        <v>698</v>
      </c>
      <c r="F116" s="12" t="s">
        <v>630</v>
      </c>
      <c r="G116" s="11" t="s">
        <v>131</v>
      </c>
      <c r="H116" s="11"/>
      <c r="I116" s="11"/>
      <c r="J116" s="12"/>
      <c r="K116" s="14" t="str">
        <f t="shared" si="1"/>
        <v>NO</v>
      </c>
      <c r="L116" s="12" t="s">
        <v>125</v>
      </c>
      <c r="M116" s="12" t="s">
        <v>643</v>
      </c>
      <c r="N116" s="12" t="s">
        <v>699</v>
      </c>
      <c r="O116" s="12" t="s">
        <v>700</v>
      </c>
    </row>
    <row r="117" spans="1:15" ht="29" customHeight="1" x14ac:dyDescent="0.35">
      <c r="A117" s="11">
        <v>112</v>
      </c>
      <c r="B117" s="12" t="s">
        <v>701</v>
      </c>
      <c r="C117" s="12" t="s">
        <v>702</v>
      </c>
      <c r="D117" s="11">
        <v>2023</v>
      </c>
      <c r="E117" s="12" t="s">
        <v>703</v>
      </c>
      <c r="F117" s="12" t="s">
        <v>630</v>
      </c>
      <c r="G117" s="11" t="s">
        <v>131</v>
      </c>
      <c r="H117" s="11"/>
      <c r="I117" s="11"/>
      <c r="J117" s="12"/>
      <c r="K117" s="14" t="str">
        <f t="shared" si="1"/>
        <v>NO</v>
      </c>
      <c r="L117" s="12" t="s">
        <v>125</v>
      </c>
      <c r="M117" s="12" t="s">
        <v>704</v>
      </c>
      <c r="N117" s="12" t="s">
        <v>705</v>
      </c>
      <c r="O117" s="12" t="s">
        <v>706</v>
      </c>
    </row>
    <row r="118" spans="1:15" ht="29" customHeight="1" x14ac:dyDescent="0.35">
      <c r="A118" s="11">
        <v>113</v>
      </c>
      <c r="B118" s="12" t="s">
        <v>707</v>
      </c>
      <c r="C118" s="12" t="s">
        <v>708</v>
      </c>
      <c r="D118" s="11">
        <v>2024</v>
      </c>
      <c r="E118" s="12" t="s">
        <v>709</v>
      </c>
      <c r="F118" s="12" t="s">
        <v>630</v>
      </c>
      <c r="G118" s="11" t="s">
        <v>131</v>
      </c>
      <c r="H118" s="11"/>
      <c r="I118" s="11"/>
      <c r="J118" s="12"/>
      <c r="K118" s="14" t="str">
        <f t="shared" si="1"/>
        <v>NO</v>
      </c>
      <c r="L118" s="12" t="s">
        <v>125</v>
      </c>
      <c r="M118" s="12" t="s">
        <v>710</v>
      </c>
      <c r="N118" s="12" t="s">
        <v>711</v>
      </c>
      <c r="O118" s="12" t="s">
        <v>712</v>
      </c>
    </row>
    <row r="119" spans="1:15" ht="41.5" customHeight="1" x14ac:dyDescent="0.35">
      <c r="A119" s="11">
        <v>114</v>
      </c>
      <c r="B119" s="12" t="s">
        <v>713</v>
      </c>
      <c r="C119" s="12" t="s">
        <v>714</v>
      </c>
      <c r="D119" s="11">
        <v>2023</v>
      </c>
      <c r="E119" s="12" t="s">
        <v>715</v>
      </c>
      <c r="F119" s="12" t="s">
        <v>630</v>
      </c>
      <c r="G119" s="11" t="s">
        <v>131</v>
      </c>
      <c r="H119" s="11"/>
      <c r="I119" s="11"/>
      <c r="J119" s="12"/>
      <c r="K119" s="14" t="str">
        <f t="shared" si="1"/>
        <v>NO</v>
      </c>
      <c r="L119" s="12" t="s">
        <v>125</v>
      </c>
      <c r="M119" s="12" t="s">
        <v>716</v>
      </c>
      <c r="N119" s="12" t="s">
        <v>717</v>
      </c>
      <c r="O119" s="12" t="s">
        <v>718</v>
      </c>
    </row>
    <row r="120" spans="1:15" ht="41.5" customHeight="1" x14ac:dyDescent="0.35">
      <c r="A120" s="11">
        <v>115</v>
      </c>
      <c r="B120" s="12" t="s">
        <v>719</v>
      </c>
      <c r="C120" s="12" t="s">
        <v>720</v>
      </c>
      <c r="D120" s="11">
        <v>2020</v>
      </c>
      <c r="E120" s="12" t="s">
        <v>721</v>
      </c>
      <c r="F120" s="12" t="s">
        <v>630</v>
      </c>
      <c r="G120" s="11" t="s">
        <v>131</v>
      </c>
      <c r="H120" s="11"/>
      <c r="I120" s="11"/>
      <c r="J120" s="12"/>
      <c r="K120" s="14" t="str">
        <f t="shared" si="1"/>
        <v>NO</v>
      </c>
      <c r="L120" s="12" t="s">
        <v>125</v>
      </c>
      <c r="M120" s="12" t="s">
        <v>722</v>
      </c>
      <c r="N120" s="12" t="s">
        <v>723</v>
      </c>
      <c r="O120" s="12" t="s">
        <v>724</v>
      </c>
    </row>
    <row r="121" spans="1:15" ht="29" customHeight="1" x14ac:dyDescent="0.35">
      <c r="A121" s="11">
        <v>116</v>
      </c>
      <c r="B121" s="12" t="s">
        <v>725</v>
      </c>
      <c r="C121" s="12" t="s">
        <v>726</v>
      </c>
      <c r="D121" s="11">
        <v>2025</v>
      </c>
      <c r="E121" s="12" t="s">
        <v>727</v>
      </c>
      <c r="F121" s="12" t="s">
        <v>630</v>
      </c>
      <c r="G121" s="11" t="s">
        <v>131</v>
      </c>
      <c r="H121" s="11"/>
      <c r="I121" s="11"/>
      <c r="J121" s="12"/>
      <c r="K121" s="14" t="str">
        <f t="shared" si="1"/>
        <v>NO</v>
      </c>
      <c r="L121" s="12" t="s">
        <v>125</v>
      </c>
      <c r="M121" s="12" t="s">
        <v>728</v>
      </c>
      <c r="N121" s="12" t="s">
        <v>729</v>
      </c>
      <c r="O121" s="12" t="s">
        <v>730</v>
      </c>
    </row>
    <row r="122" spans="1:15" ht="41.5" customHeight="1" x14ac:dyDescent="0.35">
      <c r="A122" s="11">
        <v>117</v>
      </c>
      <c r="B122" s="12" t="s">
        <v>731</v>
      </c>
      <c r="C122" s="12" t="s">
        <v>732</v>
      </c>
      <c r="D122" s="11">
        <v>2022</v>
      </c>
      <c r="E122" s="12" t="s">
        <v>160</v>
      </c>
      <c r="F122" s="12" t="s">
        <v>630</v>
      </c>
      <c r="G122" s="11" t="s">
        <v>131</v>
      </c>
      <c r="H122" s="11"/>
      <c r="I122" s="11"/>
      <c r="J122" s="12"/>
      <c r="K122" s="14" t="str">
        <f t="shared" si="1"/>
        <v>NO</v>
      </c>
      <c r="L122" s="12" t="s">
        <v>125</v>
      </c>
      <c r="M122" s="12" t="s">
        <v>733</v>
      </c>
      <c r="N122" s="12" t="s">
        <v>734</v>
      </c>
      <c r="O122" s="12" t="s">
        <v>735</v>
      </c>
    </row>
    <row r="123" spans="1:15" ht="41.5" customHeight="1" x14ac:dyDescent="0.35">
      <c r="A123" s="11">
        <v>118</v>
      </c>
      <c r="B123" s="12" t="s">
        <v>736</v>
      </c>
      <c r="C123" s="12" t="s">
        <v>737</v>
      </c>
      <c r="D123" s="11">
        <v>2020</v>
      </c>
      <c r="E123" s="12" t="s">
        <v>738</v>
      </c>
      <c r="F123" s="12" t="s">
        <v>630</v>
      </c>
      <c r="G123" s="11" t="s">
        <v>131</v>
      </c>
      <c r="H123" s="11"/>
      <c r="I123" s="11"/>
      <c r="J123" s="12"/>
      <c r="K123" s="14" t="str">
        <f t="shared" si="1"/>
        <v>NO</v>
      </c>
      <c r="L123" s="12" t="s">
        <v>125</v>
      </c>
      <c r="M123" s="12" t="s">
        <v>739</v>
      </c>
      <c r="N123" s="12" t="s">
        <v>740</v>
      </c>
      <c r="O123" s="12" t="s">
        <v>741</v>
      </c>
    </row>
    <row r="124" spans="1:15" ht="29" customHeight="1" x14ac:dyDescent="0.35">
      <c r="A124" s="11">
        <v>119</v>
      </c>
      <c r="B124" s="12" t="s">
        <v>742</v>
      </c>
      <c r="C124" s="12" t="s">
        <v>743</v>
      </c>
      <c r="D124" s="11">
        <v>2024</v>
      </c>
      <c r="E124" s="12" t="s">
        <v>744</v>
      </c>
      <c r="F124" s="12" t="s">
        <v>630</v>
      </c>
      <c r="G124" s="11" t="s">
        <v>124</v>
      </c>
      <c r="H124" s="11" t="s">
        <v>124</v>
      </c>
      <c r="I124" s="11" t="s">
        <v>131</v>
      </c>
      <c r="J124" s="12" t="s">
        <v>179</v>
      </c>
      <c r="K124" s="14" t="str">
        <f t="shared" si="1"/>
        <v>NO</v>
      </c>
      <c r="L124" s="12" t="s">
        <v>125</v>
      </c>
      <c r="M124" s="12" t="s">
        <v>745</v>
      </c>
      <c r="N124" s="12" t="s">
        <v>746</v>
      </c>
      <c r="O124" s="12" t="s">
        <v>747</v>
      </c>
    </row>
    <row r="125" spans="1:15" ht="41.5" customHeight="1" x14ac:dyDescent="0.35">
      <c r="A125" s="11">
        <v>120</v>
      </c>
      <c r="B125" s="12" t="s">
        <v>748</v>
      </c>
      <c r="C125" s="12" t="s">
        <v>749</v>
      </c>
      <c r="D125" s="11">
        <v>2025</v>
      </c>
      <c r="E125" s="12" t="s">
        <v>314</v>
      </c>
      <c r="F125" s="12" t="s">
        <v>630</v>
      </c>
      <c r="G125" s="11" t="s">
        <v>124</v>
      </c>
      <c r="H125" s="11" t="s">
        <v>124</v>
      </c>
      <c r="I125" s="11" t="s">
        <v>131</v>
      </c>
      <c r="J125" s="12" t="s">
        <v>302</v>
      </c>
      <c r="K125" s="14" t="str">
        <f t="shared" si="1"/>
        <v>NO</v>
      </c>
      <c r="L125" s="12" t="s">
        <v>125</v>
      </c>
      <c r="M125" s="12" t="s">
        <v>315</v>
      </c>
      <c r="N125" s="12" t="s">
        <v>750</v>
      </c>
      <c r="O125" s="12" t="s">
        <v>751</v>
      </c>
    </row>
    <row r="126" spans="1:15" ht="29" customHeight="1" x14ac:dyDescent="0.35">
      <c r="A126" s="11">
        <v>121</v>
      </c>
      <c r="B126" s="12" t="s">
        <v>752</v>
      </c>
      <c r="C126" s="12" t="s">
        <v>753</v>
      </c>
      <c r="D126" s="11">
        <v>2024</v>
      </c>
      <c r="E126" s="12" t="s">
        <v>218</v>
      </c>
      <c r="F126" s="12" t="s">
        <v>630</v>
      </c>
      <c r="G126" s="11" t="s">
        <v>131</v>
      </c>
      <c r="H126" s="11"/>
      <c r="I126" s="11"/>
      <c r="J126" s="12"/>
      <c r="K126" s="14" t="str">
        <f t="shared" si="1"/>
        <v>NO</v>
      </c>
      <c r="L126" s="12" t="s">
        <v>125</v>
      </c>
      <c r="M126" s="12" t="s">
        <v>754</v>
      </c>
      <c r="N126" s="12" t="s">
        <v>755</v>
      </c>
      <c r="O126" s="12" t="s">
        <v>756</v>
      </c>
    </row>
    <row r="127" spans="1:15" ht="29" customHeight="1" x14ac:dyDescent="0.35">
      <c r="A127" s="11">
        <v>122</v>
      </c>
      <c r="B127" s="12" t="s">
        <v>757</v>
      </c>
      <c r="C127" s="12" t="s">
        <v>635</v>
      </c>
      <c r="D127" s="11">
        <v>2023</v>
      </c>
      <c r="E127" s="12" t="s">
        <v>178</v>
      </c>
      <c r="F127" s="12" t="s">
        <v>630</v>
      </c>
      <c r="G127" s="11" t="s">
        <v>131</v>
      </c>
      <c r="H127" s="11"/>
      <c r="I127" s="11"/>
      <c r="J127" s="12"/>
      <c r="K127" s="14" t="str">
        <f t="shared" si="1"/>
        <v>NO</v>
      </c>
      <c r="L127" s="12" t="s">
        <v>125</v>
      </c>
      <c r="M127" s="12" t="s">
        <v>637</v>
      </c>
      <c r="N127" s="12" t="s">
        <v>758</v>
      </c>
      <c r="O127" s="12" t="s">
        <v>759</v>
      </c>
    </row>
    <row r="128" spans="1:15" ht="54" customHeight="1" x14ac:dyDescent="0.35">
      <c r="A128" s="11">
        <v>123</v>
      </c>
      <c r="B128" s="12" t="s">
        <v>760</v>
      </c>
      <c r="C128" s="12" t="s">
        <v>761</v>
      </c>
      <c r="D128" s="11">
        <v>2022</v>
      </c>
      <c r="E128" s="12" t="s">
        <v>762</v>
      </c>
      <c r="F128" s="12" t="s">
        <v>630</v>
      </c>
      <c r="G128" s="11" t="s">
        <v>131</v>
      </c>
      <c r="H128" s="11"/>
      <c r="I128" s="11"/>
      <c r="J128" s="12"/>
      <c r="K128" s="14" t="str">
        <f t="shared" si="1"/>
        <v>NO</v>
      </c>
      <c r="L128" s="12" t="s">
        <v>125</v>
      </c>
      <c r="M128" s="12" t="s">
        <v>763</v>
      </c>
      <c r="N128" s="12" t="s">
        <v>764</v>
      </c>
      <c r="O128" s="12" t="s">
        <v>765</v>
      </c>
    </row>
    <row r="129" spans="1:15" ht="29" customHeight="1" x14ac:dyDescent="0.35">
      <c r="A129" s="11">
        <v>124</v>
      </c>
      <c r="B129" s="12" t="s">
        <v>766</v>
      </c>
      <c r="C129" s="12" t="s">
        <v>767</v>
      </c>
      <c r="D129" s="11">
        <v>2017</v>
      </c>
      <c r="E129" s="12" t="s">
        <v>768</v>
      </c>
      <c r="F129" s="12" t="s">
        <v>769</v>
      </c>
      <c r="G129" s="11" t="s">
        <v>131</v>
      </c>
      <c r="H129" s="11"/>
      <c r="I129" s="11"/>
      <c r="J129" s="12"/>
      <c r="K129" s="14" t="str">
        <f t="shared" si="1"/>
        <v>NO</v>
      </c>
      <c r="L129" s="12" t="s">
        <v>125</v>
      </c>
      <c r="M129" s="12" t="s">
        <v>770</v>
      </c>
      <c r="N129" s="12" t="s">
        <v>771</v>
      </c>
      <c r="O129" s="12" t="s">
        <v>772</v>
      </c>
    </row>
    <row r="130" spans="1:15" ht="41.5" customHeight="1" x14ac:dyDescent="0.35">
      <c r="A130" s="11">
        <v>125</v>
      </c>
      <c r="B130" s="12" t="s">
        <v>773</v>
      </c>
      <c r="C130" s="12" t="s">
        <v>774</v>
      </c>
      <c r="D130" s="11">
        <v>2019</v>
      </c>
      <c r="E130" s="12" t="s">
        <v>775</v>
      </c>
      <c r="F130" s="12" t="s">
        <v>769</v>
      </c>
      <c r="G130" s="11" t="s">
        <v>131</v>
      </c>
      <c r="H130" s="11"/>
      <c r="I130" s="11"/>
      <c r="J130" s="12"/>
      <c r="K130" s="14" t="str">
        <f t="shared" si="1"/>
        <v>NO</v>
      </c>
      <c r="L130" s="12" t="s">
        <v>125</v>
      </c>
      <c r="M130" s="12" t="s">
        <v>770</v>
      </c>
      <c r="N130" s="12" t="s">
        <v>776</v>
      </c>
      <c r="O130" s="12" t="s">
        <v>777</v>
      </c>
    </row>
    <row r="131" spans="1:15" ht="29" customHeight="1" x14ac:dyDescent="0.35">
      <c r="A131" s="11">
        <v>126</v>
      </c>
      <c r="B131" s="12" t="s">
        <v>778</v>
      </c>
      <c r="C131" s="12" t="s">
        <v>779</v>
      </c>
      <c r="D131" s="11">
        <v>2022</v>
      </c>
      <c r="E131" s="12" t="s">
        <v>270</v>
      </c>
      <c r="F131" s="12" t="s">
        <v>769</v>
      </c>
      <c r="G131" s="11" t="s">
        <v>124</v>
      </c>
      <c r="H131" s="11" t="s">
        <v>124</v>
      </c>
      <c r="I131" s="11" t="s">
        <v>124</v>
      </c>
      <c r="J131" s="12"/>
      <c r="K131" s="14" t="str">
        <f t="shared" si="1"/>
        <v>YES</v>
      </c>
      <c r="L131" s="12" t="s">
        <v>125</v>
      </c>
      <c r="M131" s="12"/>
      <c r="N131" s="12" t="s">
        <v>780</v>
      </c>
      <c r="O131" s="12" t="s">
        <v>781</v>
      </c>
    </row>
    <row r="132" spans="1:15" ht="41.5" customHeight="1" x14ac:dyDescent="0.35">
      <c r="A132" s="11">
        <v>127</v>
      </c>
      <c r="B132" s="12" t="s">
        <v>782</v>
      </c>
      <c r="C132" s="12" t="s">
        <v>783</v>
      </c>
      <c r="D132" s="11">
        <v>2017</v>
      </c>
      <c r="E132" s="12" t="s">
        <v>784</v>
      </c>
      <c r="F132" s="12" t="s">
        <v>769</v>
      </c>
      <c r="G132" s="11" t="s">
        <v>131</v>
      </c>
      <c r="H132" s="11"/>
      <c r="I132" s="11"/>
      <c r="J132" s="12"/>
      <c r="K132" s="14" t="str">
        <f t="shared" si="1"/>
        <v>NO</v>
      </c>
      <c r="L132" s="12" t="s">
        <v>125</v>
      </c>
      <c r="M132" s="12" t="s">
        <v>770</v>
      </c>
      <c r="N132" s="12" t="s">
        <v>785</v>
      </c>
      <c r="O132" s="12" t="s">
        <v>786</v>
      </c>
    </row>
    <row r="133" spans="1:15" ht="29" customHeight="1" x14ac:dyDescent="0.35">
      <c r="A133" s="11">
        <v>128</v>
      </c>
      <c r="B133" s="12" t="s">
        <v>787</v>
      </c>
      <c r="C133" s="12" t="s">
        <v>788</v>
      </c>
      <c r="D133" s="11">
        <v>2017</v>
      </c>
      <c r="E133" s="12" t="s">
        <v>789</v>
      </c>
      <c r="F133" s="12" t="s">
        <v>769</v>
      </c>
      <c r="G133" s="11" t="s">
        <v>131</v>
      </c>
      <c r="H133" s="11"/>
      <c r="I133" s="11"/>
      <c r="J133" s="12"/>
      <c r="K133" s="14" t="str">
        <f t="shared" si="1"/>
        <v>NO</v>
      </c>
      <c r="L133" s="12" t="s">
        <v>125</v>
      </c>
      <c r="M133" s="12" t="s">
        <v>770</v>
      </c>
      <c r="N133" s="12" t="s">
        <v>790</v>
      </c>
      <c r="O133" s="12" t="s">
        <v>791</v>
      </c>
    </row>
    <row r="134" spans="1:15" ht="29" customHeight="1" x14ac:dyDescent="0.35">
      <c r="A134" s="11">
        <v>129</v>
      </c>
      <c r="B134" s="12" t="s">
        <v>792</v>
      </c>
      <c r="C134" s="12" t="s">
        <v>793</v>
      </c>
      <c r="D134" s="11">
        <v>2017</v>
      </c>
      <c r="E134" s="12" t="s">
        <v>794</v>
      </c>
      <c r="F134" s="12" t="s">
        <v>769</v>
      </c>
      <c r="G134" s="11" t="s">
        <v>131</v>
      </c>
      <c r="H134" s="11"/>
      <c r="I134" s="11"/>
      <c r="J134" s="12"/>
      <c r="K134" s="14" t="str">
        <f t="shared" ref="K134:K197" si="2">IF(AND(G134="KEEP",H134="KEEP",I134="KEEP"),"YES",IF(OR(G134="DROP",H134="DROP",I134="DROP"),"NO",""))</f>
        <v>NO</v>
      </c>
      <c r="L134" s="12" t="s">
        <v>125</v>
      </c>
      <c r="M134" s="12" t="s">
        <v>770</v>
      </c>
      <c r="N134" s="12" t="s">
        <v>795</v>
      </c>
      <c r="O134" s="12" t="s">
        <v>796</v>
      </c>
    </row>
    <row r="135" spans="1:15" ht="29" customHeight="1" x14ac:dyDescent="0.35">
      <c r="A135" s="11">
        <v>130</v>
      </c>
      <c r="B135" s="12" t="s">
        <v>797</v>
      </c>
      <c r="C135" s="12" t="s">
        <v>798</v>
      </c>
      <c r="D135" s="11">
        <v>2020</v>
      </c>
      <c r="E135" s="12" t="s">
        <v>799</v>
      </c>
      <c r="F135" s="12" t="s">
        <v>769</v>
      </c>
      <c r="G135" s="11" t="s">
        <v>131</v>
      </c>
      <c r="H135" s="11"/>
      <c r="I135" s="11"/>
      <c r="J135" s="12"/>
      <c r="K135" s="14" t="str">
        <f t="shared" si="2"/>
        <v>NO</v>
      </c>
      <c r="L135" s="12" t="s">
        <v>125</v>
      </c>
      <c r="M135" s="12" t="s">
        <v>770</v>
      </c>
      <c r="N135" s="12" t="s">
        <v>800</v>
      </c>
      <c r="O135" s="12" t="s">
        <v>801</v>
      </c>
    </row>
    <row r="136" spans="1:15" ht="41.5" customHeight="1" x14ac:dyDescent="0.35">
      <c r="A136" s="11">
        <v>131</v>
      </c>
      <c r="B136" s="12" t="s">
        <v>802</v>
      </c>
      <c r="C136" s="12" t="s">
        <v>803</v>
      </c>
      <c r="D136" s="11">
        <v>2018</v>
      </c>
      <c r="E136" s="12" t="s">
        <v>794</v>
      </c>
      <c r="F136" s="12" t="s">
        <v>769</v>
      </c>
      <c r="G136" s="11" t="s">
        <v>131</v>
      </c>
      <c r="H136" s="11"/>
      <c r="I136" s="11"/>
      <c r="J136" s="12"/>
      <c r="K136" s="14" t="str">
        <f t="shared" si="2"/>
        <v>NO</v>
      </c>
      <c r="L136" s="12" t="s">
        <v>125</v>
      </c>
      <c r="M136" s="12" t="s">
        <v>770</v>
      </c>
      <c r="N136" s="12" t="s">
        <v>804</v>
      </c>
      <c r="O136" s="12" t="s">
        <v>805</v>
      </c>
    </row>
    <row r="137" spans="1:15" ht="29" customHeight="1" x14ac:dyDescent="0.35">
      <c r="A137" s="11">
        <v>132</v>
      </c>
      <c r="B137" s="12" t="s">
        <v>806</v>
      </c>
      <c r="C137" s="12" t="s">
        <v>807</v>
      </c>
      <c r="D137" s="11">
        <v>2026</v>
      </c>
      <c r="E137" s="12" t="s">
        <v>768</v>
      </c>
      <c r="F137" s="12" t="s">
        <v>769</v>
      </c>
      <c r="G137" s="11" t="s">
        <v>131</v>
      </c>
      <c r="H137" s="11"/>
      <c r="I137" s="11"/>
      <c r="J137" s="12"/>
      <c r="K137" s="14" t="str">
        <f t="shared" si="2"/>
        <v>NO</v>
      </c>
      <c r="L137" s="12" t="s">
        <v>125</v>
      </c>
      <c r="M137" s="12" t="s">
        <v>808</v>
      </c>
      <c r="N137" s="12" t="s">
        <v>809</v>
      </c>
      <c r="O137" s="12" t="s">
        <v>810</v>
      </c>
    </row>
    <row r="138" spans="1:15" ht="41.5" customHeight="1" x14ac:dyDescent="0.35">
      <c r="A138" s="11">
        <v>133</v>
      </c>
      <c r="B138" s="12" t="s">
        <v>811</v>
      </c>
      <c r="C138" s="12" t="s">
        <v>812</v>
      </c>
      <c r="D138" s="11">
        <v>2020</v>
      </c>
      <c r="E138" s="12" t="s">
        <v>784</v>
      </c>
      <c r="F138" s="12" t="s">
        <v>769</v>
      </c>
      <c r="G138" s="11" t="s">
        <v>131</v>
      </c>
      <c r="H138" s="11"/>
      <c r="I138" s="11"/>
      <c r="J138" s="12"/>
      <c r="K138" s="14" t="str">
        <f t="shared" si="2"/>
        <v>NO</v>
      </c>
      <c r="L138" s="12" t="s">
        <v>125</v>
      </c>
      <c r="M138" s="12" t="s">
        <v>770</v>
      </c>
      <c r="N138" s="12" t="s">
        <v>813</v>
      </c>
      <c r="O138" s="12" t="s">
        <v>814</v>
      </c>
    </row>
    <row r="139" spans="1:15" ht="41.5" customHeight="1" x14ac:dyDescent="0.35">
      <c r="A139" s="11">
        <v>134</v>
      </c>
      <c r="B139" s="12" t="s">
        <v>815</v>
      </c>
      <c r="C139" s="12" t="s">
        <v>816</v>
      </c>
      <c r="D139" s="11">
        <v>2023</v>
      </c>
      <c r="E139" s="12" t="s">
        <v>817</v>
      </c>
      <c r="F139" s="12" t="s">
        <v>769</v>
      </c>
      <c r="G139" s="11" t="s">
        <v>131</v>
      </c>
      <c r="H139" s="11"/>
      <c r="I139" s="11"/>
      <c r="J139" s="12"/>
      <c r="K139" s="14" t="str">
        <f t="shared" si="2"/>
        <v>NO</v>
      </c>
      <c r="L139" s="12" t="s">
        <v>125</v>
      </c>
      <c r="M139" s="12" t="s">
        <v>818</v>
      </c>
      <c r="N139" s="12" t="s">
        <v>819</v>
      </c>
      <c r="O139" s="12" t="s">
        <v>820</v>
      </c>
    </row>
    <row r="140" spans="1:15" ht="41.5" customHeight="1" x14ac:dyDescent="0.35">
      <c r="A140" s="11">
        <v>135</v>
      </c>
      <c r="B140" s="12" t="s">
        <v>821</v>
      </c>
      <c r="C140" s="12" t="s">
        <v>822</v>
      </c>
      <c r="D140" s="11">
        <v>2018</v>
      </c>
      <c r="E140" s="12" t="s">
        <v>794</v>
      </c>
      <c r="F140" s="12" t="s">
        <v>769</v>
      </c>
      <c r="G140" s="11" t="s">
        <v>131</v>
      </c>
      <c r="H140" s="11"/>
      <c r="I140" s="11"/>
      <c r="J140" s="12"/>
      <c r="K140" s="14" t="str">
        <f t="shared" si="2"/>
        <v>NO</v>
      </c>
      <c r="L140" s="12" t="s">
        <v>125</v>
      </c>
      <c r="M140" s="12" t="s">
        <v>770</v>
      </c>
      <c r="N140" s="12" t="s">
        <v>823</v>
      </c>
      <c r="O140" s="12" t="s">
        <v>824</v>
      </c>
    </row>
    <row r="141" spans="1:15" ht="41.5" customHeight="1" x14ac:dyDescent="0.35">
      <c r="A141" s="11">
        <v>136</v>
      </c>
      <c r="B141" s="12" t="s">
        <v>825</v>
      </c>
      <c r="C141" s="12" t="s">
        <v>826</v>
      </c>
      <c r="D141" s="11">
        <v>2022</v>
      </c>
      <c r="E141" s="12" t="s">
        <v>827</v>
      </c>
      <c r="F141" s="12" t="s">
        <v>769</v>
      </c>
      <c r="G141" s="11" t="s">
        <v>131</v>
      </c>
      <c r="H141" s="11"/>
      <c r="I141" s="11"/>
      <c r="J141" s="12"/>
      <c r="K141" s="14" t="str">
        <f t="shared" si="2"/>
        <v>NO</v>
      </c>
      <c r="L141" s="12" t="s">
        <v>125</v>
      </c>
      <c r="M141" s="12" t="s">
        <v>770</v>
      </c>
      <c r="N141" s="12" t="s">
        <v>828</v>
      </c>
      <c r="O141" s="12" t="s">
        <v>829</v>
      </c>
    </row>
    <row r="142" spans="1:15" ht="29" customHeight="1" x14ac:dyDescent="0.35">
      <c r="A142" s="11">
        <v>137</v>
      </c>
      <c r="B142" s="12" t="s">
        <v>830</v>
      </c>
      <c r="C142" s="12" t="s">
        <v>831</v>
      </c>
      <c r="D142" s="11">
        <v>2020</v>
      </c>
      <c r="E142" s="12" t="s">
        <v>832</v>
      </c>
      <c r="F142" s="12" t="s">
        <v>769</v>
      </c>
      <c r="G142" s="11" t="s">
        <v>131</v>
      </c>
      <c r="H142" s="11"/>
      <c r="I142" s="11"/>
      <c r="J142" s="12"/>
      <c r="K142" s="14" t="str">
        <f t="shared" si="2"/>
        <v>NO</v>
      </c>
      <c r="L142" s="12" t="s">
        <v>125</v>
      </c>
      <c r="M142" s="12" t="s">
        <v>833</v>
      </c>
      <c r="N142" s="12" t="s">
        <v>834</v>
      </c>
      <c r="O142" s="12"/>
    </row>
    <row r="143" spans="1:15" ht="41.5" customHeight="1" x14ac:dyDescent="0.35">
      <c r="A143" s="11">
        <v>138</v>
      </c>
      <c r="B143" s="12" t="s">
        <v>835</v>
      </c>
      <c r="C143" s="12" t="s">
        <v>826</v>
      </c>
      <c r="D143" s="11">
        <v>2022</v>
      </c>
      <c r="E143" s="12" t="s">
        <v>836</v>
      </c>
      <c r="F143" s="12" t="s">
        <v>769</v>
      </c>
      <c r="G143" s="11" t="s">
        <v>131</v>
      </c>
      <c r="H143" s="11"/>
      <c r="I143" s="11"/>
      <c r="J143" s="12"/>
      <c r="K143" s="14" t="str">
        <f t="shared" si="2"/>
        <v>NO</v>
      </c>
      <c r="L143" s="12" t="s">
        <v>125</v>
      </c>
      <c r="M143" s="12" t="s">
        <v>770</v>
      </c>
      <c r="N143" s="12" t="s">
        <v>837</v>
      </c>
      <c r="O143" s="12" t="s">
        <v>838</v>
      </c>
    </row>
    <row r="144" spans="1:15" ht="29" customHeight="1" x14ac:dyDescent="0.35">
      <c r="A144" s="11">
        <v>139</v>
      </c>
      <c r="B144" s="12" t="s">
        <v>839</v>
      </c>
      <c r="C144" s="12" t="s">
        <v>840</v>
      </c>
      <c r="D144" s="11">
        <v>2020</v>
      </c>
      <c r="E144" s="12" t="s">
        <v>841</v>
      </c>
      <c r="F144" s="12" t="s">
        <v>769</v>
      </c>
      <c r="G144" s="11" t="s">
        <v>131</v>
      </c>
      <c r="H144" s="11"/>
      <c r="I144" s="11"/>
      <c r="J144" s="12"/>
      <c r="K144" s="14" t="str">
        <f t="shared" si="2"/>
        <v>NO</v>
      </c>
      <c r="L144" s="12" t="s">
        <v>125</v>
      </c>
      <c r="M144" s="12" t="s">
        <v>770</v>
      </c>
      <c r="N144" s="12" t="s">
        <v>842</v>
      </c>
      <c r="O144" s="12" t="s">
        <v>843</v>
      </c>
    </row>
    <row r="145" spans="1:15" ht="29" customHeight="1" x14ac:dyDescent="0.35">
      <c r="A145" s="11">
        <v>140</v>
      </c>
      <c r="B145" s="12" t="s">
        <v>844</v>
      </c>
      <c r="C145" s="12" t="s">
        <v>845</v>
      </c>
      <c r="D145" s="11">
        <v>2020</v>
      </c>
      <c r="E145" s="12" t="s">
        <v>794</v>
      </c>
      <c r="F145" s="12" t="s">
        <v>769</v>
      </c>
      <c r="G145" s="11" t="s">
        <v>131</v>
      </c>
      <c r="H145" s="11"/>
      <c r="I145" s="11"/>
      <c r="J145" s="12"/>
      <c r="K145" s="14" t="str">
        <f t="shared" si="2"/>
        <v>NO</v>
      </c>
      <c r="L145" s="12" t="s">
        <v>125</v>
      </c>
      <c r="M145" s="12" t="s">
        <v>770</v>
      </c>
      <c r="N145" s="12" t="s">
        <v>846</v>
      </c>
      <c r="O145" s="12" t="s">
        <v>847</v>
      </c>
    </row>
    <row r="146" spans="1:15" ht="29" customHeight="1" x14ac:dyDescent="0.35">
      <c r="A146" s="11">
        <v>141</v>
      </c>
      <c r="B146" s="12" t="s">
        <v>848</v>
      </c>
      <c r="C146" s="12" t="s">
        <v>849</v>
      </c>
      <c r="D146" s="11">
        <v>2020</v>
      </c>
      <c r="E146" s="12" t="s">
        <v>794</v>
      </c>
      <c r="F146" s="12" t="s">
        <v>769</v>
      </c>
      <c r="G146" s="11" t="s">
        <v>131</v>
      </c>
      <c r="H146" s="11"/>
      <c r="I146" s="11"/>
      <c r="J146" s="12"/>
      <c r="K146" s="14" t="str">
        <f t="shared" si="2"/>
        <v>NO</v>
      </c>
      <c r="L146" s="12" t="s">
        <v>125</v>
      </c>
      <c r="M146" s="12" t="s">
        <v>770</v>
      </c>
      <c r="N146" s="12" t="s">
        <v>850</v>
      </c>
      <c r="O146" s="12" t="s">
        <v>851</v>
      </c>
    </row>
    <row r="147" spans="1:15" ht="29" customHeight="1" x14ac:dyDescent="0.35">
      <c r="A147" s="11">
        <v>142</v>
      </c>
      <c r="B147" s="12" t="s">
        <v>852</v>
      </c>
      <c r="C147" s="12" t="s">
        <v>853</v>
      </c>
      <c r="D147" s="11">
        <v>2024</v>
      </c>
      <c r="E147" s="12" t="s">
        <v>854</v>
      </c>
      <c r="F147" s="12" t="s">
        <v>769</v>
      </c>
      <c r="G147" s="11" t="s">
        <v>124</v>
      </c>
      <c r="H147" s="11" t="s">
        <v>124</v>
      </c>
      <c r="I147" s="11" t="s">
        <v>124</v>
      </c>
      <c r="J147" s="12"/>
      <c r="K147" s="14" t="str">
        <f t="shared" si="2"/>
        <v>YES</v>
      </c>
      <c r="L147" s="12" t="s">
        <v>125</v>
      </c>
      <c r="M147" s="12"/>
      <c r="N147" s="12" t="s">
        <v>855</v>
      </c>
      <c r="O147" s="12" t="s">
        <v>856</v>
      </c>
    </row>
    <row r="148" spans="1:15" ht="29" customHeight="1" x14ac:dyDescent="0.35">
      <c r="A148" s="11">
        <v>143</v>
      </c>
      <c r="B148" s="12" t="s">
        <v>857</v>
      </c>
      <c r="C148" s="12" t="s">
        <v>858</v>
      </c>
      <c r="D148" s="11">
        <v>2019</v>
      </c>
      <c r="E148" s="12" t="s">
        <v>794</v>
      </c>
      <c r="F148" s="12" t="s">
        <v>769</v>
      </c>
      <c r="G148" s="11" t="s">
        <v>131</v>
      </c>
      <c r="H148" s="11"/>
      <c r="I148" s="11"/>
      <c r="J148" s="12"/>
      <c r="K148" s="14" t="str">
        <f t="shared" si="2"/>
        <v>NO</v>
      </c>
      <c r="L148" s="12" t="s">
        <v>125</v>
      </c>
      <c r="M148" s="12" t="s">
        <v>770</v>
      </c>
      <c r="N148" s="12" t="s">
        <v>859</v>
      </c>
      <c r="O148" s="12" t="s">
        <v>860</v>
      </c>
    </row>
    <row r="149" spans="1:15" ht="29" customHeight="1" x14ac:dyDescent="0.35">
      <c r="A149" s="11">
        <v>144</v>
      </c>
      <c r="B149" s="12" t="s">
        <v>861</v>
      </c>
      <c r="C149" s="12" t="s">
        <v>862</v>
      </c>
      <c r="D149" s="11">
        <v>2018</v>
      </c>
      <c r="E149" s="12" t="s">
        <v>166</v>
      </c>
      <c r="F149" s="12" t="s">
        <v>769</v>
      </c>
      <c r="G149" s="11" t="s">
        <v>131</v>
      </c>
      <c r="H149" s="11"/>
      <c r="I149" s="11"/>
      <c r="J149" s="12"/>
      <c r="K149" s="14" t="str">
        <f t="shared" si="2"/>
        <v>NO</v>
      </c>
      <c r="L149" s="12" t="s">
        <v>125</v>
      </c>
      <c r="M149" s="12" t="s">
        <v>770</v>
      </c>
      <c r="N149" s="12" t="s">
        <v>863</v>
      </c>
      <c r="O149" s="12" t="s">
        <v>864</v>
      </c>
    </row>
    <row r="150" spans="1:15" ht="41.5" customHeight="1" x14ac:dyDescent="0.35">
      <c r="A150" s="11">
        <v>145</v>
      </c>
      <c r="B150" s="12" t="s">
        <v>865</v>
      </c>
      <c r="C150" s="12" t="s">
        <v>866</v>
      </c>
      <c r="D150" s="11">
        <v>2017</v>
      </c>
      <c r="E150" s="12" t="s">
        <v>867</v>
      </c>
      <c r="F150" s="12" t="s">
        <v>769</v>
      </c>
      <c r="G150" s="11" t="s">
        <v>131</v>
      </c>
      <c r="H150" s="11"/>
      <c r="I150" s="11"/>
      <c r="J150" s="12"/>
      <c r="K150" s="14" t="str">
        <f t="shared" si="2"/>
        <v>NO</v>
      </c>
      <c r="L150" s="12" t="s">
        <v>125</v>
      </c>
      <c r="M150" s="12" t="s">
        <v>868</v>
      </c>
      <c r="N150" s="12" t="s">
        <v>869</v>
      </c>
      <c r="O150" s="12" t="s">
        <v>870</v>
      </c>
    </row>
    <row r="151" spans="1:15" ht="41.5" customHeight="1" x14ac:dyDescent="0.35">
      <c r="A151" s="11">
        <v>146</v>
      </c>
      <c r="B151" s="12" t="s">
        <v>871</v>
      </c>
      <c r="C151" s="12" t="s">
        <v>872</v>
      </c>
      <c r="D151" s="11">
        <v>2023</v>
      </c>
      <c r="E151" s="12" t="s">
        <v>794</v>
      </c>
      <c r="F151" s="12" t="s">
        <v>769</v>
      </c>
      <c r="G151" s="11" t="s">
        <v>131</v>
      </c>
      <c r="H151" s="11"/>
      <c r="I151" s="11"/>
      <c r="J151" s="12"/>
      <c r="K151" s="14" t="str">
        <f t="shared" si="2"/>
        <v>NO</v>
      </c>
      <c r="L151" s="12" t="s">
        <v>125</v>
      </c>
      <c r="M151" s="12" t="s">
        <v>770</v>
      </c>
      <c r="N151" s="12" t="s">
        <v>873</v>
      </c>
      <c r="O151" s="12" t="s">
        <v>874</v>
      </c>
    </row>
    <row r="152" spans="1:15" ht="41.5" customHeight="1" x14ac:dyDescent="0.35">
      <c r="A152" s="11">
        <v>147</v>
      </c>
      <c r="B152" s="12" t="s">
        <v>875</v>
      </c>
      <c r="C152" s="12" t="s">
        <v>876</v>
      </c>
      <c r="D152" s="11">
        <v>2025</v>
      </c>
      <c r="E152" s="12" t="s">
        <v>784</v>
      </c>
      <c r="F152" s="12" t="s">
        <v>769</v>
      </c>
      <c r="G152" s="11" t="s">
        <v>131</v>
      </c>
      <c r="H152" s="11"/>
      <c r="I152" s="11"/>
      <c r="J152" s="12"/>
      <c r="K152" s="14" t="str">
        <f t="shared" si="2"/>
        <v>NO</v>
      </c>
      <c r="L152" s="12" t="s">
        <v>125</v>
      </c>
      <c r="M152" s="12" t="s">
        <v>770</v>
      </c>
      <c r="N152" s="12" t="s">
        <v>877</v>
      </c>
      <c r="O152" s="12" t="s">
        <v>878</v>
      </c>
    </row>
    <row r="153" spans="1:15" ht="29" customHeight="1" x14ac:dyDescent="0.35">
      <c r="A153" s="11">
        <v>148</v>
      </c>
      <c r="B153" s="12" t="s">
        <v>879</v>
      </c>
      <c r="C153" s="12" t="s">
        <v>862</v>
      </c>
      <c r="D153" s="11">
        <v>2023</v>
      </c>
      <c r="E153" s="12" t="s">
        <v>799</v>
      </c>
      <c r="F153" s="12" t="s">
        <v>769</v>
      </c>
      <c r="G153" s="11" t="s">
        <v>131</v>
      </c>
      <c r="H153" s="11"/>
      <c r="I153" s="11"/>
      <c r="J153" s="12"/>
      <c r="K153" s="14" t="str">
        <f t="shared" si="2"/>
        <v>NO</v>
      </c>
      <c r="L153" s="12" t="s">
        <v>125</v>
      </c>
      <c r="M153" s="12" t="s">
        <v>770</v>
      </c>
      <c r="N153" s="12" t="s">
        <v>880</v>
      </c>
      <c r="O153" s="12" t="s">
        <v>881</v>
      </c>
    </row>
    <row r="154" spans="1:15" ht="29" customHeight="1" x14ac:dyDescent="0.35">
      <c r="A154" s="11">
        <v>149</v>
      </c>
      <c r="B154" s="12" t="s">
        <v>882</v>
      </c>
      <c r="C154" s="12" t="s">
        <v>883</v>
      </c>
      <c r="D154" s="11">
        <v>2017</v>
      </c>
      <c r="E154" s="12" t="s">
        <v>884</v>
      </c>
      <c r="F154" s="12" t="s">
        <v>885</v>
      </c>
      <c r="G154" s="11" t="s">
        <v>124</v>
      </c>
      <c r="H154" s="11" t="s">
        <v>124</v>
      </c>
      <c r="I154" s="11" t="s">
        <v>124</v>
      </c>
      <c r="J154" s="12"/>
      <c r="K154" s="14" t="str">
        <f t="shared" si="2"/>
        <v>YES</v>
      </c>
      <c r="L154" s="12" t="s">
        <v>125</v>
      </c>
      <c r="M154" s="12"/>
      <c r="N154" s="12" t="s">
        <v>886</v>
      </c>
      <c r="O154" s="12" t="s">
        <v>887</v>
      </c>
    </row>
    <row r="155" spans="1:15" ht="29" customHeight="1" x14ac:dyDescent="0.35">
      <c r="A155" s="11">
        <v>150</v>
      </c>
      <c r="B155" s="12" t="s">
        <v>888</v>
      </c>
      <c r="C155" s="12" t="s">
        <v>889</v>
      </c>
      <c r="D155" s="11">
        <v>2024</v>
      </c>
      <c r="E155" s="12" t="s">
        <v>890</v>
      </c>
      <c r="F155" s="12" t="s">
        <v>885</v>
      </c>
      <c r="G155" s="11" t="s">
        <v>124</v>
      </c>
      <c r="H155" s="11" t="s">
        <v>124</v>
      </c>
      <c r="I155" s="11" t="s">
        <v>124</v>
      </c>
      <c r="J155" s="12"/>
      <c r="K155" s="14" t="str">
        <f t="shared" si="2"/>
        <v>YES</v>
      </c>
      <c r="L155" s="12" t="s">
        <v>125</v>
      </c>
      <c r="M155" s="12"/>
      <c r="N155" s="12" t="s">
        <v>891</v>
      </c>
      <c r="O155" s="12" t="s">
        <v>892</v>
      </c>
    </row>
    <row r="156" spans="1:15" ht="24" customHeight="1" x14ac:dyDescent="0.35">
      <c r="A156" s="11">
        <v>151</v>
      </c>
      <c r="B156" s="12" t="s">
        <v>893</v>
      </c>
      <c r="C156" s="12" t="s">
        <v>894</v>
      </c>
      <c r="D156" s="11">
        <v>2026</v>
      </c>
      <c r="E156" s="12" t="s">
        <v>149</v>
      </c>
      <c r="F156" s="12" t="s">
        <v>885</v>
      </c>
      <c r="G156" s="11" t="s">
        <v>131</v>
      </c>
      <c r="H156" s="11"/>
      <c r="I156" s="11"/>
      <c r="J156" s="12"/>
      <c r="K156" s="14" t="str">
        <f t="shared" si="2"/>
        <v>NO</v>
      </c>
      <c r="L156" s="12" t="s">
        <v>125</v>
      </c>
      <c r="M156" s="12" t="s">
        <v>895</v>
      </c>
      <c r="N156" s="12" t="s">
        <v>896</v>
      </c>
      <c r="O156" s="12" t="s">
        <v>897</v>
      </c>
    </row>
    <row r="157" spans="1:15" ht="41.5" customHeight="1" x14ac:dyDescent="0.35">
      <c r="A157" s="11">
        <v>152</v>
      </c>
      <c r="B157" s="12" t="s">
        <v>898</v>
      </c>
      <c r="C157" s="12" t="s">
        <v>899</v>
      </c>
      <c r="D157" s="11">
        <v>2026</v>
      </c>
      <c r="E157" s="12" t="s">
        <v>149</v>
      </c>
      <c r="F157" s="12" t="s">
        <v>885</v>
      </c>
      <c r="G157" s="11" t="s">
        <v>131</v>
      </c>
      <c r="H157" s="11"/>
      <c r="I157" s="11"/>
      <c r="J157" s="12"/>
      <c r="K157" s="14" t="str">
        <f t="shared" si="2"/>
        <v>NO</v>
      </c>
      <c r="L157" s="12" t="s">
        <v>125</v>
      </c>
      <c r="M157" s="12" t="s">
        <v>900</v>
      </c>
      <c r="N157" s="12" t="s">
        <v>901</v>
      </c>
      <c r="O157" s="12" t="s">
        <v>902</v>
      </c>
    </row>
    <row r="158" spans="1:15" ht="54" customHeight="1" x14ac:dyDescent="0.35">
      <c r="A158" s="11">
        <v>153</v>
      </c>
      <c r="B158" s="12" t="s">
        <v>903</v>
      </c>
      <c r="C158" s="12" t="s">
        <v>904</v>
      </c>
      <c r="D158" s="11">
        <v>2024</v>
      </c>
      <c r="E158" s="12" t="s">
        <v>905</v>
      </c>
      <c r="F158" s="12" t="s">
        <v>885</v>
      </c>
      <c r="G158" s="11" t="s">
        <v>131</v>
      </c>
      <c r="H158" s="11"/>
      <c r="I158" s="11"/>
      <c r="J158" s="12"/>
      <c r="K158" s="14" t="str">
        <f t="shared" si="2"/>
        <v>NO</v>
      </c>
      <c r="L158" s="12" t="s">
        <v>125</v>
      </c>
      <c r="M158" s="12" t="s">
        <v>906</v>
      </c>
      <c r="N158" s="12" t="s">
        <v>907</v>
      </c>
      <c r="O158" s="12" t="s">
        <v>908</v>
      </c>
    </row>
    <row r="159" spans="1:15" ht="41.5" customHeight="1" x14ac:dyDescent="0.35">
      <c r="A159" s="11">
        <v>154</v>
      </c>
      <c r="B159" s="12" t="s">
        <v>909</v>
      </c>
      <c r="C159" s="12" t="s">
        <v>910</v>
      </c>
      <c r="D159" s="11">
        <v>2026</v>
      </c>
      <c r="E159" s="12" t="s">
        <v>149</v>
      </c>
      <c r="F159" s="12" t="s">
        <v>885</v>
      </c>
      <c r="G159" s="11" t="s">
        <v>131</v>
      </c>
      <c r="H159" s="11"/>
      <c r="I159" s="11"/>
      <c r="J159" s="12"/>
      <c r="K159" s="14" t="str">
        <f t="shared" si="2"/>
        <v>NO</v>
      </c>
      <c r="L159" s="12" t="s">
        <v>125</v>
      </c>
      <c r="M159" s="12" t="s">
        <v>911</v>
      </c>
      <c r="N159" s="12" t="s">
        <v>912</v>
      </c>
      <c r="O159" s="12" t="s">
        <v>913</v>
      </c>
    </row>
    <row r="160" spans="1:15" ht="29" customHeight="1" x14ac:dyDescent="0.35">
      <c r="A160" s="11">
        <v>155</v>
      </c>
      <c r="B160" s="12" t="s">
        <v>914</v>
      </c>
      <c r="C160" s="12" t="s">
        <v>915</v>
      </c>
      <c r="D160" s="11">
        <v>2026</v>
      </c>
      <c r="E160" s="12" t="s">
        <v>149</v>
      </c>
      <c r="F160" s="12" t="s">
        <v>885</v>
      </c>
      <c r="G160" s="11" t="s">
        <v>131</v>
      </c>
      <c r="H160" s="11"/>
      <c r="I160" s="11"/>
      <c r="J160" s="12"/>
      <c r="K160" s="14" t="str">
        <f t="shared" si="2"/>
        <v>NO</v>
      </c>
      <c r="L160" s="12" t="s">
        <v>125</v>
      </c>
      <c r="M160" s="12" t="s">
        <v>916</v>
      </c>
      <c r="N160" s="12" t="s">
        <v>917</v>
      </c>
      <c r="O160" s="12" t="s">
        <v>918</v>
      </c>
    </row>
    <row r="161" spans="1:15" ht="41.5" customHeight="1" x14ac:dyDescent="0.35">
      <c r="A161" s="11">
        <v>156</v>
      </c>
      <c r="B161" s="12" t="s">
        <v>919</v>
      </c>
      <c r="C161" s="12" t="s">
        <v>920</v>
      </c>
      <c r="D161" s="11">
        <v>2025</v>
      </c>
      <c r="E161" s="12" t="s">
        <v>236</v>
      </c>
      <c r="F161" s="12" t="s">
        <v>885</v>
      </c>
      <c r="G161" s="11" t="s">
        <v>124</v>
      </c>
      <c r="H161" s="11" t="s">
        <v>124</v>
      </c>
      <c r="I161" s="11" t="s">
        <v>131</v>
      </c>
      <c r="J161" s="12" t="s">
        <v>302</v>
      </c>
      <c r="K161" s="14" t="str">
        <f t="shared" si="2"/>
        <v>NO</v>
      </c>
      <c r="L161" s="12" t="s">
        <v>125</v>
      </c>
      <c r="M161" s="12" t="s">
        <v>387</v>
      </c>
      <c r="N161" s="12" t="s">
        <v>921</v>
      </c>
      <c r="O161" s="12" t="s">
        <v>922</v>
      </c>
    </row>
    <row r="162" spans="1:15" ht="41.5" customHeight="1" x14ac:dyDescent="0.35">
      <c r="A162" s="11">
        <v>157</v>
      </c>
      <c r="B162" s="12" t="s">
        <v>923</v>
      </c>
      <c r="C162" s="12" t="s">
        <v>924</v>
      </c>
      <c r="D162" s="11">
        <v>2025</v>
      </c>
      <c r="E162" s="12" t="s">
        <v>925</v>
      </c>
      <c r="F162" s="12" t="s">
        <v>885</v>
      </c>
      <c r="G162" s="11" t="s">
        <v>131</v>
      </c>
      <c r="H162" s="11"/>
      <c r="I162" s="11"/>
      <c r="J162" s="12"/>
      <c r="K162" s="14" t="str">
        <f t="shared" si="2"/>
        <v>NO</v>
      </c>
      <c r="L162" s="12" t="s">
        <v>125</v>
      </c>
      <c r="M162" s="12" t="s">
        <v>926</v>
      </c>
      <c r="N162" s="12" t="s">
        <v>927</v>
      </c>
      <c r="O162" s="12" t="s">
        <v>928</v>
      </c>
    </row>
    <row r="163" spans="1:15" ht="41.5" customHeight="1" x14ac:dyDescent="0.35">
      <c r="A163" s="11">
        <v>158</v>
      </c>
      <c r="B163" s="12" t="s">
        <v>929</v>
      </c>
      <c r="C163" s="12" t="s">
        <v>920</v>
      </c>
      <c r="D163" s="11">
        <v>2025</v>
      </c>
      <c r="E163" s="12" t="s">
        <v>236</v>
      </c>
      <c r="F163" s="12" t="s">
        <v>885</v>
      </c>
      <c r="G163" s="11" t="s">
        <v>124</v>
      </c>
      <c r="H163" s="11" t="s">
        <v>131</v>
      </c>
      <c r="I163" s="11"/>
      <c r="J163" s="12"/>
      <c r="K163" s="14" t="str">
        <f t="shared" si="2"/>
        <v>NO</v>
      </c>
      <c r="L163" s="12" t="s">
        <v>125</v>
      </c>
      <c r="M163" s="12" t="s">
        <v>930</v>
      </c>
      <c r="N163" s="12" t="s">
        <v>931</v>
      </c>
      <c r="O163" s="12" t="s">
        <v>932</v>
      </c>
    </row>
    <row r="164" spans="1:15" ht="41.5" customHeight="1" x14ac:dyDescent="0.35">
      <c r="A164" s="11">
        <v>159</v>
      </c>
      <c r="B164" s="12" t="s">
        <v>933</v>
      </c>
      <c r="C164" s="12" t="s">
        <v>934</v>
      </c>
      <c r="D164" s="11">
        <v>2024</v>
      </c>
      <c r="E164" s="12" t="s">
        <v>935</v>
      </c>
      <c r="F164" s="12" t="s">
        <v>885</v>
      </c>
      <c r="G164" s="11" t="s">
        <v>124</v>
      </c>
      <c r="H164" s="11" t="s">
        <v>124</v>
      </c>
      <c r="I164" s="11" t="s">
        <v>124</v>
      </c>
      <c r="J164" s="12"/>
      <c r="K164" s="14" t="str">
        <f t="shared" si="2"/>
        <v>YES</v>
      </c>
      <c r="L164" s="12" t="s">
        <v>125</v>
      </c>
      <c r="M164" s="12"/>
      <c r="N164" s="12" t="s">
        <v>936</v>
      </c>
      <c r="O164" s="12" t="s">
        <v>937</v>
      </c>
    </row>
    <row r="165" spans="1:15" ht="24" customHeight="1" x14ac:dyDescent="0.35">
      <c r="A165" s="11">
        <v>160</v>
      </c>
      <c r="B165" s="12" t="s">
        <v>938</v>
      </c>
      <c r="C165" s="12" t="s">
        <v>939</v>
      </c>
      <c r="D165" s="11">
        <v>2021</v>
      </c>
      <c r="E165" s="12" t="s">
        <v>940</v>
      </c>
      <c r="F165" s="12" t="s">
        <v>885</v>
      </c>
      <c r="G165" s="11" t="s">
        <v>124</v>
      </c>
      <c r="H165" s="11" t="s">
        <v>124</v>
      </c>
      <c r="I165" s="11" t="s">
        <v>124</v>
      </c>
      <c r="J165" s="12"/>
      <c r="K165" s="14" t="str">
        <f t="shared" si="2"/>
        <v>YES</v>
      </c>
      <c r="L165" s="12" t="s">
        <v>125</v>
      </c>
      <c r="M165" s="12"/>
      <c r="N165" s="12" t="s">
        <v>941</v>
      </c>
      <c r="O165" s="12" t="s">
        <v>942</v>
      </c>
    </row>
    <row r="166" spans="1:15" ht="41.5" customHeight="1" x14ac:dyDescent="0.35">
      <c r="A166" s="11">
        <v>161</v>
      </c>
      <c r="B166" s="12" t="s">
        <v>943</v>
      </c>
      <c r="C166" s="12" t="s">
        <v>944</v>
      </c>
      <c r="D166" s="11">
        <v>2026</v>
      </c>
      <c r="E166" s="12" t="s">
        <v>149</v>
      </c>
      <c r="F166" s="12" t="s">
        <v>885</v>
      </c>
      <c r="G166" s="11" t="s">
        <v>131</v>
      </c>
      <c r="H166" s="11"/>
      <c r="I166" s="11"/>
      <c r="J166" s="12"/>
      <c r="K166" s="14" t="str">
        <f t="shared" si="2"/>
        <v>NO</v>
      </c>
      <c r="L166" s="12" t="s">
        <v>125</v>
      </c>
      <c r="M166" s="12" t="s">
        <v>916</v>
      </c>
      <c r="N166" s="12" t="s">
        <v>945</v>
      </c>
      <c r="O166" s="12" t="s">
        <v>946</v>
      </c>
    </row>
    <row r="167" spans="1:15" ht="29" customHeight="1" x14ac:dyDescent="0.35">
      <c r="A167" s="11">
        <v>162</v>
      </c>
      <c r="B167" s="12" t="s">
        <v>947</v>
      </c>
      <c r="C167" s="12" t="s">
        <v>948</v>
      </c>
      <c r="D167" s="11">
        <v>2026</v>
      </c>
      <c r="E167" s="12" t="s">
        <v>149</v>
      </c>
      <c r="F167" s="12" t="s">
        <v>885</v>
      </c>
      <c r="G167" s="11" t="s">
        <v>131</v>
      </c>
      <c r="H167" s="11"/>
      <c r="I167" s="11"/>
      <c r="J167" s="12"/>
      <c r="K167" s="14" t="str">
        <f t="shared" si="2"/>
        <v>NO</v>
      </c>
      <c r="L167" s="12" t="s">
        <v>125</v>
      </c>
      <c r="M167" s="12" t="s">
        <v>900</v>
      </c>
      <c r="N167" s="12" t="s">
        <v>949</v>
      </c>
      <c r="O167" s="12" t="s">
        <v>950</v>
      </c>
    </row>
    <row r="168" spans="1:15" ht="54" customHeight="1" x14ac:dyDescent="0.35">
      <c r="A168" s="11">
        <v>163</v>
      </c>
      <c r="B168" s="12" t="s">
        <v>951</v>
      </c>
      <c r="C168" s="12" t="s">
        <v>952</v>
      </c>
      <c r="D168" s="11">
        <v>2026</v>
      </c>
      <c r="E168" s="12" t="s">
        <v>149</v>
      </c>
      <c r="F168" s="12" t="s">
        <v>885</v>
      </c>
      <c r="G168" s="11" t="s">
        <v>131</v>
      </c>
      <c r="H168" s="11"/>
      <c r="I168" s="11"/>
      <c r="J168" s="12"/>
      <c r="K168" s="14" t="str">
        <f t="shared" si="2"/>
        <v>NO</v>
      </c>
      <c r="L168" s="12" t="s">
        <v>125</v>
      </c>
      <c r="M168" s="12" t="s">
        <v>900</v>
      </c>
      <c r="N168" s="12" t="s">
        <v>953</v>
      </c>
      <c r="O168" s="12" t="s">
        <v>954</v>
      </c>
    </row>
    <row r="169" spans="1:15" ht="41.5" customHeight="1" x14ac:dyDescent="0.35">
      <c r="A169" s="11">
        <v>164</v>
      </c>
      <c r="B169" s="12" t="s">
        <v>955</v>
      </c>
      <c r="C169" s="12" t="s">
        <v>910</v>
      </c>
      <c r="D169" s="11">
        <v>2026</v>
      </c>
      <c r="E169" s="12" t="s">
        <v>149</v>
      </c>
      <c r="F169" s="12" t="s">
        <v>885</v>
      </c>
      <c r="G169" s="11" t="s">
        <v>131</v>
      </c>
      <c r="H169" s="11"/>
      <c r="I169" s="11"/>
      <c r="J169" s="12"/>
      <c r="K169" s="14" t="str">
        <f t="shared" si="2"/>
        <v>NO</v>
      </c>
      <c r="L169" s="12" t="s">
        <v>125</v>
      </c>
      <c r="M169" s="12" t="s">
        <v>911</v>
      </c>
      <c r="N169" s="12" t="s">
        <v>956</v>
      </c>
      <c r="O169" s="12" t="s">
        <v>957</v>
      </c>
    </row>
    <row r="170" spans="1:15" ht="29" customHeight="1" x14ac:dyDescent="0.35">
      <c r="A170" s="11">
        <v>165</v>
      </c>
      <c r="B170" s="12" t="s">
        <v>958</v>
      </c>
      <c r="C170" s="12" t="s">
        <v>959</v>
      </c>
      <c r="D170" s="11">
        <v>2025</v>
      </c>
      <c r="E170" s="12" t="s">
        <v>960</v>
      </c>
      <c r="F170" s="12" t="s">
        <v>885</v>
      </c>
      <c r="G170" s="11" t="s">
        <v>124</v>
      </c>
      <c r="H170" s="11" t="s">
        <v>124</v>
      </c>
      <c r="I170" s="11" t="s">
        <v>124</v>
      </c>
      <c r="J170" s="12"/>
      <c r="K170" s="14" t="str">
        <f t="shared" si="2"/>
        <v>YES</v>
      </c>
      <c r="L170" s="12" t="s">
        <v>125</v>
      </c>
      <c r="M170" s="12"/>
      <c r="N170" s="12" t="s">
        <v>961</v>
      </c>
      <c r="O170" s="12" t="s">
        <v>962</v>
      </c>
    </row>
    <row r="171" spans="1:15" ht="29" customHeight="1" x14ac:dyDescent="0.35">
      <c r="A171" s="11">
        <v>166</v>
      </c>
      <c r="B171" s="12" t="s">
        <v>963</v>
      </c>
      <c r="C171" s="12" t="s">
        <v>964</v>
      </c>
      <c r="D171" s="11">
        <v>2025</v>
      </c>
      <c r="E171" s="12" t="s">
        <v>341</v>
      </c>
      <c r="F171" s="12" t="s">
        <v>885</v>
      </c>
      <c r="G171" s="11" t="s">
        <v>124</v>
      </c>
      <c r="H171" s="11" t="s">
        <v>124</v>
      </c>
      <c r="I171" s="11" t="s">
        <v>124</v>
      </c>
      <c r="J171" s="12"/>
      <c r="K171" s="14" t="str">
        <f t="shared" si="2"/>
        <v>YES</v>
      </c>
      <c r="L171" s="12" t="s">
        <v>125</v>
      </c>
      <c r="M171" s="12"/>
      <c r="N171" s="12" t="s">
        <v>965</v>
      </c>
      <c r="O171" s="12" t="s">
        <v>966</v>
      </c>
    </row>
    <row r="172" spans="1:15" ht="41.5" customHeight="1" x14ac:dyDescent="0.35">
      <c r="A172" s="11">
        <v>167</v>
      </c>
      <c r="B172" s="12" t="s">
        <v>967</v>
      </c>
      <c r="C172" s="12" t="s">
        <v>968</v>
      </c>
      <c r="D172" s="11">
        <v>2026</v>
      </c>
      <c r="E172" s="12" t="s">
        <v>149</v>
      </c>
      <c r="F172" s="12" t="s">
        <v>885</v>
      </c>
      <c r="G172" s="11" t="s">
        <v>131</v>
      </c>
      <c r="H172" s="11"/>
      <c r="I172" s="11"/>
      <c r="J172" s="12"/>
      <c r="K172" s="14" t="str">
        <f t="shared" si="2"/>
        <v>NO</v>
      </c>
      <c r="L172" s="12" t="s">
        <v>125</v>
      </c>
      <c r="M172" s="12" t="s">
        <v>900</v>
      </c>
      <c r="N172" s="12" t="s">
        <v>969</v>
      </c>
      <c r="O172" s="12" t="s">
        <v>970</v>
      </c>
    </row>
    <row r="173" spans="1:15" ht="41.5" customHeight="1" x14ac:dyDescent="0.35">
      <c r="A173" s="11">
        <v>168</v>
      </c>
      <c r="B173" s="12" t="s">
        <v>971</v>
      </c>
      <c r="C173" s="12" t="s">
        <v>972</v>
      </c>
      <c r="D173" s="11">
        <v>2026</v>
      </c>
      <c r="E173" s="12" t="s">
        <v>149</v>
      </c>
      <c r="F173" s="12" t="s">
        <v>885</v>
      </c>
      <c r="G173" s="11" t="s">
        <v>131</v>
      </c>
      <c r="H173" s="11"/>
      <c r="I173" s="11"/>
      <c r="J173" s="12"/>
      <c r="K173" s="14" t="str">
        <f t="shared" si="2"/>
        <v>NO</v>
      </c>
      <c r="L173" s="12" t="s">
        <v>125</v>
      </c>
      <c r="M173" s="12" t="s">
        <v>916</v>
      </c>
      <c r="N173" s="12" t="s">
        <v>973</v>
      </c>
      <c r="O173" s="12" t="s">
        <v>974</v>
      </c>
    </row>
    <row r="174" spans="1:15" ht="24" customHeight="1" x14ac:dyDescent="0.35">
      <c r="A174" s="11">
        <v>169</v>
      </c>
      <c r="B174" s="12" t="s">
        <v>975</v>
      </c>
      <c r="C174" s="12" t="s">
        <v>976</v>
      </c>
      <c r="D174" s="11">
        <v>2026</v>
      </c>
      <c r="E174" s="12" t="s">
        <v>149</v>
      </c>
      <c r="F174" s="12" t="s">
        <v>885</v>
      </c>
      <c r="G174" s="11" t="s">
        <v>131</v>
      </c>
      <c r="H174" s="11"/>
      <c r="I174" s="11"/>
      <c r="J174" s="12"/>
      <c r="K174" s="14" t="str">
        <f t="shared" si="2"/>
        <v>NO</v>
      </c>
      <c r="L174" s="12" t="s">
        <v>125</v>
      </c>
      <c r="M174" s="12" t="s">
        <v>900</v>
      </c>
      <c r="N174" s="12" t="s">
        <v>977</v>
      </c>
      <c r="O174" s="12" t="s">
        <v>978</v>
      </c>
    </row>
    <row r="175" spans="1:15" ht="41.5" customHeight="1" x14ac:dyDescent="0.35">
      <c r="A175" s="11">
        <v>170</v>
      </c>
      <c r="B175" s="12" t="s">
        <v>979</v>
      </c>
      <c r="C175" s="12" t="s">
        <v>980</v>
      </c>
      <c r="D175" s="11">
        <v>2026</v>
      </c>
      <c r="E175" s="12" t="s">
        <v>149</v>
      </c>
      <c r="F175" s="12" t="s">
        <v>885</v>
      </c>
      <c r="G175" s="11" t="s">
        <v>131</v>
      </c>
      <c r="H175" s="11"/>
      <c r="I175" s="11"/>
      <c r="J175" s="12"/>
      <c r="K175" s="14" t="str">
        <f t="shared" si="2"/>
        <v>NO</v>
      </c>
      <c r="L175" s="12" t="s">
        <v>125</v>
      </c>
      <c r="M175" s="12" t="s">
        <v>981</v>
      </c>
      <c r="N175" s="12" t="s">
        <v>982</v>
      </c>
      <c r="O175" s="12" t="s">
        <v>983</v>
      </c>
    </row>
    <row r="176" spans="1:15" ht="29" customHeight="1" x14ac:dyDescent="0.35">
      <c r="A176" s="11">
        <v>171</v>
      </c>
      <c r="B176" s="12" t="s">
        <v>984</v>
      </c>
      <c r="C176" s="12" t="s">
        <v>985</v>
      </c>
      <c r="D176" s="11">
        <v>2026</v>
      </c>
      <c r="E176" s="12" t="s">
        <v>149</v>
      </c>
      <c r="F176" s="12" t="s">
        <v>885</v>
      </c>
      <c r="G176" s="11" t="s">
        <v>131</v>
      </c>
      <c r="H176" s="11"/>
      <c r="I176" s="11"/>
      <c r="J176" s="12"/>
      <c r="K176" s="14" t="str">
        <f t="shared" si="2"/>
        <v>NO</v>
      </c>
      <c r="L176" s="12" t="s">
        <v>125</v>
      </c>
      <c r="M176" s="12" t="s">
        <v>986</v>
      </c>
      <c r="N176" s="12" t="s">
        <v>987</v>
      </c>
      <c r="O176" s="12" t="s">
        <v>988</v>
      </c>
    </row>
    <row r="177" spans="1:15" ht="29" customHeight="1" x14ac:dyDescent="0.35">
      <c r="A177" s="11">
        <v>172</v>
      </c>
      <c r="B177" s="12" t="s">
        <v>989</v>
      </c>
      <c r="C177" s="12" t="s">
        <v>990</v>
      </c>
      <c r="D177" s="11">
        <v>2026</v>
      </c>
      <c r="E177" s="12" t="s">
        <v>149</v>
      </c>
      <c r="F177" s="12" t="s">
        <v>885</v>
      </c>
      <c r="G177" s="11" t="s">
        <v>131</v>
      </c>
      <c r="H177" s="11"/>
      <c r="I177" s="11"/>
      <c r="J177" s="12"/>
      <c r="K177" s="14" t="str">
        <f t="shared" si="2"/>
        <v>NO</v>
      </c>
      <c r="L177" s="12" t="s">
        <v>125</v>
      </c>
      <c r="M177" s="12" t="s">
        <v>900</v>
      </c>
      <c r="N177" s="12" t="s">
        <v>991</v>
      </c>
      <c r="O177" s="12" t="s">
        <v>992</v>
      </c>
    </row>
    <row r="178" spans="1:15" ht="41.5" customHeight="1" x14ac:dyDescent="0.35">
      <c r="A178" s="11">
        <v>173</v>
      </c>
      <c r="B178" s="12" t="s">
        <v>993</v>
      </c>
      <c r="C178" s="12" t="s">
        <v>990</v>
      </c>
      <c r="D178" s="11">
        <v>2026</v>
      </c>
      <c r="E178" s="12" t="s">
        <v>149</v>
      </c>
      <c r="F178" s="12" t="s">
        <v>885</v>
      </c>
      <c r="G178" s="11" t="s">
        <v>131</v>
      </c>
      <c r="H178" s="11"/>
      <c r="I178" s="11"/>
      <c r="J178" s="12"/>
      <c r="K178" s="14" t="str">
        <f t="shared" si="2"/>
        <v>NO</v>
      </c>
      <c r="L178" s="12" t="s">
        <v>125</v>
      </c>
      <c r="M178" s="12" t="s">
        <v>900</v>
      </c>
      <c r="N178" s="12" t="s">
        <v>994</v>
      </c>
      <c r="O178" s="12" t="s">
        <v>995</v>
      </c>
    </row>
    <row r="179" spans="1:15" ht="29" customHeight="1" x14ac:dyDescent="0.35">
      <c r="A179" s="11">
        <v>174</v>
      </c>
      <c r="B179" s="12" t="s">
        <v>996</v>
      </c>
      <c r="C179" s="12" t="s">
        <v>997</v>
      </c>
      <c r="D179" s="11">
        <v>2021</v>
      </c>
      <c r="E179" s="12" t="s">
        <v>998</v>
      </c>
      <c r="F179" s="12" t="s">
        <v>999</v>
      </c>
      <c r="G179" s="11" t="s">
        <v>124</v>
      </c>
      <c r="H179" s="11" t="s">
        <v>124</v>
      </c>
      <c r="I179" s="11" t="s">
        <v>124</v>
      </c>
      <c r="J179" s="12"/>
      <c r="K179" s="14" t="str">
        <f t="shared" si="2"/>
        <v>YES</v>
      </c>
      <c r="L179" s="12" t="s">
        <v>125</v>
      </c>
      <c r="M179" s="12"/>
      <c r="N179" s="12" t="s">
        <v>1000</v>
      </c>
      <c r="O179" s="12" t="s">
        <v>1001</v>
      </c>
    </row>
    <row r="180" spans="1:15" ht="41.5" customHeight="1" x14ac:dyDescent="0.35">
      <c r="A180" s="11">
        <v>175</v>
      </c>
      <c r="B180" s="12" t="s">
        <v>1002</v>
      </c>
      <c r="C180" s="12" t="s">
        <v>1003</v>
      </c>
      <c r="D180" s="11">
        <v>2025</v>
      </c>
      <c r="E180" s="12" t="s">
        <v>1004</v>
      </c>
      <c r="F180" s="12" t="s">
        <v>999</v>
      </c>
      <c r="G180" s="11" t="s">
        <v>131</v>
      </c>
      <c r="H180" s="11"/>
      <c r="I180" s="11"/>
      <c r="J180" s="12"/>
      <c r="K180" s="14" t="str">
        <f t="shared" si="2"/>
        <v>NO</v>
      </c>
      <c r="L180" s="12" t="s">
        <v>125</v>
      </c>
      <c r="M180" s="12" t="s">
        <v>1005</v>
      </c>
      <c r="N180" s="12" t="s">
        <v>1006</v>
      </c>
      <c r="O180" s="12" t="s">
        <v>1007</v>
      </c>
    </row>
    <row r="181" spans="1:15" ht="24" customHeight="1" x14ac:dyDescent="0.35">
      <c r="A181" s="11">
        <v>176</v>
      </c>
      <c r="B181" s="12" t="s">
        <v>1008</v>
      </c>
      <c r="C181" s="12" t="s">
        <v>1009</v>
      </c>
      <c r="D181" s="11">
        <v>2024</v>
      </c>
      <c r="E181" s="12" t="s">
        <v>569</v>
      </c>
      <c r="F181" s="12" t="s">
        <v>999</v>
      </c>
      <c r="G181" s="11" t="s">
        <v>124</v>
      </c>
      <c r="H181" s="11" t="s">
        <v>124</v>
      </c>
      <c r="I181" s="11" t="s">
        <v>124</v>
      </c>
      <c r="J181" s="12"/>
      <c r="K181" s="14" t="str">
        <f t="shared" si="2"/>
        <v>YES</v>
      </c>
      <c r="L181" s="12" t="s">
        <v>125</v>
      </c>
      <c r="M181" s="12"/>
      <c r="N181" s="12" t="s">
        <v>1010</v>
      </c>
      <c r="O181" s="12" t="s">
        <v>1011</v>
      </c>
    </row>
    <row r="182" spans="1:15" ht="41.5" customHeight="1" x14ac:dyDescent="0.35">
      <c r="A182" s="11">
        <v>177</v>
      </c>
      <c r="B182" s="12" t="s">
        <v>1012</v>
      </c>
      <c r="C182" s="12" t="s">
        <v>1013</v>
      </c>
      <c r="D182" s="11">
        <v>2022</v>
      </c>
      <c r="E182" s="12" t="s">
        <v>1014</v>
      </c>
      <c r="F182" s="12" t="s">
        <v>999</v>
      </c>
      <c r="G182" s="11" t="s">
        <v>131</v>
      </c>
      <c r="H182" s="11"/>
      <c r="I182" s="11"/>
      <c r="J182" s="12"/>
      <c r="K182" s="14" t="str">
        <f t="shared" si="2"/>
        <v>NO</v>
      </c>
      <c r="L182" s="12" t="s">
        <v>125</v>
      </c>
      <c r="M182" s="12" t="s">
        <v>1015</v>
      </c>
      <c r="N182" s="12" t="s">
        <v>1016</v>
      </c>
      <c r="O182" s="12" t="s">
        <v>1017</v>
      </c>
    </row>
    <row r="183" spans="1:15" ht="41.5" customHeight="1" x14ac:dyDescent="0.35">
      <c r="A183" s="11">
        <v>178</v>
      </c>
      <c r="B183" s="12" t="s">
        <v>1018</v>
      </c>
      <c r="C183" s="12" t="s">
        <v>1019</v>
      </c>
      <c r="D183" s="11">
        <v>2022</v>
      </c>
      <c r="E183" s="12" t="s">
        <v>1020</v>
      </c>
      <c r="F183" s="12" t="s">
        <v>999</v>
      </c>
      <c r="G183" s="11" t="s">
        <v>131</v>
      </c>
      <c r="H183" s="11"/>
      <c r="I183" s="11"/>
      <c r="J183" s="12"/>
      <c r="K183" s="14" t="str">
        <f t="shared" si="2"/>
        <v>NO</v>
      </c>
      <c r="L183" s="12" t="s">
        <v>125</v>
      </c>
      <c r="M183" s="12" t="s">
        <v>1021</v>
      </c>
      <c r="N183" s="12" t="s">
        <v>1022</v>
      </c>
      <c r="O183" s="12" t="s">
        <v>1023</v>
      </c>
    </row>
    <row r="184" spans="1:15" ht="41.5" customHeight="1" x14ac:dyDescent="0.35">
      <c r="A184" s="11">
        <v>179</v>
      </c>
      <c r="B184" s="12" t="s">
        <v>1024</v>
      </c>
      <c r="C184" s="12" t="s">
        <v>1025</v>
      </c>
      <c r="D184" s="11">
        <v>2024</v>
      </c>
      <c r="E184" s="12" t="s">
        <v>1026</v>
      </c>
      <c r="F184" s="12" t="s">
        <v>999</v>
      </c>
      <c r="G184" s="11" t="s">
        <v>131</v>
      </c>
      <c r="H184" s="11"/>
      <c r="I184" s="11"/>
      <c r="J184" s="12"/>
      <c r="K184" s="14" t="str">
        <f t="shared" si="2"/>
        <v>NO</v>
      </c>
      <c r="L184" s="12" t="s">
        <v>125</v>
      </c>
      <c r="M184" s="12" t="s">
        <v>1027</v>
      </c>
      <c r="N184" s="12" t="s">
        <v>1028</v>
      </c>
      <c r="O184" s="12" t="s">
        <v>1029</v>
      </c>
    </row>
    <row r="185" spans="1:15" ht="41.5" customHeight="1" x14ac:dyDescent="0.35">
      <c r="A185" s="11">
        <v>180</v>
      </c>
      <c r="B185" s="12" t="s">
        <v>1030</v>
      </c>
      <c r="C185" s="12" t="s">
        <v>1031</v>
      </c>
      <c r="D185" s="11">
        <v>2024</v>
      </c>
      <c r="E185" s="12" t="s">
        <v>143</v>
      </c>
      <c r="F185" s="12" t="s">
        <v>999</v>
      </c>
      <c r="G185" s="11" t="s">
        <v>131</v>
      </c>
      <c r="H185" s="11"/>
      <c r="I185" s="11"/>
      <c r="J185" s="12"/>
      <c r="K185" s="14" t="str">
        <f t="shared" si="2"/>
        <v>NO</v>
      </c>
      <c r="L185" s="12" t="s">
        <v>125</v>
      </c>
      <c r="M185" s="12" t="s">
        <v>1032</v>
      </c>
      <c r="N185" s="12" t="s">
        <v>1033</v>
      </c>
      <c r="O185" s="12" t="s">
        <v>1034</v>
      </c>
    </row>
    <row r="186" spans="1:15" ht="29" customHeight="1" x14ac:dyDescent="0.35">
      <c r="A186" s="11">
        <v>181</v>
      </c>
      <c r="B186" s="12" t="s">
        <v>1035</v>
      </c>
      <c r="C186" s="12" t="s">
        <v>1036</v>
      </c>
      <c r="D186" s="11">
        <v>2022</v>
      </c>
      <c r="E186" s="12" t="s">
        <v>178</v>
      </c>
      <c r="F186" s="12" t="s">
        <v>999</v>
      </c>
      <c r="G186" s="11" t="s">
        <v>124</v>
      </c>
      <c r="H186" s="11" t="s">
        <v>131</v>
      </c>
      <c r="I186" s="11"/>
      <c r="J186" s="12"/>
      <c r="K186" s="14" t="str">
        <f t="shared" si="2"/>
        <v>NO</v>
      </c>
      <c r="L186" s="12" t="s">
        <v>125</v>
      </c>
      <c r="M186" s="12" t="s">
        <v>1037</v>
      </c>
      <c r="N186" s="12" t="s">
        <v>1038</v>
      </c>
      <c r="O186" s="12" t="s">
        <v>1039</v>
      </c>
    </row>
    <row r="187" spans="1:15" ht="29" customHeight="1" x14ac:dyDescent="0.35">
      <c r="A187" s="11">
        <v>182</v>
      </c>
      <c r="B187" s="12" t="s">
        <v>1040</v>
      </c>
      <c r="C187" s="12" t="s">
        <v>1041</v>
      </c>
      <c r="D187" s="11">
        <v>2024</v>
      </c>
      <c r="E187" s="12" t="s">
        <v>1042</v>
      </c>
      <c r="F187" s="12" t="s">
        <v>999</v>
      </c>
      <c r="G187" s="11" t="s">
        <v>131</v>
      </c>
      <c r="H187" s="11"/>
      <c r="I187" s="11"/>
      <c r="J187" s="12"/>
      <c r="K187" s="14" t="str">
        <f t="shared" si="2"/>
        <v>NO</v>
      </c>
      <c r="L187" s="12" t="s">
        <v>125</v>
      </c>
      <c r="M187" s="12" t="s">
        <v>1043</v>
      </c>
      <c r="N187" s="12" t="s">
        <v>1044</v>
      </c>
      <c r="O187" s="12" t="s">
        <v>1045</v>
      </c>
    </row>
    <row r="188" spans="1:15" ht="41.5" customHeight="1" x14ac:dyDescent="0.35">
      <c r="A188" s="11">
        <v>183</v>
      </c>
      <c r="B188" s="12" t="s">
        <v>1046</v>
      </c>
      <c r="C188" s="12" t="s">
        <v>1047</v>
      </c>
      <c r="D188" s="11">
        <v>2025</v>
      </c>
      <c r="E188" s="12" t="s">
        <v>1048</v>
      </c>
      <c r="F188" s="12" t="s">
        <v>999</v>
      </c>
      <c r="G188" s="11" t="s">
        <v>131</v>
      </c>
      <c r="H188" s="11"/>
      <c r="I188" s="11"/>
      <c r="J188" s="12"/>
      <c r="K188" s="14" t="str">
        <f t="shared" si="2"/>
        <v>NO</v>
      </c>
      <c r="L188" s="12" t="s">
        <v>125</v>
      </c>
      <c r="M188" s="12" t="s">
        <v>1049</v>
      </c>
      <c r="N188" s="12" t="s">
        <v>1050</v>
      </c>
      <c r="O188" s="12" t="s">
        <v>1051</v>
      </c>
    </row>
    <row r="189" spans="1:15" ht="24" customHeight="1" x14ac:dyDescent="0.35">
      <c r="A189" s="11">
        <v>184</v>
      </c>
      <c r="B189" s="12" t="s">
        <v>1052</v>
      </c>
      <c r="C189" s="12" t="s">
        <v>1053</v>
      </c>
      <c r="D189" s="11">
        <v>2024</v>
      </c>
      <c r="E189" s="12" t="s">
        <v>1054</v>
      </c>
      <c r="F189" s="12" t="s">
        <v>999</v>
      </c>
      <c r="G189" s="11" t="s">
        <v>124</v>
      </c>
      <c r="H189" s="11" t="s">
        <v>124</v>
      </c>
      <c r="I189" s="11" t="s">
        <v>124</v>
      </c>
      <c r="J189" s="12"/>
      <c r="K189" s="14" t="str">
        <f t="shared" si="2"/>
        <v>YES</v>
      </c>
      <c r="L189" s="12" t="s">
        <v>125</v>
      </c>
      <c r="M189" s="12"/>
      <c r="N189" s="12" t="s">
        <v>1055</v>
      </c>
      <c r="O189" s="12" t="s">
        <v>1056</v>
      </c>
    </row>
    <row r="190" spans="1:15" ht="66.5" customHeight="1" x14ac:dyDescent="0.35">
      <c r="A190" s="11">
        <v>185</v>
      </c>
      <c r="B190" s="12" t="s">
        <v>1057</v>
      </c>
      <c r="C190" s="12" t="s">
        <v>1058</v>
      </c>
      <c r="D190" s="11">
        <v>2022</v>
      </c>
      <c r="E190" s="12" t="s">
        <v>1059</v>
      </c>
      <c r="F190" s="12" t="s">
        <v>999</v>
      </c>
      <c r="G190" s="11" t="s">
        <v>131</v>
      </c>
      <c r="H190" s="11"/>
      <c r="I190" s="11"/>
      <c r="J190" s="12"/>
      <c r="K190" s="14" t="str">
        <f t="shared" si="2"/>
        <v>NO</v>
      </c>
      <c r="L190" s="12" t="s">
        <v>125</v>
      </c>
      <c r="M190" s="12" t="s">
        <v>1060</v>
      </c>
      <c r="N190" s="12" t="s">
        <v>1061</v>
      </c>
      <c r="O190" s="12" t="s">
        <v>1062</v>
      </c>
    </row>
    <row r="191" spans="1:15" ht="54" customHeight="1" x14ac:dyDescent="0.35">
      <c r="A191" s="11">
        <v>186</v>
      </c>
      <c r="B191" s="12" t="s">
        <v>1063</v>
      </c>
      <c r="C191" s="12" t="s">
        <v>1064</v>
      </c>
      <c r="D191" s="11">
        <v>2025</v>
      </c>
      <c r="E191" s="12" t="s">
        <v>1065</v>
      </c>
      <c r="F191" s="12" t="s">
        <v>999</v>
      </c>
      <c r="G191" s="11" t="s">
        <v>131</v>
      </c>
      <c r="H191" s="11"/>
      <c r="I191" s="11"/>
      <c r="J191" s="12"/>
      <c r="K191" s="14" t="str">
        <f t="shared" si="2"/>
        <v>NO</v>
      </c>
      <c r="L191" s="12" t="s">
        <v>125</v>
      </c>
      <c r="M191" s="12" t="s">
        <v>1066</v>
      </c>
      <c r="N191" s="12" t="s">
        <v>1067</v>
      </c>
      <c r="O191" s="12" t="s">
        <v>1068</v>
      </c>
    </row>
    <row r="192" spans="1:15" ht="41.5" customHeight="1" x14ac:dyDescent="0.35">
      <c r="A192" s="11">
        <v>187</v>
      </c>
      <c r="B192" s="12" t="s">
        <v>1069</v>
      </c>
      <c r="C192" s="12" t="s">
        <v>1070</v>
      </c>
      <c r="D192" s="11">
        <v>2025</v>
      </c>
      <c r="E192" s="12" t="s">
        <v>1071</v>
      </c>
      <c r="F192" s="12" t="s">
        <v>999</v>
      </c>
      <c r="G192" s="11" t="s">
        <v>131</v>
      </c>
      <c r="H192" s="11"/>
      <c r="I192" s="11"/>
      <c r="J192" s="12"/>
      <c r="K192" s="14" t="str">
        <f t="shared" si="2"/>
        <v>NO</v>
      </c>
      <c r="L192" s="12" t="s">
        <v>125</v>
      </c>
      <c r="M192" s="12" t="s">
        <v>1072</v>
      </c>
      <c r="N192" s="12" t="s">
        <v>1073</v>
      </c>
      <c r="O192" s="12" t="s">
        <v>1074</v>
      </c>
    </row>
    <row r="193" spans="1:15" ht="24" customHeight="1" x14ac:dyDescent="0.35">
      <c r="A193" s="11">
        <v>188</v>
      </c>
      <c r="B193" s="12" t="s">
        <v>1075</v>
      </c>
      <c r="C193" s="12" t="s">
        <v>1076</v>
      </c>
      <c r="D193" s="11">
        <v>2025</v>
      </c>
      <c r="E193" s="12" t="s">
        <v>1077</v>
      </c>
      <c r="F193" s="12" t="s">
        <v>999</v>
      </c>
      <c r="G193" s="11" t="s">
        <v>124</v>
      </c>
      <c r="H193" s="11" t="s">
        <v>124</v>
      </c>
      <c r="I193" s="11" t="s">
        <v>124</v>
      </c>
      <c r="J193" s="12"/>
      <c r="K193" s="14" t="str">
        <f t="shared" si="2"/>
        <v>YES</v>
      </c>
      <c r="L193" s="12" t="s">
        <v>125</v>
      </c>
      <c r="M193" s="12"/>
      <c r="N193" s="12" t="s">
        <v>1078</v>
      </c>
      <c r="O193" s="12" t="s">
        <v>1079</v>
      </c>
    </row>
    <row r="194" spans="1:15" ht="41.5" customHeight="1" x14ac:dyDescent="0.35">
      <c r="A194" s="11">
        <v>189</v>
      </c>
      <c r="B194" s="12" t="s">
        <v>1080</v>
      </c>
      <c r="C194" s="12" t="s">
        <v>1081</v>
      </c>
      <c r="D194" s="11">
        <v>2025</v>
      </c>
      <c r="E194" s="12" t="s">
        <v>218</v>
      </c>
      <c r="F194" s="12" t="s">
        <v>999</v>
      </c>
      <c r="G194" s="11" t="s">
        <v>131</v>
      </c>
      <c r="H194" s="11"/>
      <c r="I194" s="11"/>
      <c r="J194" s="12"/>
      <c r="K194" s="14" t="str">
        <f t="shared" si="2"/>
        <v>NO</v>
      </c>
      <c r="L194" s="12" t="s">
        <v>125</v>
      </c>
      <c r="M194" s="12" t="s">
        <v>1082</v>
      </c>
      <c r="N194" s="12" t="s">
        <v>1083</v>
      </c>
      <c r="O194" s="12" t="s">
        <v>1084</v>
      </c>
    </row>
    <row r="195" spans="1:15" ht="29" customHeight="1" x14ac:dyDescent="0.35">
      <c r="A195" s="11">
        <v>190</v>
      </c>
      <c r="B195" s="12" t="s">
        <v>1085</v>
      </c>
      <c r="C195" s="12" t="s">
        <v>1086</v>
      </c>
      <c r="D195" s="11">
        <v>2025</v>
      </c>
      <c r="E195" s="12" t="s">
        <v>1087</v>
      </c>
      <c r="F195" s="12" t="s">
        <v>999</v>
      </c>
      <c r="G195" s="11" t="s">
        <v>131</v>
      </c>
      <c r="H195" s="11"/>
      <c r="I195" s="11"/>
      <c r="J195" s="12"/>
      <c r="K195" s="14" t="str">
        <f t="shared" si="2"/>
        <v>NO</v>
      </c>
      <c r="L195" s="12" t="s">
        <v>125</v>
      </c>
      <c r="M195" s="12" t="s">
        <v>1088</v>
      </c>
      <c r="N195" s="12" t="s">
        <v>1089</v>
      </c>
      <c r="O195" s="12" t="s">
        <v>1090</v>
      </c>
    </row>
    <row r="196" spans="1:15" ht="29" customHeight="1" x14ac:dyDescent="0.35">
      <c r="A196" s="11">
        <v>191</v>
      </c>
      <c r="B196" s="12" t="s">
        <v>1091</v>
      </c>
      <c r="C196" s="12" t="s">
        <v>1092</v>
      </c>
      <c r="D196" s="11">
        <v>2024</v>
      </c>
      <c r="E196" s="12" t="s">
        <v>178</v>
      </c>
      <c r="F196" s="12" t="s">
        <v>999</v>
      </c>
      <c r="G196" s="11" t="s">
        <v>131</v>
      </c>
      <c r="H196" s="11"/>
      <c r="I196" s="11"/>
      <c r="J196" s="12"/>
      <c r="K196" s="14" t="str">
        <f t="shared" si="2"/>
        <v>NO</v>
      </c>
      <c r="L196" s="12" t="s">
        <v>125</v>
      </c>
      <c r="M196" s="12" t="s">
        <v>1093</v>
      </c>
      <c r="N196" s="12" t="s">
        <v>1094</v>
      </c>
      <c r="O196" s="12" t="s">
        <v>1095</v>
      </c>
    </row>
    <row r="197" spans="1:15" ht="41.5" customHeight="1" x14ac:dyDescent="0.35">
      <c r="A197" s="11">
        <v>192</v>
      </c>
      <c r="B197" s="12" t="s">
        <v>1096</v>
      </c>
      <c r="C197" s="12" t="s">
        <v>1097</v>
      </c>
      <c r="D197" s="11">
        <v>2023</v>
      </c>
      <c r="E197" s="12" t="s">
        <v>1098</v>
      </c>
      <c r="F197" s="12" t="s">
        <v>999</v>
      </c>
      <c r="G197" s="11" t="s">
        <v>124</v>
      </c>
      <c r="H197" s="11" t="s">
        <v>131</v>
      </c>
      <c r="I197" s="11"/>
      <c r="J197" s="12"/>
      <c r="K197" s="14" t="str">
        <f t="shared" si="2"/>
        <v>NO</v>
      </c>
      <c r="L197" s="12" t="s">
        <v>125</v>
      </c>
      <c r="M197" s="12" t="s">
        <v>1099</v>
      </c>
      <c r="N197" s="12" t="s">
        <v>1100</v>
      </c>
      <c r="O197" s="12" t="s">
        <v>1101</v>
      </c>
    </row>
    <row r="198" spans="1:15" ht="54" customHeight="1" x14ac:dyDescent="0.35">
      <c r="A198" s="11">
        <v>193</v>
      </c>
      <c r="B198" s="12" t="s">
        <v>1102</v>
      </c>
      <c r="C198" s="12" t="s">
        <v>1103</v>
      </c>
      <c r="D198" s="11">
        <v>2022</v>
      </c>
      <c r="E198" s="12" t="s">
        <v>1104</v>
      </c>
      <c r="F198" s="12" t="s">
        <v>999</v>
      </c>
      <c r="G198" s="11" t="s">
        <v>131</v>
      </c>
      <c r="H198" s="11"/>
      <c r="I198" s="11"/>
      <c r="J198" s="12"/>
      <c r="K198" s="14" t="str">
        <f t="shared" ref="K198:K235" si="3">IF(AND(G198="KEEP",H198="KEEP",I198="KEEP"),"YES",IF(OR(G198="DROP",H198="DROP",I198="DROP"),"NO",""))</f>
        <v>NO</v>
      </c>
      <c r="L198" s="12" t="s">
        <v>125</v>
      </c>
      <c r="M198" s="12" t="s">
        <v>722</v>
      </c>
      <c r="N198" s="12" t="s">
        <v>1105</v>
      </c>
      <c r="O198" s="12" t="s">
        <v>1106</v>
      </c>
    </row>
    <row r="199" spans="1:15" ht="54" customHeight="1" x14ac:dyDescent="0.35">
      <c r="A199" s="11">
        <v>194</v>
      </c>
      <c r="B199" s="12" t="s">
        <v>1107</v>
      </c>
      <c r="C199" s="12" t="s">
        <v>1108</v>
      </c>
      <c r="D199" s="11">
        <v>2026</v>
      </c>
      <c r="E199" s="12" t="s">
        <v>460</v>
      </c>
      <c r="F199" s="12" t="s">
        <v>999</v>
      </c>
      <c r="G199" s="11" t="s">
        <v>131</v>
      </c>
      <c r="H199" s="11"/>
      <c r="I199" s="11"/>
      <c r="J199" s="12"/>
      <c r="K199" s="14" t="str">
        <f t="shared" si="3"/>
        <v>NO</v>
      </c>
      <c r="L199" s="12" t="s">
        <v>125</v>
      </c>
      <c r="M199" s="12" t="s">
        <v>1109</v>
      </c>
      <c r="N199" s="12" t="s">
        <v>1110</v>
      </c>
      <c r="O199" s="12" t="s">
        <v>1111</v>
      </c>
    </row>
    <row r="200" spans="1:15" ht="29" customHeight="1" x14ac:dyDescent="0.35">
      <c r="A200" s="11">
        <v>195</v>
      </c>
      <c r="B200" s="12" t="s">
        <v>1112</v>
      </c>
      <c r="C200" s="12" t="s">
        <v>1113</v>
      </c>
      <c r="D200" s="11">
        <v>2025</v>
      </c>
      <c r="E200" s="12" t="s">
        <v>1114</v>
      </c>
      <c r="F200" s="12" t="s">
        <v>999</v>
      </c>
      <c r="G200" s="11" t="s">
        <v>131</v>
      </c>
      <c r="H200" s="11"/>
      <c r="I200" s="11"/>
      <c r="J200" s="12"/>
      <c r="K200" s="14" t="str">
        <f t="shared" si="3"/>
        <v>NO</v>
      </c>
      <c r="L200" s="12" t="s">
        <v>125</v>
      </c>
      <c r="M200" s="12" t="s">
        <v>1115</v>
      </c>
      <c r="N200" s="12" t="s">
        <v>1116</v>
      </c>
      <c r="O200" s="12" t="s">
        <v>1117</v>
      </c>
    </row>
    <row r="201" spans="1:15" ht="54" customHeight="1" x14ac:dyDescent="0.35">
      <c r="A201" s="11">
        <v>196</v>
      </c>
      <c r="B201" s="12" t="s">
        <v>1118</v>
      </c>
      <c r="C201" s="12" t="s">
        <v>1119</v>
      </c>
      <c r="D201" s="11">
        <v>2025</v>
      </c>
      <c r="E201" s="12" t="s">
        <v>1120</v>
      </c>
      <c r="F201" s="12" t="s">
        <v>999</v>
      </c>
      <c r="G201" s="11" t="s">
        <v>131</v>
      </c>
      <c r="H201" s="11"/>
      <c r="I201" s="11"/>
      <c r="J201" s="12"/>
      <c r="K201" s="14" t="str">
        <f t="shared" si="3"/>
        <v>NO</v>
      </c>
      <c r="L201" s="12" t="s">
        <v>125</v>
      </c>
      <c r="M201" s="12" t="s">
        <v>1121</v>
      </c>
      <c r="N201" s="12" t="s">
        <v>1122</v>
      </c>
      <c r="O201" s="12" t="s">
        <v>1123</v>
      </c>
    </row>
    <row r="202" spans="1:15" ht="29" customHeight="1" x14ac:dyDescent="0.35">
      <c r="A202" s="11">
        <v>197</v>
      </c>
      <c r="B202" s="12" t="s">
        <v>1124</v>
      </c>
      <c r="C202" s="12" t="s">
        <v>1125</v>
      </c>
      <c r="D202" s="11">
        <v>2024</v>
      </c>
      <c r="E202" s="12" t="s">
        <v>178</v>
      </c>
      <c r="F202" s="12" t="s">
        <v>999</v>
      </c>
      <c r="G202" s="11" t="s">
        <v>131</v>
      </c>
      <c r="H202" s="11"/>
      <c r="I202" s="11"/>
      <c r="J202" s="12"/>
      <c r="K202" s="14" t="str">
        <f t="shared" si="3"/>
        <v>NO</v>
      </c>
      <c r="L202" s="12" t="s">
        <v>125</v>
      </c>
      <c r="M202" s="12" t="s">
        <v>1126</v>
      </c>
      <c r="N202" s="12" t="s">
        <v>1127</v>
      </c>
      <c r="O202" s="12" t="s">
        <v>1128</v>
      </c>
    </row>
    <row r="203" spans="1:15" ht="29" customHeight="1" x14ac:dyDescent="0.35">
      <c r="A203" s="11">
        <v>198</v>
      </c>
      <c r="B203" s="12" t="s">
        <v>1129</v>
      </c>
      <c r="C203" s="12" t="s">
        <v>1130</v>
      </c>
      <c r="D203" s="11">
        <v>2023</v>
      </c>
      <c r="E203" s="12" t="s">
        <v>178</v>
      </c>
      <c r="F203" s="12" t="s">
        <v>999</v>
      </c>
      <c r="G203" s="11" t="s">
        <v>131</v>
      </c>
      <c r="H203" s="11"/>
      <c r="I203" s="11"/>
      <c r="J203" s="12"/>
      <c r="K203" s="14" t="str">
        <f t="shared" si="3"/>
        <v>NO</v>
      </c>
      <c r="L203" s="12" t="s">
        <v>125</v>
      </c>
      <c r="M203" s="12" t="s">
        <v>1131</v>
      </c>
      <c r="N203" s="12" t="s">
        <v>1132</v>
      </c>
      <c r="O203" s="12" t="s">
        <v>1133</v>
      </c>
    </row>
    <row r="204" spans="1:15" ht="54" customHeight="1" x14ac:dyDescent="0.35">
      <c r="A204" s="11">
        <v>199</v>
      </c>
      <c r="B204" s="12" t="s">
        <v>1134</v>
      </c>
      <c r="C204" s="12" t="s">
        <v>1135</v>
      </c>
      <c r="D204" s="11">
        <v>2025</v>
      </c>
      <c r="E204" s="12" t="s">
        <v>1136</v>
      </c>
      <c r="F204" s="12" t="s">
        <v>1137</v>
      </c>
      <c r="G204" s="11" t="s">
        <v>124</v>
      </c>
      <c r="H204" s="11" t="s">
        <v>124</v>
      </c>
      <c r="I204" s="11" t="s">
        <v>124</v>
      </c>
      <c r="J204" s="12"/>
      <c r="K204" s="14" t="str">
        <f t="shared" si="3"/>
        <v>YES</v>
      </c>
      <c r="L204" s="12" t="s">
        <v>1138</v>
      </c>
      <c r="M204" s="12" t="s">
        <v>1139</v>
      </c>
      <c r="N204" s="12"/>
      <c r="O204" s="12" t="s">
        <v>1140</v>
      </c>
    </row>
    <row r="205" spans="1:15" ht="54" customHeight="1" x14ac:dyDescent="0.35">
      <c r="A205" s="11">
        <v>200</v>
      </c>
      <c r="B205" s="12" t="s">
        <v>1141</v>
      </c>
      <c r="C205" s="12" t="s">
        <v>1142</v>
      </c>
      <c r="D205" s="11">
        <v>2021</v>
      </c>
      <c r="E205" s="12" t="s">
        <v>398</v>
      </c>
      <c r="F205" s="12" t="s">
        <v>1137</v>
      </c>
      <c r="G205" s="11" t="s">
        <v>124</v>
      </c>
      <c r="H205" s="11" t="s">
        <v>124</v>
      </c>
      <c r="I205" s="11" t="s">
        <v>124</v>
      </c>
      <c r="J205" s="12"/>
      <c r="K205" s="14" t="str">
        <f t="shared" si="3"/>
        <v>YES</v>
      </c>
      <c r="L205" s="12" t="s">
        <v>1138</v>
      </c>
      <c r="M205" s="12" t="s">
        <v>1143</v>
      </c>
      <c r="N205" s="12"/>
      <c r="O205" s="12" t="s">
        <v>1144</v>
      </c>
    </row>
    <row r="206" spans="1:15" ht="54" customHeight="1" x14ac:dyDescent="0.35">
      <c r="A206" s="11">
        <v>201</v>
      </c>
      <c r="B206" s="12" t="s">
        <v>1145</v>
      </c>
      <c r="C206" s="12" t="s">
        <v>1146</v>
      </c>
      <c r="D206" s="11">
        <v>2017</v>
      </c>
      <c r="E206" s="12" t="s">
        <v>1147</v>
      </c>
      <c r="F206" s="12" t="s">
        <v>1137</v>
      </c>
      <c r="G206" s="11" t="s">
        <v>124</v>
      </c>
      <c r="H206" s="11" t="s">
        <v>124</v>
      </c>
      <c r="I206" s="11" t="s">
        <v>124</v>
      </c>
      <c r="J206" s="12"/>
      <c r="K206" s="14" t="str">
        <f t="shared" si="3"/>
        <v>YES</v>
      </c>
      <c r="L206" s="12" t="s">
        <v>1138</v>
      </c>
      <c r="M206" s="12" t="s">
        <v>1148</v>
      </c>
      <c r="N206" s="12"/>
      <c r="O206" s="12" t="s">
        <v>1149</v>
      </c>
    </row>
    <row r="207" spans="1:15" ht="54" customHeight="1" x14ac:dyDescent="0.35">
      <c r="A207" s="11">
        <v>202</v>
      </c>
      <c r="B207" s="12" t="s">
        <v>1150</v>
      </c>
      <c r="C207" s="12" t="s">
        <v>1151</v>
      </c>
      <c r="D207" s="11">
        <v>2023</v>
      </c>
      <c r="E207" s="12" t="s">
        <v>1152</v>
      </c>
      <c r="F207" s="12" t="s">
        <v>1153</v>
      </c>
      <c r="G207" s="11" t="s">
        <v>124</v>
      </c>
      <c r="H207" s="11" t="s">
        <v>124</v>
      </c>
      <c r="I207" s="11" t="s">
        <v>124</v>
      </c>
      <c r="J207" s="12"/>
      <c r="K207" s="14" t="str">
        <f t="shared" si="3"/>
        <v>YES</v>
      </c>
      <c r="L207" s="12" t="s">
        <v>1138</v>
      </c>
      <c r="M207" s="12" t="s">
        <v>1154</v>
      </c>
      <c r="N207" s="12"/>
      <c r="O207" s="12" t="s">
        <v>1155</v>
      </c>
    </row>
    <row r="208" spans="1:15" ht="54" customHeight="1" x14ac:dyDescent="0.35">
      <c r="A208" s="11">
        <v>203</v>
      </c>
      <c r="B208" s="12" t="s">
        <v>1156</v>
      </c>
      <c r="C208" s="12" t="s">
        <v>1157</v>
      </c>
      <c r="D208" s="11">
        <v>2022</v>
      </c>
      <c r="E208" s="12" t="s">
        <v>1158</v>
      </c>
      <c r="F208" s="12" t="s">
        <v>1137</v>
      </c>
      <c r="G208" s="11" t="s">
        <v>124</v>
      </c>
      <c r="H208" s="11" t="s">
        <v>124</v>
      </c>
      <c r="I208" s="11" t="s">
        <v>124</v>
      </c>
      <c r="J208" s="12"/>
      <c r="K208" s="14" t="str">
        <f t="shared" si="3"/>
        <v>YES</v>
      </c>
      <c r="L208" s="12" t="s">
        <v>1138</v>
      </c>
      <c r="M208" s="12" t="s">
        <v>1159</v>
      </c>
      <c r="N208" s="12"/>
      <c r="O208" s="12" t="s">
        <v>1160</v>
      </c>
    </row>
    <row r="209" spans="1:15" ht="54" customHeight="1" x14ac:dyDescent="0.35">
      <c r="A209" s="11">
        <v>204</v>
      </c>
      <c r="B209" s="12" t="s">
        <v>1161</v>
      </c>
      <c r="C209" s="12" t="s">
        <v>1162</v>
      </c>
      <c r="D209" s="11">
        <v>2023</v>
      </c>
      <c r="E209" s="12" t="s">
        <v>408</v>
      </c>
      <c r="F209" s="12" t="s">
        <v>1137</v>
      </c>
      <c r="G209" s="11" t="s">
        <v>124</v>
      </c>
      <c r="H209" s="11" t="s">
        <v>124</v>
      </c>
      <c r="I209" s="11" t="s">
        <v>124</v>
      </c>
      <c r="J209" s="12"/>
      <c r="K209" s="14" t="str">
        <f t="shared" si="3"/>
        <v>YES</v>
      </c>
      <c r="L209" s="12" t="s">
        <v>1138</v>
      </c>
      <c r="M209" s="12" t="s">
        <v>1163</v>
      </c>
      <c r="N209" s="12"/>
      <c r="O209" s="12" t="s">
        <v>1164</v>
      </c>
    </row>
    <row r="210" spans="1:15" ht="54" customHeight="1" x14ac:dyDescent="0.35">
      <c r="A210" s="11">
        <v>205</v>
      </c>
      <c r="B210" s="12" t="s">
        <v>1165</v>
      </c>
      <c r="C210" s="12" t="s">
        <v>1166</v>
      </c>
      <c r="D210" s="11">
        <v>2023</v>
      </c>
      <c r="E210" s="12" t="s">
        <v>408</v>
      </c>
      <c r="F210" s="12" t="s">
        <v>1137</v>
      </c>
      <c r="G210" s="11" t="s">
        <v>124</v>
      </c>
      <c r="H210" s="11" t="s">
        <v>124</v>
      </c>
      <c r="I210" s="11" t="s">
        <v>124</v>
      </c>
      <c r="J210" s="12"/>
      <c r="K210" s="14" t="str">
        <f t="shared" si="3"/>
        <v>YES</v>
      </c>
      <c r="L210" s="12" t="s">
        <v>1138</v>
      </c>
      <c r="M210" s="12" t="s">
        <v>1167</v>
      </c>
      <c r="N210" s="12"/>
      <c r="O210" s="12" t="s">
        <v>1168</v>
      </c>
    </row>
    <row r="211" spans="1:15" ht="54" customHeight="1" x14ac:dyDescent="0.35">
      <c r="A211" s="11">
        <v>206</v>
      </c>
      <c r="B211" s="12" t="s">
        <v>1169</v>
      </c>
      <c r="C211" s="12" t="s">
        <v>1170</v>
      </c>
      <c r="D211" s="11">
        <v>2023</v>
      </c>
      <c r="E211" s="12" t="s">
        <v>408</v>
      </c>
      <c r="F211" s="12" t="s">
        <v>1137</v>
      </c>
      <c r="G211" s="11" t="s">
        <v>124</v>
      </c>
      <c r="H211" s="11" t="s">
        <v>124</v>
      </c>
      <c r="I211" s="11" t="s">
        <v>124</v>
      </c>
      <c r="J211" s="12"/>
      <c r="K211" s="14" t="str">
        <f t="shared" si="3"/>
        <v>YES</v>
      </c>
      <c r="L211" s="12" t="s">
        <v>1138</v>
      </c>
      <c r="M211" s="12" t="s">
        <v>1171</v>
      </c>
      <c r="N211" s="12"/>
      <c r="O211" s="12" t="s">
        <v>1172</v>
      </c>
    </row>
    <row r="212" spans="1:15" ht="54" customHeight="1" x14ac:dyDescent="0.35">
      <c r="A212" s="11">
        <v>207</v>
      </c>
      <c r="B212" s="12" t="s">
        <v>1173</v>
      </c>
      <c r="C212" s="12" t="s">
        <v>1174</v>
      </c>
      <c r="D212" s="11">
        <v>2024</v>
      </c>
      <c r="E212" s="12" t="s">
        <v>1175</v>
      </c>
      <c r="F212" s="12" t="s">
        <v>1137</v>
      </c>
      <c r="G212" s="11" t="s">
        <v>124</v>
      </c>
      <c r="H212" s="11" t="s">
        <v>124</v>
      </c>
      <c r="I212" s="11" t="s">
        <v>124</v>
      </c>
      <c r="J212" s="12"/>
      <c r="K212" s="14" t="str">
        <f t="shared" si="3"/>
        <v>YES</v>
      </c>
      <c r="L212" s="12" t="s">
        <v>1138</v>
      </c>
      <c r="M212" s="12" t="s">
        <v>1176</v>
      </c>
      <c r="N212" s="12"/>
      <c r="O212" s="12" t="s">
        <v>1177</v>
      </c>
    </row>
    <row r="213" spans="1:15" ht="54" customHeight="1" x14ac:dyDescent="0.35">
      <c r="A213" s="11">
        <v>208</v>
      </c>
      <c r="B213" s="12" t="s">
        <v>1178</v>
      </c>
      <c r="C213" s="12" t="s">
        <v>1179</v>
      </c>
      <c r="D213" s="11">
        <v>2024</v>
      </c>
      <c r="E213" s="12" t="s">
        <v>1180</v>
      </c>
      <c r="F213" s="12" t="s">
        <v>1137</v>
      </c>
      <c r="G213" s="11" t="s">
        <v>124</v>
      </c>
      <c r="H213" s="11" t="s">
        <v>124</v>
      </c>
      <c r="I213" s="11" t="s">
        <v>124</v>
      </c>
      <c r="J213" s="12"/>
      <c r="K213" s="14" t="str">
        <f t="shared" si="3"/>
        <v>YES</v>
      </c>
      <c r="L213" s="12" t="s">
        <v>1138</v>
      </c>
      <c r="M213" s="12" t="s">
        <v>1181</v>
      </c>
      <c r="N213" s="12"/>
      <c r="O213" s="12" t="s">
        <v>1182</v>
      </c>
    </row>
    <row r="214" spans="1:15" ht="54" customHeight="1" x14ac:dyDescent="0.35">
      <c r="A214" s="11">
        <v>209</v>
      </c>
      <c r="B214" s="12" t="s">
        <v>1183</v>
      </c>
      <c r="C214" s="12" t="s">
        <v>1184</v>
      </c>
      <c r="D214" s="11">
        <v>2024</v>
      </c>
      <c r="E214" s="12" t="s">
        <v>1180</v>
      </c>
      <c r="F214" s="12" t="s">
        <v>1137</v>
      </c>
      <c r="G214" s="11" t="s">
        <v>124</v>
      </c>
      <c r="H214" s="11" t="s">
        <v>124</v>
      </c>
      <c r="I214" s="11" t="s">
        <v>124</v>
      </c>
      <c r="J214" s="12"/>
      <c r="K214" s="14" t="str">
        <f t="shared" si="3"/>
        <v>YES</v>
      </c>
      <c r="L214" s="12" t="s">
        <v>1138</v>
      </c>
      <c r="M214" s="12" t="s">
        <v>1185</v>
      </c>
      <c r="N214" s="12"/>
      <c r="O214" s="12" t="s">
        <v>1186</v>
      </c>
    </row>
    <row r="215" spans="1:15" ht="54" customHeight="1" x14ac:dyDescent="0.35">
      <c r="A215" s="11">
        <v>210</v>
      </c>
      <c r="B215" s="12" t="s">
        <v>1187</v>
      </c>
      <c r="C215" s="12" t="s">
        <v>1188</v>
      </c>
      <c r="D215" s="11">
        <v>2021</v>
      </c>
      <c r="E215" s="12" t="s">
        <v>1189</v>
      </c>
      <c r="F215" s="12" t="s">
        <v>1153</v>
      </c>
      <c r="G215" s="11" t="s">
        <v>124</v>
      </c>
      <c r="H215" s="11" t="s">
        <v>124</v>
      </c>
      <c r="I215" s="11" t="s">
        <v>124</v>
      </c>
      <c r="J215" s="12"/>
      <c r="K215" s="14" t="str">
        <f t="shared" si="3"/>
        <v>YES</v>
      </c>
      <c r="L215" s="12" t="s">
        <v>1138</v>
      </c>
      <c r="M215" s="12" t="s">
        <v>1190</v>
      </c>
      <c r="N215" s="12"/>
      <c r="O215" s="12" t="s">
        <v>1191</v>
      </c>
    </row>
    <row r="216" spans="1:15" x14ac:dyDescent="0.35">
      <c r="A216" s="12"/>
      <c r="B216" s="12"/>
      <c r="C216" s="12"/>
      <c r="D216" s="12"/>
      <c r="E216" s="12"/>
      <c r="F216" s="12"/>
      <c r="G216" s="12"/>
      <c r="H216" s="12"/>
      <c r="I216" s="12"/>
      <c r="J216" s="12"/>
      <c r="K216" s="15" t="str">
        <f t="shared" si="3"/>
        <v/>
      </c>
      <c r="L216" s="12"/>
      <c r="M216" s="12"/>
      <c r="N216" s="12"/>
      <c r="O216" s="12"/>
    </row>
    <row r="217" spans="1:15" x14ac:dyDescent="0.35">
      <c r="A217" s="12"/>
      <c r="B217" s="12"/>
      <c r="C217" s="12"/>
      <c r="D217" s="12"/>
      <c r="E217" s="12"/>
      <c r="F217" s="12"/>
      <c r="G217" s="12"/>
      <c r="H217" s="12"/>
      <c r="I217" s="12"/>
      <c r="J217" s="12"/>
      <c r="K217" s="15" t="str">
        <f t="shared" si="3"/>
        <v/>
      </c>
      <c r="L217" s="12"/>
      <c r="M217" s="12"/>
      <c r="N217" s="12"/>
      <c r="O217" s="12"/>
    </row>
    <row r="218" spans="1:15" x14ac:dyDescent="0.35">
      <c r="A218" s="12"/>
      <c r="B218" s="12"/>
      <c r="C218" s="12"/>
      <c r="D218" s="12"/>
      <c r="E218" s="12"/>
      <c r="F218" s="12"/>
      <c r="G218" s="12"/>
      <c r="H218" s="12"/>
      <c r="I218" s="12"/>
      <c r="J218" s="12"/>
      <c r="K218" s="15" t="str">
        <f t="shared" si="3"/>
        <v/>
      </c>
      <c r="L218" s="12"/>
      <c r="M218" s="12"/>
      <c r="N218" s="12"/>
      <c r="O218" s="12"/>
    </row>
    <row r="219" spans="1:15" x14ac:dyDescent="0.35">
      <c r="A219" s="12"/>
      <c r="B219" s="12"/>
      <c r="C219" s="12"/>
      <c r="D219" s="12"/>
      <c r="E219" s="12"/>
      <c r="F219" s="12"/>
      <c r="G219" s="12"/>
      <c r="H219" s="12"/>
      <c r="I219" s="12"/>
      <c r="J219" s="12"/>
      <c r="K219" s="15" t="str">
        <f t="shared" si="3"/>
        <v/>
      </c>
      <c r="L219" s="12"/>
      <c r="M219" s="12"/>
      <c r="N219" s="12"/>
      <c r="O219" s="12"/>
    </row>
    <row r="220" spans="1:15" x14ac:dyDescent="0.35">
      <c r="A220" s="12"/>
      <c r="B220" s="12"/>
      <c r="C220" s="12"/>
      <c r="D220" s="12"/>
      <c r="E220" s="12"/>
      <c r="F220" s="12"/>
      <c r="G220" s="12"/>
      <c r="H220" s="12"/>
      <c r="I220" s="12"/>
      <c r="J220" s="12"/>
      <c r="K220" s="15" t="str">
        <f t="shared" si="3"/>
        <v/>
      </c>
      <c r="L220" s="12"/>
      <c r="M220" s="12"/>
      <c r="N220" s="12"/>
      <c r="O220" s="12"/>
    </row>
    <row r="221" spans="1:15" x14ac:dyDescent="0.35">
      <c r="A221" s="12"/>
      <c r="B221" s="12"/>
      <c r="C221" s="12"/>
      <c r="D221" s="12"/>
      <c r="E221" s="12"/>
      <c r="F221" s="12"/>
      <c r="G221" s="12"/>
      <c r="H221" s="12"/>
      <c r="I221" s="12"/>
      <c r="J221" s="12"/>
      <c r="K221" s="15" t="str">
        <f t="shared" si="3"/>
        <v/>
      </c>
      <c r="L221" s="12"/>
      <c r="M221" s="12"/>
      <c r="N221" s="12"/>
      <c r="O221" s="12"/>
    </row>
    <row r="222" spans="1:15" x14ac:dyDescent="0.35">
      <c r="A222" s="12"/>
      <c r="B222" s="12"/>
      <c r="C222" s="12"/>
      <c r="D222" s="12"/>
      <c r="E222" s="12"/>
      <c r="F222" s="12"/>
      <c r="G222" s="12"/>
      <c r="H222" s="12"/>
      <c r="I222" s="12"/>
      <c r="J222" s="12"/>
      <c r="K222" s="15" t="str">
        <f t="shared" si="3"/>
        <v/>
      </c>
      <c r="L222" s="12"/>
      <c r="M222" s="12"/>
      <c r="N222" s="12"/>
      <c r="O222" s="12"/>
    </row>
    <row r="223" spans="1:15" x14ac:dyDescent="0.35">
      <c r="A223" s="12"/>
      <c r="B223" s="12"/>
      <c r="C223" s="12"/>
      <c r="D223" s="12"/>
      <c r="E223" s="12"/>
      <c r="F223" s="12"/>
      <c r="G223" s="12"/>
      <c r="H223" s="12"/>
      <c r="I223" s="12"/>
      <c r="J223" s="12"/>
      <c r="K223" s="15" t="str">
        <f t="shared" si="3"/>
        <v/>
      </c>
      <c r="L223" s="12"/>
      <c r="M223" s="12"/>
      <c r="N223" s="12"/>
      <c r="O223" s="12"/>
    </row>
    <row r="224" spans="1:15" x14ac:dyDescent="0.35">
      <c r="A224" s="12"/>
      <c r="B224" s="12"/>
      <c r="C224" s="12"/>
      <c r="D224" s="12"/>
      <c r="E224" s="12"/>
      <c r="F224" s="12"/>
      <c r="G224" s="12"/>
      <c r="H224" s="12"/>
      <c r="I224" s="12"/>
      <c r="J224" s="12"/>
      <c r="K224" s="15" t="str">
        <f t="shared" si="3"/>
        <v/>
      </c>
      <c r="L224" s="12"/>
      <c r="M224" s="12"/>
      <c r="N224" s="12"/>
      <c r="O224" s="12"/>
    </row>
    <row r="225" spans="1:15" x14ac:dyDescent="0.35">
      <c r="A225" s="12"/>
      <c r="B225" s="12"/>
      <c r="C225" s="12"/>
      <c r="D225" s="12"/>
      <c r="E225" s="12"/>
      <c r="F225" s="12"/>
      <c r="G225" s="12"/>
      <c r="H225" s="12"/>
      <c r="I225" s="12"/>
      <c r="J225" s="12"/>
      <c r="K225" s="15" t="str">
        <f t="shared" si="3"/>
        <v/>
      </c>
      <c r="L225" s="12"/>
      <c r="M225" s="12"/>
      <c r="N225" s="12"/>
      <c r="O225" s="12"/>
    </row>
    <row r="226" spans="1:15" x14ac:dyDescent="0.35">
      <c r="A226" s="12"/>
      <c r="B226" s="12"/>
      <c r="C226" s="12"/>
      <c r="D226" s="12"/>
      <c r="E226" s="12"/>
      <c r="F226" s="12"/>
      <c r="G226" s="12"/>
      <c r="H226" s="12"/>
      <c r="I226" s="12"/>
      <c r="J226" s="12"/>
      <c r="K226" s="15" t="str">
        <f t="shared" si="3"/>
        <v/>
      </c>
      <c r="L226" s="12"/>
      <c r="M226" s="12"/>
      <c r="N226" s="12"/>
      <c r="O226" s="12"/>
    </row>
    <row r="227" spans="1:15" x14ac:dyDescent="0.35">
      <c r="A227" s="12"/>
      <c r="B227" s="12"/>
      <c r="C227" s="12"/>
      <c r="D227" s="12"/>
      <c r="E227" s="12"/>
      <c r="F227" s="12"/>
      <c r="G227" s="12"/>
      <c r="H227" s="12"/>
      <c r="I227" s="12"/>
      <c r="J227" s="12"/>
      <c r="K227" s="15" t="str">
        <f t="shared" si="3"/>
        <v/>
      </c>
      <c r="L227" s="12"/>
      <c r="M227" s="12"/>
      <c r="N227" s="12"/>
      <c r="O227" s="12"/>
    </row>
    <row r="228" spans="1:15" x14ac:dyDescent="0.35">
      <c r="A228" s="12"/>
      <c r="B228" s="12"/>
      <c r="C228" s="12"/>
      <c r="D228" s="12"/>
      <c r="E228" s="12"/>
      <c r="F228" s="12"/>
      <c r="G228" s="12"/>
      <c r="H228" s="12"/>
      <c r="I228" s="12"/>
      <c r="J228" s="12"/>
      <c r="K228" s="15" t="str">
        <f t="shared" si="3"/>
        <v/>
      </c>
      <c r="L228" s="12"/>
      <c r="M228" s="12"/>
      <c r="N228" s="12"/>
      <c r="O228" s="12"/>
    </row>
    <row r="229" spans="1:15" x14ac:dyDescent="0.35">
      <c r="A229" s="12"/>
      <c r="B229" s="12"/>
      <c r="C229" s="12"/>
      <c r="D229" s="12"/>
      <c r="E229" s="12"/>
      <c r="F229" s="12"/>
      <c r="G229" s="12"/>
      <c r="H229" s="12"/>
      <c r="I229" s="12"/>
      <c r="J229" s="12"/>
      <c r="K229" s="15" t="str">
        <f t="shared" si="3"/>
        <v/>
      </c>
      <c r="L229" s="12"/>
      <c r="M229" s="12"/>
      <c r="N229" s="12"/>
      <c r="O229" s="12"/>
    </row>
    <row r="230" spans="1:15" x14ac:dyDescent="0.35">
      <c r="A230" s="12"/>
      <c r="B230" s="12"/>
      <c r="C230" s="12"/>
      <c r="D230" s="12"/>
      <c r="E230" s="12"/>
      <c r="F230" s="12"/>
      <c r="G230" s="12"/>
      <c r="H230" s="12"/>
      <c r="I230" s="12"/>
      <c r="J230" s="12"/>
      <c r="K230" s="15" t="str">
        <f t="shared" si="3"/>
        <v/>
      </c>
      <c r="L230" s="12"/>
      <c r="M230" s="12"/>
      <c r="N230" s="12"/>
      <c r="O230" s="12"/>
    </row>
    <row r="231" spans="1:15" x14ac:dyDescent="0.35">
      <c r="A231" s="12"/>
      <c r="B231" s="12"/>
      <c r="C231" s="12"/>
      <c r="D231" s="12"/>
      <c r="E231" s="12"/>
      <c r="F231" s="12"/>
      <c r="G231" s="12"/>
      <c r="H231" s="12"/>
      <c r="I231" s="12"/>
      <c r="J231" s="12"/>
      <c r="K231" s="15" t="str">
        <f t="shared" si="3"/>
        <v/>
      </c>
      <c r="L231" s="12"/>
      <c r="M231" s="12"/>
      <c r="N231" s="12"/>
      <c r="O231" s="12"/>
    </row>
    <row r="232" spans="1:15" x14ac:dyDescent="0.35">
      <c r="A232" s="12"/>
      <c r="B232" s="12"/>
      <c r="C232" s="12"/>
      <c r="D232" s="12"/>
      <c r="E232" s="12"/>
      <c r="F232" s="12"/>
      <c r="G232" s="12"/>
      <c r="H232" s="12"/>
      <c r="I232" s="12"/>
      <c r="J232" s="12"/>
      <c r="K232" s="15" t="str">
        <f t="shared" si="3"/>
        <v/>
      </c>
      <c r="L232" s="12"/>
      <c r="M232" s="12"/>
      <c r="N232" s="12"/>
      <c r="O232" s="12"/>
    </row>
    <row r="233" spans="1:15" x14ac:dyDescent="0.35">
      <c r="A233" s="12"/>
      <c r="B233" s="12"/>
      <c r="C233" s="12"/>
      <c r="D233" s="12"/>
      <c r="E233" s="12"/>
      <c r="F233" s="12"/>
      <c r="G233" s="12"/>
      <c r="H233" s="12"/>
      <c r="I233" s="12"/>
      <c r="J233" s="12"/>
      <c r="K233" s="15" t="str">
        <f t="shared" si="3"/>
        <v/>
      </c>
      <c r="L233" s="12"/>
      <c r="M233" s="12"/>
      <c r="N233" s="12"/>
      <c r="O233" s="12"/>
    </row>
    <row r="234" spans="1:15" x14ac:dyDescent="0.35">
      <c r="A234" s="12"/>
      <c r="B234" s="12"/>
      <c r="C234" s="12"/>
      <c r="D234" s="12"/>
      <c r="E234" s="12"/>
      <c r="F234" s="12"/>
      <c r="G234" s="12"/>
      <c r="H234" s="12"/>
      <c r="I234" s="12"/>
      <c r="J234" s="12"/>
      <c r="K234" s="15" t="str">
        <f t="shared" si="3"/>
        <v/>
      </c>
      <c r="L234" s="12"/>
      <c r="M234" s="12"/>
      <c r="N234" s="12"/>
      <c r="O234" s="12"/>
    </row>
    <row r="235" spans="1:15" x14ac:dyDescent="0.35">
      <c r="A235" s="12"/>
      <c r="B235" s="12"/>
      <c r="C235" s="12"/>
      <c r="D235" s="12"/>
      <c r="E235" s="12"/>
      <c r="F235" s="12"/>
      <c r="G235" s="12"/>
      <c r="H235" s="12"/>
      <c r="I235" s="12"/>
      <c r="J235" s="12"/>
      <c r="K235" s="15" t="str">
        <f t="shared" si="3"/>
        <v/>
      </c>
      <c r="L235" s="12"/>
      <c r="M235" s="12"/>
      <c r="N235" s="12"/>
      <c r="O235" s="12"/>
    </row>
  </sheetData>
  <autoFilter ref="A4:O235" xr:uid="{00000000-0009-0000-0000-000002000000}"/>
  <mergeCells count="1">
    <mergeCell ref="A2:L2"/>
  </mergeCells>
  <conditionalFormatting sqref="K6:K235">
    <cfRule type="cellIs" dxfId="0" priority="1" operator="equal">
      <formula>"YES"</formula>
    </cfRule>
  </conditionalFormatting>
  <dataValidations count="3">
    <dataValidation type="list" allowBlank="1" sqref="G6:I235" xr:uid="{00000000-0002-0000-0200-000000000000}">
      <formula1>"KEEP,DROP"</formula1>
    </dataValidation>
    <dataValidation type="list" allowBlank="1" sqref="J6:J235" xr:uid="{00000000-0002-0000-0200-000001000000}">
      <formula1>"Not peer-reviewed,Outside date range,Outside scope,Free full text unavailable,Duplicate/secondary version"</formula1>
    </dataValidation>
    <dataValidation type="list" allowBlank="1" sqref="L6:L235" xr:uid="{00000000-0002-0000-0200-000002000000}">
      <formula1>"Database search,Citation chasing"</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68"/>
  <sheetViews>
    <sheetView workbookViewId="0">
      <pane xSplit="2" ySplit="4" topLeftCell="C5" activePane="bottomRight" state="frozen"/>
      <selection pane="topRight"/>
      <selection pane="bottomLeft"/>
      <selection pane="bottomRight"/>
    </sheetView>
  </sheetViews>
  <sheetFormatPr defaultRowHeight="14.5" x14ac:dyDescent="0.35"/>
  <cols>
    <col min="1" max="1" width="5" customWidth="1"/>
    <col min="2" max="2" width="24" customWidth="1"/>
    <col min="3" max="3" width="7" customWidth="1"/>
    <col min="4" max="4" width="20" customWidth="1"/>
    <col min="5" max="5" width="15" customWidth="1"/>
    <col min="6" max="6" width="24" customWidth="1"/>
    <col min="7" max="7" width="28" customWidth="1"/>
    <col min="8" max="8" width="32" customWidth="1"/>
    <col min="9" max="9" width="36" customWidth="1"/>
    <col min="10" max="10" width="34" customWidth="1"/>
    <col min="11" max="11" width="22" customWidth="1"/>
    <col min="12" max="12" width="34" customWidth="1"/>
    <col min="13" max="13" width="22" customWidth="1"/>
    <col min="14" max="14" width="26" customWidth="1"/>
    <col min="15" max="15" width="9" customWidth="1"/>
  </cols>
  <sheetData>
    <row r="1" spans="1:15" ht="18" customHeight="1" x14ac:dyDescent="0.4">
      <c r="A1" s="10" t="s">
        <v>1192</v>
      </c>
    </row>
    <row r="2" spans="1:15" ht="28" customHeight="1" x14ac:dyDescent="0.35">
      <c r="A2" s="27" t="s">
        <v>1193</v>
      </c>
      <c r="B2" s="25"/>
      <c r="C2" s="25"/>
      <c r="D2" s="25"/>
      <c r="E2" s="25"/>
      <c r="F2" s="25"/>
      <c r="G2" s="25"/>
      <c r="H2" s="25"/>
      <c r="I2" s="25"/>
      <c r="J2" s="25"/>
      <c r="K2" s="25"/>
      <c r="L2" s="25"/>
      <c r="M2" s="25"/>
      <c r="N2" s="25"/>
      <c r="O2" s="25"/>
    </row>
    <row r="4" spans="1:15" ht="42" customHeight="1" x14ac:dyDescent="0.35">
      <c r="A4" s="3" t="s">
        <v>69</v>
      </c>
      <c r="B4" s="3" t="s">
        <v>1194</v>
      </c>
      <c r="C4" s="3" t="s">
        <v>108</v>
      </c>
      <c r="D4" s="3" t="s">
        <v>109</v>
      </c>
      <c r="E4" s="3" t="s">
        <v>1195</v>
      </c>
      <c r="F4" s="3" t="s">
        <v>1196</v>
      </c>
      <c r="G4" s="3" t="s">
        <v>1197</v>
      </c>
      <c r="H4" s="3" t="s">
        <v>1198</v>
      </c>
      <c r="I4" s="3" t="s">
        <v>1199</v>
      </c>
      <c r="J4" s="3" t="s">
        <v>1200</v>
      </c>
      <c r="K4" s="3" t="s">
        <v>1201</v>
      </c>
      <c r="L4" s="16" t="s">
        <v>1202</v>
      </c>
      <c r="M4" s="16" t="s">
        <v>110</v>
      </c>
      <c r="N4" s="16" t="s">
        <v>1203</v>
      </c>
      <c r="O4" s="3" t="s">
        <v>1204</v>
      </c>
    </row>
    <row r="5" spans="1:15" ht="60" customHeight="1" x14ac:dyDescent="0.35">
      <c r="A5" s="11">
        <v>1</v>
      </c>
      <c r="B5" s="12" t="s">
        <v>1205</v>
      </c>
      <c r="C5" s="11">
        <v>2021</v>
      </c>
      <c r="D5" s="12" t="s">
        <v>398</v>
      </c>
      <c r="E5" s="12" t="s">
        <v>1206</v>
      </c>
      <c r="F5" s="12" t="s">
        <v>1207</v>
      </c>
      <c r="G5" s="12" t="s">
        <v>1208</v>
      </c>
      <c r="H5" s="12" t="s">
        <v>1209</v>
      </c>
      <c r="I5" s="12" t="s">
        <v>1210</v>
      </c>
      <c r="J5" s="12" t="s">
        <v>1211</v>
      </c>
      <c r="K5" s="12" t="s">
        <v>49</v>
      </c>
      <c r="L5" s="12" t="s">
        <v>1212</v>
      </c>
      <c r="M5" s="12" t="s">
        <v>392</v>
      </c>
      <c r="N5" s="12" t="s">
        <v>1213</v>
      </c>
      <c r="O5" s="11">
        <v>50</v>
      </c>
    </row>
    <row r="6" spans="1:15" ht="60" customHeight="1" x14ac:dyDescent="0.35">
      <c r="A6" s="11">
        <v>2</v>
      </c>
      <c r="B6" s="12" t="s">
        <v>1214</v>
      </c>
      <c r="C6" s="11">
        <v>2022</v>
      </c>
      <c r="D6" s="12" t="s">
        <v>420</v>
      </c>
      <c r="E6" s="12" t="s">
        <v>1215</v>
      </c>
      <c r="F6" s="12" t="s">
        <v>1216</v>
      </c>
      <c r="G6" s="12" t="s">
        <v>1217</v>
      </c>
      <c r="H6" s="12" t="s">
        <v>1218</v>
      </c>
      <c r="I6" s="12" t="s">
        <v>1219</v>
      </c>
      <c r="J6" s="12" t="s">
        <v>1220</v>
      </c>
      <c r="K6" s="12" t="s">
        <v>49</v>
      </c>
      <c r="L6" s="12" t="s">
        <v>1221</v>
      </c>
      <c r="M6" s="12" t="s">
        <v>392</v>
      </c>
      <c r="N6" s="12" t="s">
        <v>1222</v>
      </c>
      <c r="O6" s="11">
        <v>66</v>
      </c>
    </row>
    <row r="7" spans="1:15" ht="60" customHeight="1" x14ac:dyDescent="0.35">
      <c r="A7" s="11">
        <v>3</v>
      </c>
      <c r="B7" s="12" t="s">
        <v>1223</v>
      </c>
      <c r="C7" s="11">
        <v>2022</v>
      </c>
      <c r="D7" s="12" t="s">
        <v>420</v>
      </c>
      <c r="E7" s="12" t="s">
        <v>1224</v>
      </c>
      <c r="F7" s="12" t="s">
        <v>1225</v>
      </c>
      <c r="G7" s="12" t="s">
        <v>1226</v>
      </c>
      <c r="H7" s="12" t="s">
        <v>1227</v>
      </c>
      <c r="I7" s="12" t="s">
        <v>1228</v>
      </c>
      <c r="J7" s="12" t="s">
        <v>1229</v>
      </c>
      <c r="K7" s="12" t="s">
        <v>49</v>
      </c>
      <c r="L7" s="12" t="s">
        <v>1230</v>
      </c>
      <c r="M7" s="12" t="s">
        <v>392</v>
      </c>
      <c r="N7" s="12" t="s">
        <v>1222</v>
      </c>
      <c r="O7" s="11">
        <v>55</v>
      </c>
    </row>
    <row r="8" spans="1:15" ht="60" customHeight="1" x14ac:dyDescent="0.35">
      <c r="A8" s="11">
        <v>4</v>
      </c>
      <c r="B8" s="12" t="s">
        <v>1231</v>
      </c>
      <c r="C8" s="11">
        <v>2022</v>
      </c>
      <c r="D8" s="12" t="s">
        <v>1158</v>
      </c>
      <c r="E8" s="12" t="s">
        <v>1232</v>
      </c>
      <c r="F8" s="12" t="s">
        <v>1233</v>
      </c>
      <c r="G8" s="12" t="s">
        <v>1234</v>
      </c>
      <c r="H8" s="12" t="s">
        <v>1235</v>
      </c>
      <c r="I8" s="12" t="s">
        <v>1236</v>
      </c>
      <c r="J8" s="12" t="s">
        <v>1237</v>
      </c>
      <c r="K8" s="12" t="s">
        <v>49</v>
      </c>
      <c r="L8" s="12" t="s">
        <v>1238</v>
      </c>
      <c r="M8" s="12" t="s">
        <v>1137</v>
      </c>
      <c r="N8" s="12" t="s">
        <v>1239</v>
      </c>
      <c r="O8" s="11">
        <v>203</v>
      </c>
    </row>
    <row r="9" spans="1:15" ht="60" customHeight="1" x14ac:dyDescent="0.35">
      <c r="A9" s="11">
        <v>5</v>
      </c>
      <c r="B9" s="12" t="s">
        <v>1240</v>
      </c>
      <c r="C9" s="11">
        <v>2022</v>
      </c>
      <c r="D9" s="12" t="s">
        <v>510</v>
      </c>
      <c r="E9" s="12" t="s">
        <v>1241</v>
      </c>
      <c r="F9" s="12" t="s">
        <v>1242</v>
      </c>
      <c r="G9" s="12" t="s">
        <v>1243</v>
      </c>
      <c r="H9" s="12" t="s">
        <v>1244</v>
      </c>
      <c r="I9" s="12" t="s">
        <v>1245</v>
      </c>
      <c r="J9" s="12" t="s">
        <v>1246</v>
      </c>
      <c r="K9" s="12" t="s">
        <v>49</v>
      </c>
      <c r="L9" s="12" t="s">
        <v>1247</v>
      </c>
      <c r="M9" s="12" t="s">
        <v>392</v>
      </c>
      <c r="N9" s="12" t="s">
        <v>1213</v>
      </c>
      <c r="O9" s="11">
        <v>73</v>
      </c>
    </row>
    <row r="10" spans="1:15" ht="60" customHeight="1" x14ac:dyDescent="0.35">
      <c r="A10" s="11">
        <v>6</v>
      </c>
      <c r="B10" s="12" t="s">
        <v>1248</v>
      </c>
      <c r="C10" s="11">
        <v>2023</v>
      </c>
      <c r="D10" s="12" t="s">
        <v>466</v>
      </c>
      <c r="E10" s="12" t="s">
        <v>1249</v>
      </c>
      <c r="F10" s="12" t="s">
        <v>1250</v>
      </c>
      <c r="G10" s="12" t="s">
        <v>1251</v>
      </c>
      <c r="H10" s="12" t="s">
        <v>1252</v>
      </c>
      <c r="I10" s="12" t="s">
        <v>1253</v>
      </c>
      <c r="J10" s="12" t="s">
        <v>1254</v>
      </c>
      <c r="K10" s="12" t="s">
        <v>49</v>
      </c>
      <c r="L10" s="12" t="s">
        <v>1255</v>
      </c>
      <c r="M10" s="12" t="s">
        <v>392</v>
      </c>
      <c r="N10" s="12" t="s">
        <v>1256</v>
      </c>
      <c r="O10" s="11">
        <v>64</v>
      </c>
    </row>
    <row r="11" spans="1:15" ht="60" customHeight="1" x14ac:dyDescent="0.35">
      <c r="A11" s="11">
        <v>7</v>
      </c>
      <c r="B11" s="12" t="s">
        <v>1257</v>
      </c>
      <c r="C11" s="11">
        <v>2023</v>
      </c>
      <c r="D11" s="12" t="s">
        <v>408</v>
      </c>
      <c r="E11" s="12" t="s">
        <v>1258</v>
      </c>
      <c r="F11" s="12" t="s">
        <v>1259</v>
      </c>
      <c r="G11" s="12" t="s">
        <v>1260</v>
      </c>
      <c r="H11" s="12" t="s">
        <v>1261</v>
      </c>
      <c r="I11" s="12" t="s">
        <v>1262</v>
      </c>
      <c r="J11" s="12" t="s">
        <v>1263</v>
      </c>
      <c r="K11" s="12" t="s">
        <v>49</v>
      </c>
      <c r="L11" s="12" t="s">
        <v>1264</v>
      </c>
      <c r="M11" s="12" t="s">
        <v>392</v>
      </c>
      <c r="N11" s="12" t="s">
        <v>1213</v>
      </c>
      <c r="O11" s="11">
        <v>52</v>
      </c>
    </row>
    <row r="12" spans="1:15" ht="60" customHeight="1" x14ac:dyDescent="0.35">
      <c r="A12" s="11">
        <v>8</v>
      </c>
      <c r="B12" s="12" t="s">
        <v>1265</v>
      </c>
      <c r="C12" s="11">
        <v>2023</v>
      </c>
      <c r="D12" s="12" t="s">
        <v>1152</v>
      </c>
      <c r="E12" s="12" t="s">
        <v>1266</v>
      </c>
      <c r="F12" s="12" t="s">
        <v>1267</v>
      </c>
      <c r="G12" s="12" t="s">
        <v>1268</v>
      </c>
      <c r="H12" s="12" t="s">
        <v>1269</v>
      </c>
      <c r="I12" s="12" t="s">
        <v>1270</v>
      </c>
      <c r="J12" s="12" t="s">
        <v>1271</v>
      </c>
      <c r="K12" s="12" t="s">
        <v>49</v>
      </c>
      <c r="L12" s="12" t="s">
        <v>1272</v>
      </c>
      <c r="M12" s="12" t="s">
        <v>1153</v>
      </c>
      <c r="N12" s="12" t="s">
        <v>1273</v>
      </c>
      <c r="O12" s="11">
        <v>202</v>
      </c>
    </row>
    <row r="13" spans="1:15" ht="60" customHeight="1" x14ac:dyDescent="0.35">
      <c r="A13" s="11">
        <v>9</v>
      </c>
      <c r="B13" s="12" t="s">
        <v>1274</v>
      </c>
      <c r="C13" s="11">
        <v>2023</v>
      </c>
      <c r="D13" s="12" t="s">
        <v>408</v>
      </c>
      <c r="E13" s="12" t="s">
        <v>1275</v>
      </c>
      <c r="F13" s="12" t="s">
        <v>1276</v>
      </c>
      <c r="G13" s="12" t="s">
        <v>1277</v>
      </c>
      <c r="H13" s="12" t="s">
        <v>1278</v>
      </c>
      <c r="I13" s="12" t="s">
        <v>1279</v>
      </c>
      <c r="J13" s="12" t="s">
        <v>1280</v>
      </c>
      <c r="K13" s="12" t="s">
        <v>49</v>
      </c>
      <c r="L13" s="12" t="s">
        <v>1281</v>
      </c>
      <c r="M13" s="12" t="s">
        <v>1137</v>
      </c>
      <c r="N13" s="12" t="s">
        <v>1213</v>
      </c>
      <c r="O13" s="11">
        <v>204</v>
      </c>
    </row>
    <row r="14" spans="1:15" ht="60" customHeight="1" x14ac:dyDescent="0.35">
      <c r="A14" s="11">
        <v>10</v>
      </c>
      <c r="B14" s="12" t="s">
        <v>1282</v>
      </c>
      <c r="C14" s="11">
        <v>2023</v>
      </c>
      <c r="D14" s="12" t="s">
        <v>408</v>
      </c>
      <c r="E14" s="12" t="s">
        <v>1283</v>
      </c>
      <c r="F14" s="12" t="s">
        <v>1284</v>
      </c>
      <c r="G14" s="12" t="s">
        <v>1285</v>
      </c>
      <c r="H14" s="12" t="s">
        <v>1286</v>
      </c>
      <c r="I14" s="12" t="s">
        <v>1287</v>
      </c>
      <c r="J14" s="12" t="s">
        <v>1288</v>
      </c>
      <c r="K14" s="12" t="s">
        <v>49</v>
      </c>
      <c r="L14" s="12" t="s">
        <v>1289</v>
      </c>
      <c r="M14" s="12" t="s">
        <v>1137</v>
      </c>
      <c r="N14" s="12" t="s">
        <v>1213</v>
      </c>
      <c r="O14" s="11">
        <v>205</v>
      </c>
    </row>
    <row r="15" spans="1:15" ht="60" customHeight="1" x14ac:dyDescent="0.35">
      <c r="A15" s="11">
        <v>11</v>
      </c>
      <c r="B15" s="12" t="s">
        <v>1290</v>
      </c>
      <c r="C15" s="11">
        <v>2023</v>
      </c>
      <c r="D15" s="12" t="s">
        <v>408</v>
      </c>
      <c r="E15" s="12" t="s">
        <v>1215</v>
      </c>
      <c r="F15" s="12" t="s">
        <v>1291</v>
      </c>
      <c r="G15" s="12" t="s">
        <v>1292</v>
      </c>
      <c r="H15" s="12" t="s">
        <v>1293</v>
      </c>
      <c r="I15" s="12" t="s">
        <v>1294</v>
      </c>
      <c r="J15" s="12" t="s">
        <v>1295</v>
      </c>
      <c r="K15" s="12" t="s">
        <v>49</v>
      </c>
      <c r="L15" s="12" t="s">
        <v>1296</v>
      </c>
      <c r="M15" s="12" t="s">
        <v>1137</v>
      </c>
      <c r="N15" s="12" t="s">
        <v>1213</v>
      </c>
      <c r="O15" s="11">
        <v>206</v>
      </c>
    </row>
    <row r="16" spans="1:15" ht="60" customHeight="1" x14ac:dyDescent="0.35">
      <c r="A16" s="11">
        <v>12</v>
      </c>
      <c r="B16" s="12" t="s">
        <v>1297</v>
      </c>
      <c r="C16" s="11">
        <v>2023</v>
      </c>
      <c r="D16" s="12" t="s">
        <v>403</v>
      </c>
      <c r="E16" s="12" t="s">
        <v>1298</v>
      </c>
      <c r="F16" s="12" t="s">
        <v>1299</v>
      </c>
      <c r="G16" s="12" t="s">
        <v>1300</v>
      </c>
      <c r="H16" s="12" t="s">
        <v>1301</v>
      </c>
      <c r="I16" s="12" t="s">
        <v>1302</v>
      </c>
      <c r="J16" s="12" t="s">
        <v>1303</v>
      </c>
      <c r="K16" s="12" t="s">
        <v>49</v>
      </c>
      <c r="L16" s="12" t="s">
        <v>1304</v>
      </c>
      <c r="M16" s="12" t="s">
        <v>392</v>
      </c>
      <c r="N16" s="12" t="s">
        <v>1213</v>
      </c>
      <c r="O16" s="11">
        <v>62</v>
      </c>
    </row>
    <row r="17" spans="1:15" ht="60" customHeight="1" x14ac:dyDescent="0.35">
      <c r="A17" s="11">
        <v>13</v>
      </c>
      <c r="B17" s="12" t="s">
        <v>1305</v>
      </c>
      <c r="C17" s="11">
        <v>2023</v>
      </c>
      <c r="D17" s="12" t="s">
        <v>403</v>
      </c>
      <c r="E17" s="12" t="s">
        <v>1215</v>
      </c>
      <c r="F17" s="12" t="s">
        <v>1306</v>
      </c>
      <c r="G17" s="12" t="s">
        <v>1307</v>
      </c>
      <c r="H17" s="12" t="s">
        <v>1308</v>
      </c>
      <c r="I17" s="12" t="s">
        <v>1309</v>
      </c>
      <c r="J17" s="12" t="s">
        <v>1310</v>
      </c>
      <c r="K17" s="12" t="s">
        <v>49</v>
      </c>
      <c r="L17" s="12" t="s">
        <v>1311</v>
      </c>
      <c r="M17" s="12" t="s">
        <v>392</v>
      </c>
      <c r="N17" s="12" t="s">
        <v>1213</v>
      </c>
      <c r="O17" s="11">
        <v>51</v>
      </c>
    </row>
    <row r="18" spans="1:15" ht="66.5" customHeight="1" x14ac:dyDescent="0.35">
      <c r="A18" s="11">
        <v>14</v>
      </c>
      <c r="B18" s="12" t="s">
        <v>1312</v>
      </c>
      <c r="C18" s="11">
        <v>2023</v>
      </c>
      <c r="D18" s="12" t="s">
        <v>502</v>
      </c>
      <c r="E18" s="12" t="s">
        <v>1313</v>
      </c>
      <c r="F18" s="12" t="s">
        <v>1314</v>
      </c>
      <c r="G18" s="12" t="s">
        <v>1315</v>
      </c>
      <c r="H18" s="12" t="s">
        <v>1316</v>
      </c>
      <c r="I18" s="12" t="s">
        <v>1317</v>
      </c>
      <c r="J18" s="12" t="s">
        <v>1318</v>
      </c>
      <c r="K18" s="12" t="s">
        <v>49</v>
      </c>
      <c r="L18" s="12" t="s">
        <v>1319</v>
      </c>
      <c r="M18" s="12" t="s">
        <v>392</v>
      </c>
      <c r="N18" s="12" t="s">
        <v>1320</v>
      </c>
      <c r="O18" s="11">
        <v>71</v>
      </c>
    </row>
    <row r="19" spans="1:15" ht="66.5" customHeight="1" x14ac:dyDescent="0.35">
      <c r="A19" s="11">
        <v>15</v>
      </c>
      <c r="B19" s="12" t="s">
        <v>1321</v>
      </c>
      <c r="C19" s="11">
        <v>2024</v>
      </c>
      <c r="D19" s="12" t="s">
        <v>172</v>
      </c>
      <c r="E19" s="12" t="s">
        <v>1322</v>
      </c>
      <c r="F19" s="12" t="s">
        <v>1323</v>
      </c>
      <c r="G19" s="12" t="s">
        <v>1324</v>
      </c>
      <c r="H19" s="12" t="s">
        <v>1325</v>
      </c>
      <c r="I19" s="12" t="s">
        <v>1326</v>
      </c>
      <c r="J19" s="12" t="s">
        <v>1327</v>
      </c>
      <c r="K19" s="12" t="s">
        <v>49</v>
      </c>
      <c r="L19" s="12" t="s">
        <v>1328</v>
      </c>
      <c r="M19" s="12" t="s">
        <v>271</v>
      </c>
      <c r="N19" s="12" t="s">
        <v>1213</v>
      </c>
      <c r="O19" s="11">
        <v>29</v>
      </c>
    </row>
    <row r="20" spans="1:15" ht="60" customHeight="1" x14ac:dyDescent="0.35">
      <c r="A20" s="11">
        <v>16</v>
      </c>
      <c r="B20" s="12" t="s">
        <v>1329</v>
      </c>
      <c r="C20" s="11">
        <v>2024</v>
      </c>
      <c r="D20" s="12" t="s">
        <v>1180</v>
      </c>
      <c r="E20" s="12" t="s">
        <v>1330</v>
      </c>
      <c r="F20" s="12" t="s">
        <v>1331</v>
      </c>
      <c r="G20" s="12" t="s">
        <v>1332</v>
      </c>
      <c r="H20" s="12" t="s">
        <v>1333</v>
      </c>
      <c r="I20" s="12" t="s">
        <v>1334</v>
      </c>
      <c r="J20" s="12" t="s">
        <v>1335</v>
      </c>
      <c r="K20" s="12" t="s">
        <v>49</v>
      </c>
      <c r="L20" s="12" t="s">
        <v>1336</v>
      </c>
      <c r="M20" s="12" t="s">
        <v>1137</v>
      </c>
      <c r="N20" s="12" t="s">
        <v>1213</v>
      </c>
      <c r="O20" s="11">
        <v>208</v>
      </c>
    </row>
    <row r="21" spans="1:15" ht="60" customHeight="1" x14ac:dyDescent="0.35">
      <c r="A21" s="11">
        <v>17</v>
      </c>
      <c r="B21" s="12" t="s">
        <v>1337</v>
      </c>
      <c r="C21" s="11">
        <v>2025</v>
      </c>
      <c r="D21" s="12" t="s">
        <v>265</v>
      </c>
      <c r="E21" s="12" t="s">
        <v>1283</v>
      </c>
      <c r="F21" s="12" t="s">
        <v>1338</v>
      </c>
      <c r="G21" s="12" t="s">
        <v>1339</v>
      </c>
      <c r="H21" s="12" t="s">
        <v>1340</v>
      </c>
      <c r="I21" s="12" t="s">
        <v>1341</v>
      </c>
      <c r="J21" s="12" t="s">
        <v>1342</v>
      </c>
      <c r="K21" s="12" t="s">
        <v>49</v>
      </c>
      <c r="L21" s="12" t="s">
        <v>1343</v>
      </c>
      <c r="M21" s="12" t="s">
        <v>123</v>
      </c>
      <c r="N21" s="12" t="s">
        <v>1344</v>
      </c>
      <c r="O21" s="11">
        <v>25</v>
      </c>
    </row>
    <row r="22" spans="1:15" ht="60" customHeight="1" x14ac:dyDescent="0.35">
      <c r="A22" s="11">
        <v>18</v>
      </c>
      <c r="B22" s="12" t="s">
        <v>1345</v>
      </c>
      <c r="C22" s="11">
        <v>2025</v>
      </c>
      <c r="D22" s="12" t="s">
        <v>122</v>
      </c>
      <c r="E22" s="12" t="s">
        <v>1266</v>
      </c>
      <c r="F22" s="12" t="s">
        <v>1346</v>
      </c>
      <c r="G22" s="12" t="s">
        <v>1347</v>
      </c>
      <c r="H22" s="12" t="s">
        <v>1348</v>
      </c>
      <c r="I22" s="12" t="s">
        <v>1349</v>
      </c>
      <c r="J22" s="12" t="s">
        <v>1350</v>
      </c>
      <c r="K22" s="12" t="s">
        <v>49</v>
      </c>
      <c r="L22" s="12" t="s">
        <v>1351</v>
      </c>
      <c r="M22" s="12" t="s">
        <v>123</v>
      </c>
      <c r="N22" s="12" t="s">
        <v>1273</v>
      </c>
      <c r="O22" s="11">
        <v>1</v>
      </c>
    </row>
    <row r="23" spans="1:15" ht="60" customHeight="1" x14ac:dyDescent="0.35">
      <c r="A23" s="11">
        <v>19</v>
      </c>
      <c r="B23" s="12" t="s">
        <v>1352</v>
      </c>
      <c r="C23" s="11">
        <v>2025</v>
      </c>
      <c r="D23" s="12" t="s">
        <v>366</v>
      </c>
      <c r="E23" s="12" t="s">
        <v>1322</v>
      </c>
      <c r="F23" s="12" t="s">
        <v>1353</v>
      </c>
      <c r="G23" s="12" t="s">
        <v>1354</v>
      </c>
      <c r="H23" s="12" t="s">
        <v>1355</v>
      </c>
      <c r="I23" s="12" t="s">
        <v>1356</v>
      </c>
      <c r="J23" s="12" t="s">
        <v>1357</v>
      </c>
      <c r="K23" s="12" t="s">
        <v>49</v>
      </c>
      <c r="L23" s="12" t="s">
        <v>1358</v>
      </c>
      <c r="M23" s="12" t="s">
        <v>271</v>
      </c>
      <c r="N23" s="12" t="s">
        <v>1213</v>
      </c>
      <c r="O23" s="11">
        <v>44</v>
      </c>
    </row>
    <row r="24" spans="1:15" ht="60" customHeight="1" x14ac:dyDescent="0.35">
      <c r="A24" s="11">
        <v>20</v>
      </c>
      <c r="B24" s="12" t="s">
        <v>1359</v>
      </c>
      <c r="C24" s="11">
        <v>2022</v>
      </c>
      <c r="D24" s="12" t="s">
        <v>270</v>
      </c>
      <c r="E24" s="12" t="s">
        <v>1275</v>
      </c>
      <c r="F24" s="12" t="s">
        <v>1360</v>
      </c>
      <c r="G24" s="12" t="s">
        <v>1361</v>
      </c>
      <c r="H24" s="12" t="s">
        <v>1362</v>
      </c>
      <c r="I24" s="12" t="s">
        <v>1363</v>
      </c>
      <c r="J24" s="12" t="s">
        <v>1364</v>
      </c>
      <c r="K24" s="12" t="s">
        <v>50</v>
      </c>
      <c r="L24" s="12" t="s">
        <v>1365</v>
      </c>
      <c r="M24" s="12" t="s">
        <v>271</v>
      </c>
      <c r="N24" s="12" t="s">
        <v>1213</v>
      </c>
      <c r="O24" s="11">
        <v>26</v>
      </c>
    </row>
    <row r="25" spans="1:15" ht="60" customHeight="1" x14ac:dyDescent="0.35">
      <c r="A25" s="11">
        <v>21</v>
      </c>
      <c r="B25" s="12" t="s">
        <v>1366</v>
      </c>
      <c r="C25" s="11">
        <v>2024</v>
      </c>
      <c r="D25" s="12" t="s">
        <v>155</v>
      </c>
      <c r="E25" s="12" t="s">
        <v>1367</v>
      </c>
      <c r="F25" s="12" t="s">
        <v>1368</v>
      </c>
      <c r="G25" s="12" t="s">
        <v>1369</v>
      </c>
      <c r="H25" s="12" t="s">
        <v>1370</v>
      </c>
      <c r="I25" s="12" t="s">
        <v>1371</v>
      </c>
      <c r="J25" s="12" t="s">
        <v>1372</v>
      </c>
      <c r="K25" s="12" t="s">
        <v>50</v>
      </c>
      <c r="L25" s="12" t="s">
        <v>1373</v>
      </c>
      <c r="M25" s="12" t="s">
        <v>123</v>
      </c>
      <c r="N25" s="12" t="s">
        <v>1374</v>
      </c>
      <c r="O25" s="11">
        <v>6</v>
      </c>
    </row>
    <row r="26" spans="1:15" ht="60" customHeight="1" x14ac:dyDescent="0.35">
      <c r="A26" s="11">
        <v>22</v>
      </c>
      <c r="B26" s="12" t="s">
        <v>1375</v>
      </c>
      <c r="C26" s="11">
        <v>2024</v>
      </c>
      <c r="D26" s="12" t="s">
        <v>172</v>
      </c>
      <c r="E26" s="12" t="s">
        <v>1376</v>
      </c>
      <c r="F26" s="12" t="s">
        <v>1377</v>
      </c>
      <c r="G26" s="12" t="s">
        <v>1378</v>
      </c>
      <c r="H26" s="12" t="s">
        <v>1379</v>
      </c>
      <c r="I26" s="12" t="s">
        <v>1380</v>
      </c>
      <c r="J26" s="12" t="s">
        <v>1381</v>
      </c>
      <c r="K26" s="12" t="s">
        <v>50</v>
      </c>
      <c r="L26" s="12" t="s">
        <v>1382</v>
      </c>
      <c r="M26" s="12" t="s">
        <v>123</v>
      </c>
      <c r="N26" s="12" t="s">
        <v>1222</v>
      </c>
      <c r="O26" s="11">
        <v>9</v>
      </c>
    </row>
    <row r="27" spans="1:15" ht="60" customHeight="1" x14ac:dyDescent="0.35">
      <c r="A27" s="11">
        <v>23</v>
      </c>
      <c r="B27" s="12" t="s">
        <v>1383</v>
      </c>
      <c r="C27" s="11">
        <v>2025</v>
      </c>
      <c r="D27" s="12" t="s">
        <v>341</v>
      </c>
      <c r="E27" s="12" t="s">
        <v>1376</v>
      </c>
      <c r="F27" s="12" t="s">
        <v>1384</v>
      </c>
      <c r="G27" s="12" t="s">
        <v>1385</v>
      </c>
      <c r="H27" s="12" t="s">
        <v>1386</v>
      </c>
      <c r="I27" s="12" t="s">
        <v>1387</v>
      </c>
      <c r="J27" s="12" t="s">
        <v>1388</v>
      </c>
      <c r="K27" s="12" t="s">
        <v>50</v>
      </c>
      <c r="L27" s="12" t="s">
        <v>1389</v>
      </c>
      <c r="M27" s="12" t="s">
        <v>271</v>
      </c>
      <c r="N27" s="12" t="s">
        <v>1213</v>
      </c>
      <c r="O27" s="11">
        <v>39</v>
      </c>
    </row>
    <row r="28" spans="1:15" ht="60" customHeight="1" x14ac:dyDescent="0.35">
      <c r="A28" s="11">
        <v>24</v>
      </c>
      <c r="B28" s="12" t="s">
        <v>1390</v>
      </c>
      <c r="C28" s="11">
        <v>2025</v>
      </c>
      <c r="D28" s="12" t="s">
        <v>249</v>
      </c>
      <c r="E28" s="12" t="s">
        <v>1391</v>
      </c>
      <c r="F28" s="12" t="s">
        <v>1392</v>
      </c>
      <c r="G28" s="12" t="s">
        <v>1393</v>
      </c>
      <c r="H28" s="12" t="s">
        <v>1394</v>
      </c>
      <c r="I28" s="12" t="s">
        <v>1395</v>
      </c>
      <c r="J28" s="12" t="s">
        <v>1396</v>
      </c>
      <c r="K28" s="12" t="s">
        <v>50</v>
      </c>
      <c r="L28" s="12" t="s">
        <v>1397</v>
      </c>
      <c r="M28" s="12" t="s">
        <v>237</v>
      </c>
      <c r="N28" s="12" t="s">
        <v>1344</v>
      </c>
      <c r="O28" s="11">
        <v>22</v>
      </c>
    </row>
    <row r="29" spans="1:15" ht="60" customHeight="1" x14ac:dyDescent="0.35">
      <c r="A29" s="11">
        <v>25</v>
      </c>
      <c r="B29" s="12" t="s">
        <v>1398</v>
      </c>
      <c r="C29" s="11">
        <v>2026</v>
      </c>
      <c r="D29" s="12" t="s">
        <v>356</v>
      </c>
      <c r="E29" s="12" t="s">
        <v>1399</v>
      </c>
      <c r="F29" s="12" t="s">
        <v>1400</v>
      </c>
      <c r="G29" s="12" t="s">
        <v>1401</v>
      </c>
      <c r="H29" s="12" t="s">
        <v>1402</v>
      </c>
      <c r="I29" s="12" t="s">
        <v>1403</v>
      </c>
      <c r="J29" s="12" t="s">
        <v>1404</v>
      </c>
      <c r="K29" s="12" t="s">
        <v>50</v>
      </c>
      <c r="L29" s="12" t="s">
        <v>1405</v>
      </c>
      <c r="M29" s="12" t="s">
        <v>271</v>
      </c>
      <c r="N29" s="12" t="s">
        <v>1406</v>
      </c>
      <c r="O29" s="11">
        <v>42</v>
      </c>
    </row>
    <row r="30" spans="1:15" ht="60" customHeight="1" x14ac:dyDescent="0.35">
      <c r="A30" s="11">
        <v>26</v>
      </c>
      <c r="B30" s="12" t="s">
        <v>1407</v>
      </c>
      <c r="C30" s="11">
        <v>2017</v>
      </c>
      <c r="D30" s="12" t="s">
        <v>884</v>
      </c>
      <c r="E30" s="12" t="s">
        <v>1408</v>
      </c>
      <c r="F30" s="12" t="s">
        <v>1409</v>
      </c>
      <c r="G30" s="12" t="s">
        <v>1410</v>
      </c>
      <c r="H30" s="12" t="s">
        <v>1411</v>
      </c>
      <c r="I30" s="12" t="s">
        <v>1412</v>
      </c>
      <c r="J30" s="12" t="s">
        <v>1413</v>
      </c>
      <c r="K30" s="12" t="s">
        <v>51</v>
      </c>
      <c r="L30" s="12" t="s">
        <v>1414</v>
      </c>
      <c r="M30" s="12" t="s">
        <v>885</v>
      </c>
      <c r="N30" s="12" t="s">
        <v>1213</v>
      </c>
      <c r="O30" s="11">
        <v>149</v>
      </c>
    </row>
    <row r="31" spans="1:15" ht="60" customHeight="1" x14ac:dyDescent="0.35">
      <c r="A31" s="11">
        <v>27</v>
      </c>
      <c r="B31" s="12" t="s">
        <v>1415</v>
      </c>
      <c r="C31" s="11">
        <v>2020</v>
      </c>
      <c r="D31" s="12" t="s">
        <v>515</v>
      </c>
      <c r="E31" s="12" t="s">
        <v>1275</v>
      </c>
      <c r="F31" s="12" t="s">
        <v>1416</v>
      </c>
      <c r="G31" s="12" t="s">
        <v>1417</v>
      </c>
      <c r="H31" s="12" t="s">
        <v>1418</v>
      </c>
      <c r="I31" s="12" t="s">
        <v>1419</v>
      </c>
      <c r="J31" s="12" t="s">
        <v>1420</v>
      </c>
      <c r="K31" s="12" t="s">
        <v>51</v>
      </c>
      <c r="L31" s="12" t="s">
        <v>1421</v>
      </c>
      <c r="M31" s="12" t="s">
        <v>516</v>
      </c>
      <c r="N31" s="12" t="s">
        <v>1406</v>
      </c>
      <c r="O31" s="11">
        <v>74</v>
      </c>
    </row>
    <row r="32" spans="1:15" ht="60" customHeight="1" x14ac:dyDescent="0.35">
      <c r="A32" s="11">
        <v>28</v>
      </c>
      <c r="B32" s="12" t="s">
        <v>1422</v>
      </c>
      <c r="C32" s="11">
        <v>2020</v>
      </c>
      <c r="D32" s="12" t="s">
        <v>544</v>
      </c>
      <c r="E32" s="12" t="s">
        <v>1423</v>
      </c>
      <c r="F32" s="12" t="s">
        <v>1424</v>
      </c>
      <c r="G32" s="12" t="s">
        <v>1425</v>
      </c>
      <c r="H32" s="12" t="s">
        <v>1426</v>
      </c>
      <c r="I32" s="12" t="s">
        <v>1427</v>
      </c>
      <c r="J32" s="12" t="s">
        <v>1428</v>
      </c>
      <c r="K32" s="12" t="s">
        <v>51</v>
      </c>
      <c r="L32" s="12" t="s">
        <v>1429</v>
      </c>
      <c r="M32" s="12" t="s">
        <v>516</v>
      </c>
      <c r="N32" s="12" t="s">
        <v>1213</v>
      </c>
      <c r="O32" s="11">
        <v>80</v>
      </c>
    </row>
    <row r="33" spans="1:15" ht="60" customHeight="1" x14ac:dyDescent="0.35">
      <c r="A33" s="11">
        <v>29</v>
      </c>
      <c r="B33" s="12" t="s">
        <v>1430</v>
      </c>
      <c r="C33" s="11">
        <v>2020</v>
      </c>
      <c r="D33" s="12" t="s">
        <v>530</v>
      </c>
      <c r="E33" s="12" t="s">
        <v>1431</v>
      </c>
      <c r="F33" s="12" t="s">
        <v>1432</v>
      </c>
      <c r="G33" s="12" t="s">
        <v>1425</v>
      </c>
      <c r="H33" s="12" t="s">
        <v>1433</v>
      </c>
      <c r="I33" s="12" t="s">
        <v>1434</v>
      </c>
      <c r="J33" s="12" t="s">
        <v>1435</v>
      </c>
      <c r="K33" s="12" t="s">
        <v>51</v>
      </c>
      <c r="L33" s="12" t="s">
        <v>1436</v>
      </c>
      <c r="M33" s="12" t="s">
        <v>516</v>
      </c>
      <c r="N33" s="12" t="s">
        <v>1213</v>
      </c>
      <c r="O33" s="11">
        <v>78</v>
      </c>
    </row>
    <row r="34" spans="1:15" ht="60" customHeight="1" x14ac:dyDescent="0.35">
      <c r="A34" s="11">
        <v>30</v>
      </c>
      <c r="B34" s="12" t="s">
        <v>1437</v>
      </c>
      <c r="C34" s="11">
        <v>2020</v>
      </c>
      <c r="D34" s="12" t="s">
        <v>530</v>
      </c>
      <c r="E34" s="12" t="s">
        <v>1423</v>
      </c>
      <c r="F34" s="12" t="s">
        <v>1438</v>
      </c>
      <c r="G34" s="12" t="s">
        <v>1425</v>
      </c>
      <c r="H34" s="12" t="s">
        <v>1439</v>
      </c>
      <c r="I34" s="12" t="s">
        <v>1440</v>
      </c>
      <c r="J34" s="12" t="s">
        <v>1441</v>
      </c>
      <c r="K34" s="12" t="s">
        <v>51</v>
      </c>
      <c r="L34" s="12" t="s">
        <v>1442</v>
      </c>
      <c r="M34" s="12" t="s">
        <v>516</v>
      </c>
      <c r="N34" s="12" t="s">
        <v>1213</v>
      </c>
      <c r="O34" s="11">
        <v>77</v>
      </c>
    </row>
    <row r="35" spans="1:15" ht="60" customHeight="1" x14ac:dyDescent="0.35">
      <c r="A35" s="11">
        <v>31</v>
      </c>
      <c r="B35" s="12" t="s">
        <v>1443</v>
      </c>
      <c r="C35" s="11">
        <v>2021</v>
      </c>
      <c r="D35" s="12" t="s">
        <v>525</v>
      </c>
      <c r="E35" s="12" t="s">
        <v>1275</v>
      </c>
      <c r="F35" s="12" t="s">
        <v>1444</v>
      </c>
      <c r="G35" s="12" t="s">
        <v>1445</v>
      </c>
      <c r="H35" s="12" t="s">
        <v>1446</v>
      </c>
      <c r="I35" s="12" t="s">
        <v>1447</v>
      </c>
      <c r="J35" s="12" t="s">
        <v>1448</v>
      </c>
      <c r="K35" s="12" t="s">
        <v>51</v>
      </c>
      <c r="L35" s="12" t="s">
        <v>1449</v>
      </c>
      <c r="M35" s="12" t="s">
        <v>516</v>
      </c>
      <c r="N35" s="12" t="s">
        <v>1320</v>
      </c>
      <c r="O35" s="11">
        <v>76</v>
      </c>
    </row>
    <row r="36" spans="1:15" ht="60" customHeight="1" x14ac:dyDescent="0.35">
      <c r="A36" s="11">
        <v>32</v>
      </c>
      <c r="B36" s="12" t="s">
        <v>1450</v>
      </c>
      <c r="C36" s="11">
        <v>2021</v>
      </c>
      <c r="D36" s="12" t="s">
        <v>609</v>
      </c>
      <c r="E36" s="12" t="s">
        <v>1423</v>
      </c>
      <c r="F36" s="12" t="s">
        <v>1451</v>
      </c>
      <c r="G36" s="12" t="s">
        <v>1452</v>
      </c>
      <c r="H36" s="12" t="s">
        <v>1453</v>
      </c>
      <c r="I36" s="12" t="s">
        <v>1454</v>
      </c>
      <c r="J36" s="12" t="s">
        <v>1455</v>
      </c>
      <c r="K36" s="12" t="s">
        <v>51</v>
      </c>
      <c r="L36" s="12" t="s">
        <v>1456</v>
      </c>
      <c r="M36" s="12" t="s">
        <v>516</v>
      </c>
      <c r="N36" s="12" t="s">
        <v>1213</v>
      </c>
      <c r="O36" s="11">
        <v>95</v>
      </c>
    </row>
    <row r="37" spans="1:15" ht="60" customHeight="1" x14ac:dyDescent="0.35">
      <c r="A37" s="11">
        <v>33</v>
      </c>
      <c r="B37" s="12" t="s">
        <v>1457</v>
      </c>
      <c r="C37" s="11">
        <v>2021</v>
      </c>
      <c r="D37" s="12" t="s">
        <v>940</v>
      </c>
      <c r="E37" s="12" t="s">
        <v>1458</v>
      </c>
      <c r="F37" s="12" t="s">
        <v>1459</v>
      </c>
      <c r="G37" s="12" t="s">
        <v>1460</v>
      </c>
      <c r="H37" s="12" t="s">
        <v>1461</v>
      </c>
      <c r="I37" s="12" t="s">
        <v>1462</v>
      </c>
      <c r="J37" s="12" t="s">
        <v>1463</v>
      </c>
      <c r="K37" s="12" t="s">
        <v>51</v>
      </c>
      <c r="L37" s="12" t="s">
        <v>1464</v>
      </c>
      <c r="M37" s="12" t="s">
        <v>885</v>
      </c>
      <c r="N37" s="12" t="s">
        <v>1213</v>
      </c>
      <c r="O37" s="11">
        <v>160</v>
      </c>
    </row>
    <row r="38" spans="1:15" ht="60" customHeight="1" x14ac:dyDescent="0.35">
      <c r="A38" s="11">
        <v>34</v>
      </c>
      <c r="B38" s="12" t="s">
        <v>1465</v>
      </c>
      <c r="C38" s="11">
        <v>2021</v>
      </c>
      <c r="D38" s="12" t="s">
        <v>398</v>
      </c>
      <c r="E38" s="12" t="s">
        <v>1423</v>
      </c>
      <c r="F38" s="12" t="s">
        <v>1466</v>
      </c>
      <c r="G38" s="12" t="s">
        <v>1425</v>
      </c>
      <c r="H38" s="12" t="s">
        <v>1467</v>
      </c>
      <c r="I38" s="12" t="s">
        <v>1468</v>
      </c>
      <c r="J38" s="12" t="s">
        <v>1469</v>
      </c>
      <c r="K38" s="12" t="s">
        <v>51</v>
      </c>
      <c r="L38" s="12" t="s">
        <v>1470</v>
      </c>
      <c r="M38" s="12" t="s">
        <v>516</v>
      </c>
      <c r="N38" s="12" t="s">
        <v>1213</v>
      </c>
      <c r="O38" s="11">
        <v>84</v>
      </c>
    </row>
    <row r="39" spans="1:15" ht="60" customHeight="1" x14ac:dyDescent="0.35">
      <c r="A39" s="11">
        <v>35</v>
      </c>
      <c r="B39" s="12" t="s">
        <v>1471</v>
      </c>
      <c r="C39" s="11">
        <v>2021</v>
      </c>
      <c r="D39" s="12" t="s">
        <v>573</v>
      </c>
      <c r="E39" s="12" t="s">
        <v>1423</v>
      </c>
      <c r="F39" s="12" t="s">
        <v>1472</v>
      </c>
      <c r="G39" s="12" t="s">
        <v>1425</v>
      </c>
      <c r="H39" s="12" t="s">
        <v>1473</v>
      </c>
      <c r="I39" s="12" t="s">
        <v>1474</v>
      </c>
      <c r="J39" s="12" t="s">
        <v>1475</v>
      </c>
      <c r="K39" s="12" t="s">
        <v>51</v>
      </c>
      <c r="L39" s="12" t="s">
        <v>1476</v>
      </c>
      <c r="M39" s="12" t="s">
        <v>516</v>
      </c>
      <c r="N39" s="12" t="s">
        <v>1213</v>
      </c>
      <c r="O39" s="11">
        <v>92</v>
      </c>
    </row>
    <row r="40" spans="1:15" ht="60" customHeight="1" x14ac:dyDescent="0.35">
      <c r="A40" s="11">
        <v>36</v>
      </c>
      <c r="B40" s="12" t="s">
        <v>1477</v>
      </c>
      <c r="C40" s="11">
        <v>2021</v>
      </c>
      <c r="D40" s="12" t="s">
        <v>539</v>
      </c>
      <c r="E40" s="12" t="s">
        <v>1478</v>
      </c>
      <c r="F40" s="12" t="s">
        <v>1479</v>
      </c>
      <c r="G40" s="12" t="s">
        <v>1480</v>
      </c>
      <c r="H40" s="12" t="s">
        <v>1481</v>
      </c>
      <c r="I40" s="12" t="s">
        <v>1482</v>
      </c>
      <c r="J40" s="12" t="s">
        <v>1483</v>
      </c>
      <c r="K40" s="12" t="s">
        <v>51</v>
      </c>
      <c r="L40" s="12" t="s">
        <v>1484</v>
      </c>
      <c r="M40" s="12" t="s">
        <v>516</v>
      </c>
      <c r="N40" s="12" t="s">
        <v>1213</v>
      </c>
      <c r="O40" s="11">
        <v>79</v>
      </c>
    </row>
    <row r="41" spans="1:15" ht="60" customHeight="1" x14ac:dyDescent="0.35">
      <c r="A41" s="11">
        <v>37</v>
      </c>
      <c r="B41" s="12" t="s">
        <v>1485</v>
      </c>
      <c r="C41" s="11">
        <v>2021</v>
      </c>
      <c r="D41" s="12" t="s">
        <v>573</v>
      </c>
      <c r="E41" s="12" t="s">
        <v>1423</v>
      </c>
      <c r="F41" s="12" t="s">
        <v>1486</v>
      </c>
      <c r="G41" s="12" t="s">
        <v>1425</v>
      </c>
      <c r="H41" s="12" t="s">
        <v>1487</v>
      </c>
      <c r="I41" s="12" t="s">
        <v>1488</v>
      </c>
      <c r="J41" s="12" t="s">
        <v>1489</v>
      </c>
      <c r="K41" s="12" t="s">
        <v>51</v>
      </c>
      <c r="L41" s="12" t="s">
        <v>1490</v>
      </c>
      <c r="M41" s="12" t="s">
        <v>516</v>
      </c>
      <c r="N41" s="12" t="s">
        <v>1213</v>
      </c>
      <c r="O41" s="11">
        <v>87</v>
      </c>
    </row>
    <row r="42" spans="1:15" ht="60" customHeight="1" x14ac:dyDescent="0.35">
      <c r="A42" s="11">
        <v>38</v>
      </c>
      <c r="B42" s="12" t="s">
        <v>1491</v>
      </c>
      <c r="C42" s="11">
        <v>2022</v>
      </c>
      <c r="D42" s="12" t="s">
        <v>554</v>
      </c>
      <c r="E42" s="12" t="s">
        <v>1492</v>
      </c>
      <c r="F42" s="12" t="s">
        <v>1493</v>
      </c>
      <c r="G42" s="12" t="s">
        <v>1494</v>
      </c>
      <c r="H42" s="12" t="s">
        <v>1495</v>
      </c>
      <c r="I42" s="12" t="s">
        <v>1496</v>
      </c>
      <c r="J42" s="12" t="s">
        <v>1497</v>
      </c>
      <c r="K42" s="12" t="s">
        <v>51</v>
      </c>
      <c r="L42" s="12" t="s">
        <v>1498</v>
      </c>
      <c r="M42" s="12" t="s">
        <v>516</v>
      </c>
      <c r="N42" s="12" t="s">
        <v>1213</v>
      </c>
      <c r="O42" s="11">
        <v>82</v>
      </c>
    </row>
    <row r="43" spans="1:15" ht="60" customHeight="1" x14ac:dyDescent="0.35">
      <c r="A43" s="11">
        <v>39</v>
      </c>
      <c r="B43" s="12" t="s">
        <v>1499</v>
      </c>
      <c r="C43" s="11">
        <v>2022</v>
      </c>
      <c r="D43" s="12" t="s">
        <v>420</v>
      </c>
      <c r="E43" s="12" t="s">
        <v>1500</v>
      </c>
      <c r="F43" s="12" t="s">
        <v>1501</v>
      </c>
      <c r="G43" s="12" t="s">
        <v>1502</v>
      </c>
      <c r="H43" s="12" t="s">
        <v>1503</v>
      </c>
      <c r="I43" s="12" t="s">
        <v>1504</v>
      </c>
      <c r="J43" s="12" t="s">
        <v>1505</v>
      </c>
      <c r="K43" s="12" t="s">
        <v>51</v>
      </c>
      <c r="L43" s="12" t="s">
        <v>1506</v>
      </c>
      <c r="M43" s="12" t="s">
        <v>516</v>
      </c>
      <c r="N43" s="12" t="s">
        <v>1213</v>
      </c>
      <c r="O43" s="11">
        <v>91</v>
      </c>
    </row>
    <row r="44" spans="1:15" ht="60" customHeight="1" x14ac:dyDescent="0.35">
      <c r="A44" s="11">
        <v>40</v>
      </c>
      <c r="B44" s="12" t="s">
        <v>1507</v>
      </c>
      <c r="C44" s="11">
        <v>2022</v>
      </c>
      <c r="D44" s="12" t="s">
        <v>270</v>
      </c>
      <c r="E44" s="12" t="s">
        <v>1431</v>
      </c>
      <c r="F44" s="12" t="s">
        <v>1508</v>
      </c>
      <c r="G44" s="12" t="s">
        <v>1509</v>
      </c>
      <c r="H44" s="12" t="s">
        <v>1510</v>
      </c>
      <c r="I44" s="12" t="s">
        <v>1511</v>
      </c>
      <c r="J44" s="12" t="s">
        <v>1512</v>
      </c>
      <c r="K44" s="12" t="s">
        <v>51</v>
      </c>
      <c r="L44" s="12" t="s">
        <v>1513</v>
      </c>
      <c r="M44" s="12" t="s">
        <v>516</v>
      </c>
      <c r="N44" s="12" t="s">
        <v>1213</v>
      </c>
      <c r="O44" s="11">
        <v>94</v>
      </c>
    </row>
    <row r="45" spans="1:15" ht="60" customHeight="1" x14ac:dyDescent="0.35">
      <c r="A45" s="11">
        <v>41</v>
      </c>
      <c r="B45" s="12" t="s">
        <v>1514</v>
      </c>
      <c r="C45" s="11">
        <v>2022</v>
      </c>
      <c r="D45" s="12" t="s">
        <v>554</v>
      </c>
      <c r="E45" s="12" t="s">
        <v>1492</v>
      </c>
      <c r="F45" s="12" t="s">
        <v>1515</v>
      </c>
      <c r="G45" s="12" t="s">
        <v>1516</v>
      </c>
      <c r="H45" s="12" t="s">
        <v>1517</v>
      </c>
      <c r="I45" s="12" t="s">
        <v>1518</v>
      </c>
      <c r="J45" s="12" t="s">
        <v>1519</v>
      </c>
      <c r="K45" s="12" t="s">
        <v>51</v>
      </c>
      <c r="L45" s="12" t="s">
        <v>1520</v>
      </c>
      <c r="M45" s="12" t="s">
        <v>516</v>
      </c>
      <c r="N45" s="12" t="s">
        <v>1213</v>
      </c>
      <c r="O45" s="11">
        <v>85</v>
      </c>
    </row>
    <row r="46" spans="1:15" ht="66.5" customHeight="1" x14ac:dyDescent="0.35">
      <c r="A46" s="11">
        <v>42</v>
      </c>
      <c r="B46" s="12" t="s">
        <v>1521</v>
      </c>
      <c r="C46" s="11">
        <v>2022</v>
      </c>
      <c r="D46" s="12" t="s">
        <v>587</v>
      </c>
      <c r="E46" s="12" t="s">
        <v>1423</v>
      </c>
      <c r="F46" s="12" t="s">
        <v>1522</v>
      </c>
      <c r="G46" s="12" t="s">
        <v>1425</v>
      </c>
      <c r="H46" s="12" t="s">
        <v>1523</v>
      </c>
      <c r="I46" s="12" t="s">
        <v>1524</v>
      </c>
      <c r="J46" s="12" t="s">
        <v>1525</v>
      </c>
      <c r="K46" s="12" t="s">
        <v>51</v>
      </c>
      <c r="L46" s="12" t="s">
        <v>1526</v>
      </c>
      <c r="M46" s="12" t="s">
        <v>516</v>
      </c>
      <c r="N46" s="12" t="s">
        <v>1213</v>
      </c>
      <c r="O46" s="11">
        <v>90</v>
      </c>
    </row>
    <row r="47" spans="1:15" ht="60" customHeight="1" x14ac:dyDescent="0.35">
      <c r="A47" s="11">
        <v>43</v>
      </c>
      <c r="B47" s="12" t="s">
        <v>1527</v>
      </c>
      <c r="C47" s="11">
        <v>2023</v>
      </c>
      <c r="D47" s="12" t="s">
        <v>520</v>
      </c>
      <c r="E47" s="12" t="s">
        <v>1249</v>
      </c>
      <c r="F47" s="12" t="s">
        <v>1528</v>
      </c>
      <c r="G47" s="12" t="s">
        <v>1529</v>
      </c>
      <c r="H47" s="12" t="s">
        <v>1530</v>
      </c>
      <c r="I47" s="12" t="s">
        <v>1531</v>
      </c>
      <c r="J47" s="12" t="s">
        <v>1532</v>
      </c>
      <c r="K47" s="12" t="s">
        <v>51</v>
      </c>
      <c r="L47" s="12" t="s">
        <v>1533</v>
      </c>
      <c r="M47" s="12" t="s">
        <v>516</v>
      </c>
      <c r="N47" s="12" t="s">
        <v>1213</v>
      </c>
      <c r="O47" s="11">
        <v>75</v>
      </c>
    </row>
    <row r="48" spans="1:15" ht="60" customHeight="1" x14ac:dyDescent="0.35">
      <c r="A48" s="11">
        <v>44</v>
      </c>
      <c r="B48" s="12" t="s">
        <v>1534</v>
      </c>
      <c r="C48" s="11">
        <v>2024</v>
      </c>
      <c r="D48" s="12" t="s">
        <v>890</v>
      </c>
      <c r="E48" s="12" t="s">
        <v>1275</v>
      </c>
      <c r="F48" s="12" t="s">
        <v>1535</v>
      </c>
      <c r="G48" s="12" t="s">
        <v>1536</v>
      </c>
      <c r="H48" s="12" t="s">
        <v>1537</v>
      </c>
      <c r="I48" s="12" t="s">
        <v>1538</v>
      </c>
      <c r="J48" s="12" t="s">
        <v>1539</v>
      </c>
      <c r="K48" s="12" t="s">
        <v>51</v>
      </c>
      <c r="L48" s="12" t="s">
        <v>1540</v>
      </c>
      <c r="M48" s="12" t="s">
        <v>885</v>
      </c>
      <c r="N48" s="12" t="s">
        <v>1541</v>
      </c>
      <c r="O48" s="11">
        <v>150</v>
      </c>
    </row>
    <row r="49" spans="1:15" ht="60" customHeight="1" x14ac:dyDescent="0.35">
      <c r="A49" s="11">
        <v>45</v>
      </c>
      <c r="B49" s="12" t="s">
        <v>1542</v>
      </c>
      <c r="C49" s="11">
        <v>2024</v>
      </c>
      <c r="D49" s="12" t="s">
        <v>569</v>
      </c>
      <c r="E49" s="12" t="s">
        <v>1543</v>
      </c>
      <c r="F49" s="12" t="s">
        <v>1544</v>
      </c>
      <c r="G49" s="12" t="s">
        <v>1545</v>
      </c>
      <c r="H49" s="12" t="s">
        <v>1546</v>
      </c>
      <c r="I49" s="12" t="s">
        <v>1547</v>
      </c>
      <c r="J49" s="12" t="s">
        <v>1548</v>
      </c>
      <c r="K49" s="12" t="s">
        <v>51</v>
      </c>
      <c r="L49" s="12" t="s">
        <v>1549</v>
      </c>
      <c r="M49" s="12" t="s">
        <v>516</v>
      </c>
      <c r="N49" s="12" t="s">
        <v>1406</v>
      </c>
      <c r="O49" s="11">
        <v>86</v>
      </c>
    </row>
    <row r="50" spans="1:15" ht="60" customHeight="1" x14ac:dyDescent="0.35">
      <c r="A50" s="11">
        <v>46</v>
      </c>
      <c r="B50" s="12" t="s">
        <v>1550</v>
      </c>
      <c r="C50" s="11">
        <v>2024</v>
      </c>
      <c r="D50" s="12" t="s">
        <v>614</v>
      </c>
      <c r="E50" s="12" t="s">
        <v>1249</v>
      </c>
      <c r="F50" s="12" t="s">
        <v>1551</v>
      </c>
      <c r="G50" s="12" t="s">
        <v>1552</v>
      </c>
      <c r="H50" s="12" t="s">
        <v>1553</v>
      </c>
      <c r="I50" s="12" t="s">
        <v>1554</v>
      </c>
      <c r="J50" s="12" t="s">
        <v>1555</v>
      </c>
      <c r="K50" s="12" t="s">
        <v>51</v>
      </c>
      <c r="L50" s="12" t="s">
        <v>1556</v>
      </c>
      <c r="M50" s="12" t="s">
        <v>516</v>
      </c>
      <c r="N50" s="12" t="s">
        <v>1344</v>
      </c>
      <c r="O50" s="11">
        <v>96</v>
      </c>
    </row>
    <row r="51" spans="1:15" ht="60" customHeight="1" x14ac:dyDescent="0.35">
      <c r="A51" s="11">
        <v>47</v>
      </c>
      <c r="B51" s="12" t="s">
        <v>1557</v>
      </c>
      <c r="C51" s="11">
        <v>2025</v>
      </c>
      <c r="D51" s="12" t="s">
        <v>341</v>
      </c>
      <c r="E51" s="12" t="s">
        <v>1558</v>
      </c>
      <c r="F51" s="12" t="s">
        <v>1559</v>
      </c>
      <c r="G51" s="12" t="s">
        <v>1560</v>
      </c>
      <c r="H51" s="12" t="s">
        <v>1561</v>
      </c>
      <c r="I51" s="12" t="s">
        <v>1562</v>
      </c>
      <c r="J51" s="12" t="s">
        <v>1563</v>
      </c>
      <c r="K51" s="12" t="s">
        <v>51</v>
      </c>
      <c r="L51" s="12" t="s">
        <v>1564</v>
      </c>
      <c r="M51" s="12" t="s">
        <v>885</v>
      </c>
      <c r="N51" s="12" t="s">
        <v>1213</v>
      </c>
      <c r="O51" s="11">
        <v>166</v>
      </c>
    </row>
    <row r="52" spans="1:15" ht="60" customHeight="1" x14ac:dyDescent="0.35">
      <c r="A52" s="11">
        <v>48</v>
      </c>
      <c r="B52" s="12" t="s">
        <v>1565</v>
      </c>
      <c r="C52" s="11">
        <v>2025</v>
      </c>
      <c r="D52" s="12" t="s">
        <v>960</v>
      </c>
      <c r="E52" s="12" t="s">
        <v>1566</v>
      </c>
      <c r="F52" s="12" t="s">
        <v>1567</v>
      </c>
      <c r="G52" s="12" t="s">
        <v>1568</v>
      </c>
      <c r="H52" s="12" t="s">
        <v>1569</v>
      </c>
      <c r="I52" s="12" t="s">
        <v>1570</v>
      </c>
      <c r="J52" s="12" t="s">
        <v>1571</v>
      </c>
      <c r="K52" s="12" t="s">
        <v>51</v>
      </c>
      <c r="L52" s="12" t="s">
        <v>1572</v>
      </c>
      <c r="M52" s="12" t="s">
        <v>885</v>
      </c>
      <c r="N52" s="12" t="s">
        <v>1541</v>
      </c>
      <c r="O52" s="11">
        <v>165</v>
      </c>
    </row>
    <row r="53" spans="1:15" ht="60" customHeight="1" x14ac:dyDescent="0.35">
      <c r="A53" s="11">
        <v>49</v>
      </c>
      <c r="B53" s="12" t="s">
        <v>1573</v>
      </c>
      <c r="C53" s="11">
        <v>2025</v>
      </c>
      <c r="D53" s="12" t="s">
        <v>549</v>
      </c>
      <c r="E53" s="12" t="s">
        <v>1423</v>
      </c>
      <c r="F53" s="12" t="s">
        <v>1574</v>
      </c>
      <c r="G53" s="12" t="s">
        <v>1575</v>
      </c>
      <c r="H53" s="12" t="s">
        <v>1576</v>
      </c>
      <c r="I53" s="12" t="s">
        <v>1577</v>
      </c>
      <c r="J53" s="12" t="s">
        <v>1578</v>
      </c>
      <c r="K53" s="12" t="s">
        <v>51</v>
      </c>
      <c r="L53" s="12" t="s">
        <v>1579</v>
      </c>
      <c r="M53" s="12" t="s">
        <v>516</v>
      </c>
      <c r="N53" s="12" t="s">
        <v>1580</v>
      </c>
      <c r="O53" s="11">
        <v>81</v>
      </c>
    </row>
    <row r="54" spans="1:15" ht="60" customHeight="1" x14ac:dyDescent="0.35">
      <c r="A54" s="11">
        <v>50</v>
      </c>
      <c r="B54" s="12" t="s">
        <v>1581</v>
      </c>
      <c r="C54" s="11">
        <v>2025</v>
      </c>
      <c r="D54" s="12" t="s">
        <v>366</v>
      </c>
      <c r="E54" s="12" t="s">
        <v>1582</v>
      </c>
      <c r="F54" s="12" t="s">
        <v>1583</v>
      </c>
      <c r="G54" s="12" t="s">
        <v>1584</v>
      </c>
      <c r="H54" s="12" t="s">
        <v>1585</v>
      </c>
      <c r="I54" s="12" t="s">
        <v>1586</v>
      </c>
      <c r="J54" s="12" t="s">
        <v>1587</v>
      </c>
      <c r="K54" s="12" t="s">
        <v>51</v>
      </c>
      <c r="L54" s="12" t="s">
        <v>1588</v>
      </c>
      <c r="M54" s="12" t="s">
        <v>516</v>
      </c>
      <c r="N54" s="12" t="s">
        <v>1213</v>
      </c>
      <c r="O54" s="11">
        <v>97</v>
      </c>
    </row>
    <row r="55" spans="1:15" ht="60" customHeight="1" x14ac:dyDescent="0.35">
      <c r="A55" s="11">
        <v>51</v>
      </c>
      <c r="B55" s="12" t="s">
        <v>1589</v>
      </c>
      <c r="C55" s="11">
        <v>2021</v>
      </c>
      <c r="D55" s="12" t="s">
        <v>398</v>
      </c>
      <c r="E55" s="12" t="s">
        <v>1275</v>
      </c>
      <c r="F55" s="12" t="s">
        <v>1590</v>
      </c>
      <c r="G55" s="12" t="s">
        <v>1591</v>
      </c>
      <c r="H55" s="12" t="s">
        <v>1592</v>
      </c>
      <c r="I55" s="12" t="s">
        <v>1593</v>
      </c>
      <c r="J55" s="12" t="s">
        <v>1594</v>
      </c>
      <c r="K55" s="12" t="s">
        <v>52</v>
      </c>
      <c r="L55" s="12" t="s">
        <v>1595</v>
      </c>
      <c r="M55" s="12" t="s">
        <v>1137</v>
      </c>
      <c r="N55" s="12" t="s">
        <v>1213</v>
      </c>
      <c r="O55" s="11">
        <v>200</v>
      </c>
    </row>
    <row r="56" spans="1:15" ht="60" customHeight="1" x14ac:dyDescent="0.35">
      <c r="A56" s="11">
        <v>52</v>
      </c>
      <c r="B56" s="12" t="s">
        <v>1596</v>
      </c>
      <c r="C56" s="11">
        <v>2021</v>
      </c>
      <c r="D56" s="12" t="s">
        <v>1189</v>
      </c>
      <c r="E56" s="12" t="s">
        <v>1367</v>
      </c>
      <c r="F56" s="12" t="s">
        <v>1597</v>
      </c>
      <c r="G56" s="12" t="s">
        <v>1598</v>
      </c>
      <c r="H56" s="12" t="s">
        <v>1599</v>
      </c>
      <c r="I56" s="12" t="s">
        <v>1600</v>
      </c>
      <c r="J56" s="12" t="s">
        <v>1601</v>
      </c>
      <c r="K56" s="12" t="s">
        <v>52</v>
      </c>
      <c r="L56" s="12" t="s">
        <v>1602</v>
      </c>
      <c r="M56" s="12" t="s">
        <v>1153</v>
      </c>
      <c r="N56" s="12" t="s">
        <v>1213</v>
      </c>
      <c r="O56" s="11">
        <v>210</v>
      </c>
    </row>
    <row r="57" spans="1:15" ht="60" customHeight="1" x14ac:dyDescent="0.35">
      <c r="A57" s="11">
        <v>53</v>
      </c>
      <c r="B57" s="12" t="s">
        <v>1603</v>
      </c>
      <c r="C57" s="11">
        <v>2023</v>
      </c>
      <c r="D57" s="12" t="s">
        <v>677</v>
      </c>
      <c r="E57" s="12" t="s">
        <v>1266</v>
      </c>
      <c r="F57" s="12" t="s">
        <v>1604</v>
      </c>
      <c r="G57" s="12" t="s">
        <v>1605</v>
      </c>
      <c r="H57" s="12" t="s">
        <v>1606</v>
      </c>
      <c r="I57" s="12" t="s">
        <v>1607</v>
      </c>
      <c r="J57" s="12" t="s">
        <v>1608</v>
      </c>
      <c r="K57" s="12" t="s">
        <v>52</v>
      </c>
      <c r="L57" s="12" t="s">
        <v>1609</v>
      </c>
      <c r="M57" s="12" t="s">
        <v>630</v>
      </c>
      <c r="N57" s="12" t="s">
        <v>1273</v>
      </c>
      <c r="O57" s="11">
        <v>107</v>
      </c>
    </row>
    <row r="58" spans="1:15" ht="60" customHeight="1" x14ac:dyDescent="0.35">
      <c r="A58" s="11">
        <v>54</v>
      </c>
      <c r="B58" s="12" t="s">
        <v>1610</v>
      </c>
      <c r="C58" s="11">
        <v>2024</v>
      </c>
      <c r="D58" s="12" t="s">
        <v>935</v>
      </c>
      <c r="E58" s="12" t="s">
        <v>1611</v>
      </c>
      <c r="F58" s="12" t="s">
        <v>1612</v>
      </c>
      <c r="G58" s="12" t="s">
        <v>1613</v>
      </c>
      <c r="H58" s="12" t="s">
        <v>1614</v>
      </c>
      <c r="I58" s="12" t="s">
        <v>1615</v>
      </c>
      <c r="J58" s="12" t="s">
        <v>1616</v>
      </c>
      <c r="K58" s="12" t="s">
        <v>52</v>
      </c>
      <c r="L58" s="12" t="s">
        <v>1617</v>
      </c>
      <c r="M58" s="12" t="s">
        <v>885</v>
      </c>
      <c r="N58" s="12" t="s">
        <v>1213</v>
      </c>
      <c r="O58" s="11">
        <v>159</v>
      </c>
    </row>
    <row r="59" spans="1:15" ht="60" customHeight="1" x14ac:dyDescent="0.35">
      <c r="A59" s="11">
        <v>55</v>
      </c>
      <c r="B59" s="12" t="s">
        <v>1618</v>
      </c>
      <c r="C59" s="11">
        <v>2024</v>
      </c>
      <c r="D59" s="12" t="s">
        <v>1180</v>
      </c>
      <c r="E59" s="12" t="s">
        <v>1275</v>
      </c>
      <c r="F59" s="12" t="s">
        <v>1619</v>
      </c>
      <c r="G59" s="12" t="s">
        <v>1620</v>
      </c>
      <c r="H59" s="12" t="s">
        <v>1621</v>
      </c>
      <c r="I59" s="12" t="s">
        <v>1622</v>
      </c>
      <c r="J59" s="12" t="s">
        <v>1623</v>
      </c>
      <c r="K59" s="12" t="s">
        <v>52</v>
      </c>
      <c r="L59" s="12" t="s">
        <v>1624</v>
      </c>
      <c r="M59" s="12" t="s">
        <v>1137</v>
      </c>
      <c r="N59" s="12" t="s">
        <v>1213</v>
      </c>
      <c r="O59" s="11">
        <v>209</v>
      </c>
    </row>
    <row r="60" spans="1:15" ht="60" customHeight="1" x14ac:dyDescent="0.35">
      <c r="A60" s="11">
        <v>56</v>
      </c>
      <c r="B60" s="12" t="s">
        <v>1625</v>
      </c>
      <c r="C60" s="11">
        <v>2022</v>
      </c>
      <c r="D60" s="12" t="s">
        <v>270</v>
      </c>
      <c r="E60" s="12" t="s">
        <v>1611</v>
      </c>
      <c r="F60" s="12" t="s">
        <v>1626</v>
      </c>
      <c r="G60" s="12" t="s">
        <v>1627</v>
      </c>
      <c r="H60" s="12" t="s">
        <v>1628</v>
      </c>
      <c r="I60" s="12" t="s">
        <v>1629</v>
      </c>
      <c r="J60" s="12" t="s">
        <v>1630</v>
      </c>
      <c r="K60" s="12" t="s">
        <v>53</v>
      </c>
      <c r="L60" s="12" t="s">
        <v>1631</v>
      </c>
      <c r="M60" s="12" t="s">
        <v>769</v>
      </c>
      <c r="N60" s="12" t="s">
        <v>1213</v>
      </c>
      <c r="O60" s="11">
        <v>126</v>
      </c>
    </row>
    <row r="61" spans="1:15" ht="66.5" customHeight="1" x14ac:dyDescent="0.35">
      <c r="A61" s="11">
        <v>57</v>
      </c>
      <c r="B61" s="12" t="s">
        <v>1632</v>
      </c>
      <c r="C61" s="11">
        <v>2024</v>
      </c>
      <c r="D61" s="12" t="s">
        <v>854</v>
      </c>
      <c r="E61" s="12" t="s">
        <v>1633</v>
      </c>
      <c r="F61" s="12" t="s">
        <v>1634</v>
      </c>
      <c r="G61" s="12" t="s">
        <v>1635</v>
      </c>
      <c r="H61" s="12" t="s">
        <v>1636</v>
      </c>
      <c r="I61" s="12" t="s">
        <v>1637</v>
      </c>
      <c r="J61" s="12" t="s">
        <v>1638</v>
      </c>
      <c r="K61" s="12" t="s">
        <v>53</v>
      </c>
      <c r="L61" s="12" t="s">
        <v>1639</v>
      </c>
      <c r="M61" s="12" t="s">
        <v>769</v>
      </c>
      <c r="N61" s="12" t="s">
        <v>1580</v>
      </c>
      <c r="O61" s="11">
        <v>142</v>
      </c>
    </row>
    <row r="62" spans="1:15" ht="60" customHeight="1" x14ac:dyDescent="0.35">
      <c r="A62" s="11">
        <v>58</v>
      </c>
      <c r="B62" s="12" t="s">
        <v>1640</v>
      </c>
      <c r="C62" s="11">
        <v>2017</v>
      </c>
      <c r="D62" s="12" t="s">
        <v>1147</v>
      </c>
      <c r="E62" s="12" t="s">
        <v>1641</v>
      </c>
      <c r="F62" s="12" t="s">
        <v>1642</v>
      </c>
      <c r="G62" s="12" t="s">
        <v>1643</v>
      </c>
      <c r="H62" s="12" t="s">
        <v>1644</v>
      </c>
      <c r="I62" s="12" t="s">
        <v>1645</v>
      </c>
      <c r="J62" s="12" t="s">
        <v>1646</v>
      </c>
      <c r="K62" s="12" t="s">
        <v>54</v>
      </c>
      <c r="L62" s="12" t="s">
        <v>1149</v>
      </c>
      <c r="M62" s="12" t="s">
        <v>1137</v>
      </c>
      <c r="N62" s="12" t="s">
        <v>1647</v>
      </c>
      <c r="O62" s="11">
        <v>201</v>
      </c>
    </row>
    <row r="63" spans="1:15" ht="60" customHeight="1" x14ac:dyDescent="0.35">
      <c r="A63" s="11">
        <v>59</v>
      </c>
      <c r="B63" s="12" t="s">
        <v>1648</v>
      </c>
      <c r="C63" s="11">
        <v>2021</v>
      </c>
      <c r="D63" s="12" t="s">
        <v>998</v>
      </c>
      <c r="E63" s="12" t="s">
        <v>1649</v>
      </c>
      <c r="F63" s="12" t="s">
        <v>1650</v>
      </c>
      <c r="G63" s="12" t="s">
        <v>1651</v>
      </c>
      <c r="H63" s="12" t="s">
        <v>1652</v>
      </c>
      <c r="I63" s="12" t="s">
        <v>1653</v>
      </c>
      <c r="J63" s="12" t="s">
        <v>1654</v>
      </c>
      <c r="K63" s="12" t="s">
        <v>54</v>
      </c>
      <c r="L63" s="12" t="s">
        <v>1655</v>
      </c>
      <c r="M63" s="12" t="s">
        <v>999</v>
      </c>
      <c r="N63" s="12" t="s">
        <v>1273</v>
      </c>
      <c r="O63" s="11">
        <v>174</v>
      </c>
    </row>
    <row r="64" spans="1:15" ht="60" customHeight="1" x14ac:dyDescent="0.35">
      <c r="A64" s="11">
        <v>60</v>
      </c>
      <c r="B64" s="12" t="s">
        <v>1656</v>
      </c>
      <c r="C64" s="11">
        <v>2024</v>
      </c>
      <c r="D64" s="12" t="s">
        <v>569</v>
      </c>
      <c r="E64" s="12" t="s">
        <v>1649</v>
      </c>
      <c r="F64" s="12" t="s">
        <v>1657</v>
      </c>
      <c r="G64" s="12" t="s">
        <v>1658</v>
      </c>
      <c r="H64" s="12" t="s">
        <v>1659</v>
      </c>
      <c r="I64" s="12" t="s">
        <v>1660</v>
      </c>
      <c r="J64" s="12" t="s">
        <v>1661</v>
      </c>
      <c r="K64" s="12" t="s">
        <v>54</v>
      </c>
      <c r="L64" s="12" t="s">
        <v>1662</v>
      </c>
      <c r="M64" s="12" t="s">
        <v>999</v>
      </c>
      <c r="N64" s="12" t="s">
        <v>1406</v>
      </c>
      <c r="O64" s="11">
        <v>176</v>
      </c>
    </row>
    <row r="65" spans="1:15" ht="60" customHeight="1" x14ac:dyDescent="0.35">
      <c r="A65" s="11">
        <v>61</v>
      </c>
      <c r="B65" s="12" t="s">
        <v>1663</v>
      </c>
      <c r="C65" s="11">
        <v>2024</v>
      </c>
      <c r="D65" s="12" t="s">
        <v>1054</v>
      </c>
      <c r="E65" s="12" t="s">
        <v>1664</v>
      </c>
      <c r="F65" s="12" t="s">
        <v>1665</v>
      </c>
      <c r="G65" s="12" t="s">
        <v>1666</v>
      </c>
      <c r="H65" s="12" t="s">
        <v>1667</v>
      </c>
      <c r="I65" s="12" t="s">
        <v>1668</v>
      </c>
      <c r="J65" s="12" t="s">
        <v>1669</v>
      </c>
      <c r="K65" s="12" t="s">
        <v>54</v>
      </c>
      <c r="L65" s="12" t="s">
        <v>1670</v>
      </c>
      <c r="M65" s="12" t="s">
        <v>999</v>
      </c>
      <c r="N65" s="12" t="s">
        <v>1344</v>
      </c>
      <c r="O65" s="11">
        <v>184</v>
      </c>
    </row>
    <row r="66" spans="1:15" ht="60" customHeight="1" x14ac:dyDescent="0.35">
      <c r="A66" s="11">
        <v>62</v>
      </c>
      <c r="B66" s="12" t="s">
        <v>1671</v>
      </c>
      <c r="C66" s="11">
        <v>2024</v>
      </c>
      <c r="D66" s="12" t="s">
        <v>1175</v>
      </c>
      <c r="E66" s="12" t="s">
        <v>1672</v>
      </c>
      <c r="F66" s="12" t="s">
        <v>1673</v>
      </c>
      <c r="G66" s="12" t="s">
        <v>1674</v>
      </c>
      <c r="H66" s="12" t="s">
        <v>1675</v>
      </c>
      <c r="I66" s="12" t="s">
        <v>1676</v>
      </c>
      <c r="J66" s="12" t="s">
        <v>1677</v>
      </c>
      <c r="K66" s="12" t="s">
        <v>54</v>
      </c>
      <c r="L66" s="12" t="s">
        <v>1177</v>
      </c>
      <c r="M66" s="12" t="s">
        <v>1137</v>
      </c>
      <c r="N66" s="12" t="s">
        <v>1678</v>
      </c>
      <c r="O66" s="11">
        <v>207</v>
      </c>
    </row>
    <row r="67" spans="1:15" ht="60" customHeight="1" x14ac:dyDescent="0.35">
      <c r="A67" s="11">
        <v>63</v>
      </c>
      <c r="B67" s="12" t="s">
        <v>1679</v>
      </c>
      <c r="C67" s="11">
        <v>2025</v>
      </c>
      <c r="D67" s="12" t="s">
        <v>1136</v>
      </c>
      <c r="E67" s="12" t="s">
        <v>1649</v>
      </c>
      <c r="F67" s="12" t="s">
        <v>1680</v>
      </c>
      <c r="G67" s="12" t="s">
        <v>1681</v>
      </c>
      <c r="H67" s="12" t="s">
        <v>1682</v>
      </c>
      <c r="I67" s="12" t="s">
        <v>1683</v>
      </c>
      <c r="J67" s="12" t="s">
        <v>1684</v>
      </c>
      <c r="K67" s="12" t="s">
        <v>54</v>
      </c>
      <c r="L67" s="12" t="s">
        <v>1685</v>
      </c>
      <c r="M67" s="12" t="s">
        <v>1137</v>
      </c>
      <c r="N67" s="12" t="s">
        <v>1273</v>
      </c>
      <c r="O67" s="11">
        <v>199</v>
      </c>
    </row>
    <row r="68" spans="1:15" ht="60" customHeight="1" x14ac:dyDescent="0.35">
      <c r="A68" s="11">
        <v>64</v>
      </c>
      <c r="B68" s="12" t="s">
        <v>1686</v>
      </c>
      <c r="C68" s="11">
        <v>2025</v>
      </c>
      <c r="D68" s="12" t="s">
        <v>1077</v>
      </c>
      <c r="E68" s="12" t="s">
        <v>1664</v>
      </c>
      <c r="F68" s="12" t="s">
        <v>1687</v>
      </c>
      <c r="G68" s="12" t="s">
        <v>1688</v>
      </c>
      <c r="H68" s="12" t="s">
        <v>1689</v>
      </c>
      <c r="I68" s="12" t="s">
        <v>1690</v>
      </c>
      <c r="J68" s="12" t="s">
        <v>1691</v>
      </c>
      <c r="K68" s="12" t="s">
        <v>54</v>
      </c>
      <c r="L68" s="12" t="s">
        <v>1692</v>
      </c>
      <c r="M68" s="12" t="s">
        <v>999</v>
      </c>
      <c r="N68" s="12" t="s">
        <v>1273</v>
      </c>
      <c r="O68" s="11">
        <v>188</v>
      </c>
    </row>
  </sheetData>
  <autoFilter ref="A4:O68" xr:uid="{00000000-0009-0000-0000-000003000000}"/>
  <mergeCells count="1">
    <mergeCell ref="A2:O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D42"/>
  <sheetViews>
    <sheetView workbookViewId="0"/>
  </sheetViews>
  <sheetFormatPr defaultRowHeight="14.5" x14ac:dyDescent="0.35"/>
  <cols>
    <col min="1" max="1" width="3" customWidth="1"/>
    <col min="2" max="2" width="58" customWidth="1"/>
    <col min="3" max="3" width="12" customWidth="1"/>
    <col min="4" max="4" width="60" customWidth="1"/>
  </cols>
  <sheetData>
    <row r="2" spans="2:4" ht="18" customHeight="1" x14ac:dyDescent="0.4">
      <c r="B2" s="10" t="s">
        <v>1693</v>
      </c>
    </row>
    <row r="3" spans="2:4" x14ac:dyDescent="0.35">
      <c r="B3" s="17" t="s">
        <v>1694</v>
      </c>
    </row>
    <row r="5" spans="2:4" x14ac:dyDescent="0.35">
      <c r="B5" s="3" t="s">
        <v>1695</v>
      </c>
      <c r="C5" s="3" t="s">
        <v>1696</v>
      </c>
      <c r="D5" s="3" t="s">
        <v>1697</v>
      </c>
    </row>
    <row r="6" spans="2:4" x14ac:dyDescent="0.35">
      <c r="B6" s="5" t="s">
        <v>1698</v>
      </c>
    </row>
    <row r="7" spans="2:4" x14ac:dyDescent="0.35">
      <c r="B7" s="4" t="s">
        <v>1699</v>
      </c>
      <c r="C7" s="18">
        <f>'01 Search log'!E28</f>
        <v>3235</v>
      </c>
      <c r="D7" s="19" t="s">
        <v>1700</v>
      </c>
    </row>
    <row r="8" spans="2:4" x14ac:dyDescent="0.35">
      <c r="B8" s="4" t="s">
        <v>1701</v>
      </c>
      <c r="C8" s="18">
        <f>C7-C9</f>
        <v>3035</v>
      </c>
      <c r="D8" s="19" t="s">
        <v>1702</v>
      </c>
    </row>
    <row r="9" spans="2:4" x14ac:dyDescent="0.35">
      <c r="B9" s="4" t="s">
        <v>74</v>
      </c>
      <c r="C9" s="18">
        <f>'01 Search log'!F28</f>
        <v>200</v>
      </c>
      <c r="D9" s="19" t="s">
        <v>1703</v>
      </c>
    </row>
    <row r="10" spans="2:4" ht="25" customHeight="1" x14ac:dyDescent="0.35">
      <c r="B10" s="4" t="s">
        <v>1704</v>
      </c>
      <c r="C10" s="18">
        <f>C9-C11</f>
        <v>2</v>
      </c>
      <c r="D10" s="19" t="s">
        <v>1705</v>
      </c>
    </row>
    <row r="11" spans="2:4" x14ac:dyDescent="0.35">
      <c r="B11" s="4" t="s">
        <v>1706</v>
      </c>
      <c r="C11" s="18">
        <f>COUNTIF('02 Screening log'!$L$6:$L$400,"Database search")</f>
        <v>198</v>
      </c>
      <c r="D11" s="19" t="s">
        <v>1707</v>
      </c>
    </row>
    <row r="12" spans="2:4" x14ac:dyDescent="0.35">
      <c r="B12" s="4" t="s">
        <v>1708</v>
      </c>
      <c r="C12" s="18">
        <f>COUNTIFS('02 Screening log'!$L$6:$L$400,"Database search",'02 Screening log'!$G$6:$G$400,"DROP")</f>
        <v>112</v>
      </c>
      <c r="D12" s="19" t="s">
        <v>1709</v>
      </c>
    </row>
    <row r="13" spans="2:4" x14ac:dyDescent="0.35">
      <c r="B13" s="4" t="s">
        <v>1710</v>
      </c>
      <c r="C13" s="18">
        <f>COUNTIFS('02 Screening log'!$L$6:$L$400,"Database search",'02 Screening log'!$H$6:$H$400,"DROP")</f>
        <v>16</v>
      </c>
      <c r="D13" s="19" t="s">
        <v>1711</v>
      </c>
    </row>
    <row r="14" spans="2:4" x14ac:dyDescent="0.35">
      <c r="B14" s="4" t="s">
        <v>1712</v>
      </c>
      <c r="C14" s="18">
        <f>C11-C12-C13</f>
        <v>70</v>
      </c>
      <c r="D14" s="19" t="s">
        <v>1713</v>
      </c>
    </row>
    <row r="15" spans="2:4" x14ac:dyDescent="0.35">
      <c r="B15" s="4" t="s">
        <v>1714</v>
      </c>
      <c r="C15" s="18">
        <f>COUNTIFS('02 Screening log'!$L$6:$L$400,"Database search",'02 Screening log'!$I$6:$I$400,"DROP")</f>
        <v>18</v>
      </c>
      <c r="D15" s="19" t="s">
        <v>1715</v>
      </c>
    </row>
    <row r="16" spans="2:4" x14ac:dyDescent="0.35">
      <c r="B16" s="4" t="s">
        <v>1716</v>
      </c>
      <c r="C16" s="18">
        <f>C14-C15</f>
        <v>52</v>
      </c>
      <c r="D16" s="19" t="s">
        <v>1717</v>
      </c>
    </row>
    <row r="17" spans="2:4" x14ac:dyDescent="0.35">
      <c r="B17" s="5" t="s">
        <v>1718</v>
      </c>
    </row>
    <row r="18" spans="2:4" x14ac:dyDescent="0.35">
      <c r="B18" s="4" t="s">
        <v>1719</v>
      </c>
      <c r="C18" s="18">
        <f>COUNTIF('02 Screening log'!$L$6:$L$400,"Citation chasing")</f>
        <v>12</v>
      </c>
      <c r="D18" s="19" t="s">
        <v>1720</v>
      </c>
    </row>
    <row r="19" spans="2:4" x14ac:dyDescent="0.35">
      <c r="B19" s="4" t="s">
        <v>1714</v>
      </c>
      <c r="C19" s="18">
        <f>COUNTIFS('02 Screening log'!$L$6:$L$400,"Citation chasing",'02 Screening log'!$I$6:$I$400,"DROP")</f>
        <v>0</v>
      </c>
      <c r="D19" s="19" t="s">
        <v>1721</v>
      </c>
    </row>
    <row r="20" spans="2:4" x14ac:dyDescent="0.35">
      <c r="B20" s="4" t="s">
        <v>1722</v>
      </c>
      <c r="C20" s="18">
        <f>C18-C19</f>
        <v>12</v>
      </c>
      <c r="D20" s="19" t="s">
        <v>1723</v>
      </c>
    </row>
    <row r="21" spans="2:4" x14ac:dyDescent="0.35">
      <c r="B21" s="4" t="s">
        <v>1724</v>
      </c>
      <c r="C21" s="18">
        <f>C16+C20</f>
        <v>64</v>
      </c>
      <c r="D21" s="19" t="s">
        <v>1725</v>
      </c>
    </row>
    <row r="22" spans="2:4" x14ac:dyDescent="0.35">
      <c r="B22" s="4" t="s">
        <v>1726</v>
      </c>
      <c r="C22" s="18">
        <f>COUNTIF('02 Screening log'!$K$6:$K$400,"YES")</f>
        <v>64</v>
      </c>
      <c r="D22" s="19" t="s">
        <v>1727</v>
      </c>
    </row>
    <row r="25" spans="2:4" x14ac:dyDescent="0.35">
      <c r="B25" s="5" t="s">
        <v>1728</v>
      </c>
    </row>
    <row r="26" spans="2:4" x14ac:dyDescent="0.35">
      <c r="B26" s="3" t="s">
        <v>1729</v>
      </c>
      <c r="C26" s="3" t="s">
        <v>1696</v>
      </c>
      <c r="D26" s="3" t="s">
        <v>1730</v>
      </c>
    </row>
    <row r="27" spans="2:4" ht="30" customHeight="1" x14ac:dyDescent="0.35">
      <c r="B27" s="7" t="s">
        <v>179</v>
      </c>
      <c r="C27" s="20">
        <f>COUNTIF('02 Screening log'!$J$6:$J$400,B27)</f>
        <v>7</v>
      </c>
      <c r="D27" s="19" t="s">
        <v>1731</v>
      </c>
    </row>
    <row r="28" spans="2:4" ht="30" customHeight="1" x14ac:dyDescent="0.35">
      <c r="B28" s="7" t="s">
        <v>1732</v>
      </c>
      <c r="C28" s="20">
        <f>COUNTIF('02 Screening log'!$J$6:$J$400,B28)</f>
        <v>0</v>
      </c>
      <c r="D28" s="19" t="s">
        <v>1733</v>
      </c>
    </row>
    <row r="29" spans="2:4" ht="30" customHeight="1" x14ac:dyDescent="0.35">
      <c r="B29" s="7" t="s">
        <v>1734</v>
      </c>
      <c r="C29" s="20">
        <f>COUNTIF('02 Screening log'!$J$6:$J$400,B29)</f>
        <v>0</v>
      </c>
      <c r="D29" s="19" t="s">
        <v>1735</v>
      </c>
    </row>
    <row r="30" spans="2:4" ht="30" customHeight="1" x14ac:dyDescent="0.35">
      <c r="B30" s="7" t="s">
        <v>302</v>
      </c>
      <c r="C30" s="20">
        <f>COUNTIF('02 Screening log'!$J$6:$J$400,B30)</f>
        <v>8</v>
      </c>
      <c r="D30" s="19" t="s">
        <v>1736</v>
      </c>
    </row>
    <row r="31" spans="2:4" ht="30" customHeight="1" x14ac:dyDescent="0.35">
      <c r="B31" s="7" t="s">
        <v>280</v>
      </c>
      <c r="C31" s="20">
        <f>COUNTIF('02 Screening log'!$J$6:$J$400,B31)</f>
        <v>3</v>
      </c>
      <c r="D31" s="19" t="s">
        <v>1737</v>
      </c>
    </row>
    <row r="32" spans="2:4" x14ac:dyDescent="0.35">
      <c r="B32" s="5" t="s">
        <v>1738</v>
      </c>
      <c r="C32" s="13">
        <f>SUM(C27:C31)</f>
        <v>18</v>
      </c>
      <c r="D32" s="17" t="s">
        <v>1739</v>
      </c>
    </row>
    <row r="35" spans="2:4" x14ac:dyDescent="0.35">
      <c r="B35" s="5" t="s">
        <v>1740</v>
      </c>
    </row>
    <row r="36" spans="2:4" x14ac:dyDescent="0.35">
      <c r="B36" s="3" t="s">
        <v>1741</v>
      </c>
      <c r="C36" s="3" t="s">
        <v>1696</v>
      </c>
      <c r="D36" s="3" t="s">
        <v>1742</v>
      </c>
    </row>
    <row r="37" spans="2:4" x14ac:dyDescent="0.35">
      <c r="B37" s="21" t="s">
        <v>1743</v>
      </c>
      <c r="C37" s="20">
        <f>COUNTIF('03 Extraction matrix'!$K$5:$K$68,B37&amp;"*")</f>
        <v>19</v>
      </c>
      <c r="D37" s="7" t="s">
        <v>1744</v>
      </c>
    </row>
    <row r="38" spans="2:4" x14ac:dyDescent="0.35">
      <c r="B38" s="21" t="s">
        <v>1745</v>
      </c>
      <c r="C38" s="20">
        <f>COUNTIF('03 Extraction matrix'!$K$5:$K$68,B38&amp;"*")</f>
        <v>6</v>
      </c>
      <c r="D38" s="7" t="s">
        <v>1746</v>
      </c>
    </row>
    <row r="39" spans="2:4" x14ac:dyDescent="0.35">
      <c r="B39" s="21" t="s">
        <v>1747</v>
      </c>
      <c r="C39" s="20">
        <f>COUNTIF('03 Extraction matrix'!$K$5:$K$68,B39&amp;"*")</f>
        <v>25</v>
      </c>
      <c r="D39" s="7" t="s">
        <v>1748</v>
      </c>
    </row>
    <row r="40" spans="2:4" x14ac:dyDescent="0.35">
      <c r="B40" s="21" t="s">
        <v>1749</v>
      </c>
      <c r="C40" s="20">
        <f>COUNTIF('03 Extraction matrix'!$K$5:$K$68,B40&amp;"*")</f>
        <v>5</v>
      </c>
      <c r="D40" s="7" t="s">
        <v>1750</v>
      </c>
    </row>
    <row r="41" spans="2:4" x14ac:dyDescent="0.35">
      <c r="B41" s="21" t="s">
        <v>1751</v>
      </c>
      <c r="C41" s="20">
        <f>COUNTIF('03 Extraction matrix'!$K$5:$K$68,B41&amp;"*")</f>
        <v>2</v>
      </c>
      <c r="D41" s="7" t="s">
        <v>1752</v>
      </c>
    </row>
    <row r="42" spans="2:4" x14ac:dyDescent="0.35">
      <c r="B42" s="21" t="s">
        <v>1753</v>
      </c>
      <c r="C42" s="20">
        <f>COUNTIF('03 Extraction matrix'!$K$5:$K$68,B42&amp;"*")</f>
        <v>7</v>
      </c>
      <c r="D42" s="7" t="s">
        <v>1754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8"/>
  <sheetViews>
    <sheetView workbookViewId="0">
      <pane ySplit="4" topLeftCell="A5" activePane="bottomLeft" state="frozen"/>
      <selection pane="bottomLeft"/>
    </sheetView>
  </sheetViews>
  <sheetFormatPr defaultRowHeight="14.5" x14ac:dyDescent="0.35"/>
  <cols>
    <col min="1" max="1" width="5" customWidth="1"/>
    <col min="2" max="2" width="50" customWidth="1"/>
    <col min="3" max="3" width="24" customWidth="1"/>
    <col min="4" max="4" width="18" customWidth="1"/>
    <col min="5" max="5" width="52" customWidth="1"/>
  </cols>
  <sheetData>
    <row r="1" spans="1:5" ht="18" customHeight="1" x14ac:dyDescent="0.4">
      <c r="A1" s="10" t="s">
        <v>1755</v>
      </c>
    </row>
    <row r="2" spans="1:5" x14ac:dyDescent="0.35">
      <c r="A2" s="27" t="s">
        <v>1756</v>
      </c>
      <c r="B2" s="25"/>
      <c r="C2" s="25"/>
      <c r="D2" s="25"/>
      <c r="E2" s="25"/>
    </row>
    <row r="4" spans="1:5" ht="30" customHeight="1" x14ac:dyDescent="0.35">
      <c r="A4" s="3" t="s">
        <v>69</v>
      </c>
      <c r="B4" s="3" t="s">
        <v>1757</v>
      </c>
      <c r="C4" s="3" t="s">
        <v>1758</v>
      </c>
      <c r="D4" s="3" t="s">
        <v>1759</v>
      </c>
      <c r="E4" s="3" t="s">
        <v>1760</v>
      </c>
    </row>
    <row r="5" spans="1:5" ht="30" customHeight="1" x14ac:dyDescent="0.35">
      <c r="A5" s="11">
        <v>1</v>
      </c>
      <c r="B5" s="12" t="s">
        <v>1761</v>
      </c>
      <c r="C5" s="12" t="s">
        <v>1305</v>
      </c>
      <c r="D5" s="12" t="s">
        <v>1762</v>
      </c>
      <c r="E5" s="12" t="s">
        <v>1763</v>
      </c>
    </row>
    <row r="6" spans="1:5" ht="30" customHeight="1" x14ac:dyDescent="0.35">
      <c r="A6" s="11">
        <v>2</v>
      </c>
      <c r="B6" s="12" t="s">
        <v>1764</v>
      </c>
      <c r="C6" s="12" t="s">
        <v>1329</v>
      </c>
      <c r="D6" s="12" t="s">
        <v>1762</v>
      </c>
      <c r="E6" s="12" t="s">
        <v>1765</v>
      </c>
    </row>
    <row r="7" spans="1:5" ht="30" customHeight="1" x14ac:dyDescent="0.35">
      <c r="A7" s="11">
        <v>3</v>
      </c>
      <c r="B7" s="12" t="s">
        <v>1766</v>
      </c>
      <c r="C7" s="12" t="s">
        <v>1375</v>
      </c>
      <c r="D7" s="12" t="s">
        <v>1767</v>
      </c>
      <c r="E7" s="12" t="s">
        <v>1768</v>
      </c>
    </row>
    <row r="8" spans="1:5" ht="30" customHeight="1" x14ac:dyDescent="0.35">
      <c r="A8" s="11">
        <v>4</v>
      </c>
      <c r="B8" s="12" t="s">
        <v>1769</v>
      </c>
      <c r="C8" s="12" t="s">
        <v>1359</v>
      </c>
      <c r="D8" s="12" t="s">
        <v>1770</v>
      </c>
      <c r="E8" s="12" t="s">
        <v>1771</v>
      </c>
    </row>
    <row r="9" spans="1:5" ht="30" customHeight="1" x14ac:dyDescent="0.35">
      <c r="A9" s="11">
        <v>5</v>
      </c>
      <c r="B9" s="12" t="s">
        <v>1772</v>
      </c>
      <c r="C9" s="12" t="s">
        <v>1383</v>
      </c>
      <c r="D9" s="12" t="s">
        <v>1773</v>
      </c>
      <c r="E9" s="12" t="s">
        <v>1774</v>
      </c>
    </row>
    <row r="10" spans="1:5" ht="30" customHeight="1" x14ac:dyDescent="0.35">
      <c r="A10" s="11">
        <v>6</v>
      </c>
      <c r="B10" s="12" t="s">
        <v>1775</v>
      </c>
      <c r="C10" s="12" t="s">
        <v>1443</v>
      </c>
      <c r="D10" s="12" t="s">
        <v>1776</v>
      </c>
      <c r="E10" s="12" t="s">
        <v>1777</v>
      </c>
    </row>
    <row r="11" spans="1:5" ht="30" customHeight="1" x14ac:dyDescent="0.35">
      <c r="A11" s="11">
        <v>7</v>
      </c>
      <c r="B11" s="12" t="s">
        <v>1778</v>
      </c>
      <c r="C11" s="12" t="s">
        <v>1534</v>
      </c>
      <c r="D11" s="12" t="s">
        <v>1779</v>
      </c>
      <c r="E11" s="12" t="s">
        <v>1780</v>
      </c>
    </row>
    <row r="12" spans="1:5" ht="30" customHeight="1" x14ac:dyDescent="0.35">
      <c r="A12" s="11">
        <v>8</v>
      </c>
      <c r="B12" s="12" t="s">
        <v>1781</v>
      </c>
      <c r="C12" s="12" t="s">
        <v>1618</v>
      </c>
      <c r="D12" s="12" t="s">
        <v>1782</v>
      </c>
      <c r="E12" s="12" t="s">
        <v>1783</v>
      </c>
    </row>
    <row r="13" spans="1:5" ht="30" customHeight="1" x14ac:dyDescent="0.35">
      <c r="A13" s="11">
        <v>9</v>
      </c>
      <c r="B13" s="12" t="s">
        <v>1784</v>
      </c>
      <c r="C13" s="12" t="s">
        <v>1625</v>
      </c>
      <c r="D13" s="12" t="s">
        <v>1785</v>
      </c>
      <c r="E13" s="12" t="s">
        <v>1786</v>
      </c>
    </row>
    <row r="14" spans="1:5" ht="30" customHeight="1" x14ac:dyDescent="0.35">
      <c r="A14" s="11">
        <v>10</v>
      </c>
      <c r="B14" s="12" t="s">
        <v>1787</v>
      </c>
      <c r="C14" s="12" t="s">
        <v>1632</v>
      </c>
      <c r="D14" s="12" t="s">
        <v>1788</v>
      </c>
      <c r="E14" s="12" t="s">
        <v>1789</v>
      </c>
    </row>
    <row r="15" spans="1:5" ht="41.5" customHeight="1" x14ac:dyDescent="0.35">
      <c r="A15" s="11">
        <v>11</v>
      </c>
      <c r="B15" s="12" t="s">
        <v>1790</v>
      </c>
      <c r="C15" s="12" t="s">
        <v>1671</v>
      </c>
      <c r="D15" s="12" t="s">
        <v>1791</v>
      </c>
      <c r="E15" s="12" t="s">
        <v>1792</v>
      </c>
    </row>
    <row r="16" spans="1:5" ht="30" customHeight="1" x14ac:dyDescent="0.35">
      <c r="A16" s="11">
        <v>12</v>
      </c>
      <c r="B16" s="12" t="s">
        <v>1793</v>
      </c>
      <c r="C16" s="12" t="s">
        <v>1648</v>
      </c>
      <c r="D16" s="12" t="s">
        <v>1791</v>
      </c>
      <c r="E16" s="12" t="s">
        <v>1794</v>
      </c>
    </row>
    <row r="17" spans="1:5" ht="30" customHeight="1" x14ac:dyDescent="0.35">
      <c r="A17" s="11">
        <v>13</v>
      </c>
      <c r="B17" s="12" t="s">
        <v>1795</v>
      </c>
      <c r="C17" s="12" t="s">
        <v>1352</v>
      </c>
      <c r="D17" s="12" t="s">
        <v>1796</v>
      </c>
      <c r="E17" s="12" t="s">
        <v>1797</v>
      </c>
    </row>
    <row r="18" spans="1:5" ht="30" customHeight="1" x14ac:dyDescent="0.35">
      <c r="A18" s="11">
        <v>14</v>
      </c>
      <c r="B18" s="12" t="s">
        <v>1798</v>
      </c>
      <c r="C18" s="12" t="s">
        <v>1321</v>
      </c>
      <c r="D18" s="12" t="s">
        <v>1776</v>
      </c>
      <c r="E18" s="12" t="s">
        <v>1799</v>
      </c>
    </row>
  </sheetData>
  <mergeCells count="1">
    <mergeCell ref="A2:E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1"/>
  <sheetViews>
    <sheetView workbookViewId="0">
      <pane ySplit="4" topLeftCell="A5" activePane="bottomLeft" state="frozen"/>
      <selection pane="bottomLeft"/>
    </sheetView>
  </sheetViews>
  <sheetFormatPr defaultRowHeight="14.5" x14ac:dyDescent="0.35"/>
  <cols>
    <col min="1" max="1" width="5" customWidth="1"/>
    <col min="2" max="2" width="24" customWidth="1"/>
    <col min="3" max="3" width="40" customWidth="1"/>
    <col min="4" max="4" width="50" customWidth="1"/>
    <col min="5" max="5" width="34" customWidth="1"/>
  </cols>
  <sheetData>
    <row r="1" spans="1:5" ht="18" customHeight="1" x14ac:dyDescent="0.4">
      <c r="A1" s="10" t="s">
        <v>1800</v>
      </c>
    </row>
    <row r="2" spans="1:5" ht="28" customHeight="1" x14ac:dyDescent="0.35">
      <c r="A2" s="27" t="s">
        <v>1801</v>
      </c>
      <c r="B2" s="25"/>
      <c r="C2" s="25"/>
      <c r="D2" s="25"/>
      <c r="E2" s="25"/>
    </row>
    <row r="4" spans="1:5" ht="30" customHeight="1" x14ac:dyDescent="0.35">
      <c r="A4" s="3" t="s">
        <v>69</v>
      </c>
      <c r="B4" s="3" t="s">
        <v>1802</v>
      </c>
      <c r="C4" s="3" t="s">
        <v>1803</v>
      </c>
      <c r="D4" s="3" t="s">
        <v>1804</v>
      </c>
      <c r="E4" s="3" t="s">
        <v>1805</v>
      </c>
    </row>
    <row r="5" spans="1:5" ht="54" customHeight="1" x14ac:dyDescent="0.35">
      <c r="A5" s="11">
        <v>1</v>
      </c>
      <c r="B5" s="12" t="s">
        <v>1806</v>
      </c>
      <c r="C5" s="12" t="s">
        <v>1807</v>
      </c>
      <c r="D5" s="12" t="s">
        <v>1808</v>
      </c>
      <c r="E5" s="12" t="s">
        <v>1809</v>
      </c>
    </row>
    <row r="6" spans="1:5" ht="54" customHeight="1" x14ac:dyDescent="0.35">
      <c r="A6" s="11">
        <v>2</v>
      </c>
      <c r="B6" s="12" t="s">
        <v>1810</v>
      </c>
      <c r="C6" s="12" t="s">
        <v>1811</v>
      </c>
      <c r="D6" s="12" t="s">
        <v>1812</v>
      </c>
      <c r="E6" s="12" t="s">
        <v>1813</v>
      </c>
    </row>
    <row r="7" spans="1:5" ht="41.5" customHeight="1" x14ac:dyDescent="0.35">
      <c r="A7" s="11">
        <v>3</v>
      </c>
      <c r="B7" s="12" t="s">
        <v>1814</v>
      </c>
      <c r="C7" s="12" t="s">
        <v>1815</v>
      </c>
      <c r="D7" s="12" t="s">
        <v>1816</v>
      </c>
      <c r="E7" s="12" t="s">
        <v>1640</v>
      </c>
    </row>
    <row r="8" spans="1:5" ht="54" customHeight="1" x14ac:dyDescent="0.35">
      <c r="A8" s="11">
        <v>4</v>
      </c>
      <c r="B8" s="12" t="s">
        <v>1817</v>
      </c>
      <c r="C8" s="12" t="s">
        <v>1818</v>
      </c>
      <c r="D8" s="12" t="s">
        <v>1819</v>
      </c>
      <c r="E8" s="12" t="s">
        <v>1820</v>
      </c>
    </row>
    <row r="9" spans="1:5" ht="54" customHeight="1" x14ac:dyDescent="0.35">
      <c r="A9" s="11">
        <v>5</v>
      </c>
      <c r="B9" s="12" t="s">
        <v>1821</v>
      </c>
      <c r="C9" s="12" t="s">
        <v>1822</v>
      </c>
      <c r="D9" s="12" t="s">
        <v>1823</v>
      </c>
      <c r="E9" s="12" t="s">
        <v>1824</v>
      </c>
    </row>
    <row r="10" spans="1:5" ht="41.5" customHeight="1" x14ac:dyDescent="0.35">
      <c r="A10" s="11">
        <v>6</v>
      </c>
      <c r="B10" s="12" t="s">
        <v>1825</v>
      </c>
      <c r="C10" s="12" t="s">
        <v>1826</v>
      </c>
      <c r="D10" s="12" t="s">
        <v>1827</v>
      </c>
      <c r="E10" s="12" t="s">
        <v>1828</v>
      </c>
    </row>
    <row r="11" spans="1:5" ht="40" customHeight="1" x14ac:dyDescent="0.35">
      <c r="A11" s="11">
        <v>7</v>
      </c>
      <c r="B11" s="12" t="s">
        <v>1829</v>
      </c>
      <c r="C11" s="12" t="s">
        <v>1830</v>
      </c>
      <c r="D11" s="12" t="s">
        <v>1831</v>
      </c>
      <c r="E11" s="12" t="s">
        <v>1832</v>
      </c>
    </row>
  </sheetData>
  <mergeCells count="1">
    <mergeCell ref="A2:E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68"/>
  <sheetViews>
    <sheetView workbookViewId="0">
      <pane ySplit="4" topLeftCell="A5" activePane="bottomLeft" state="frozen"/>
      <selection pane="bottomLeft"/>
    </sheetView>
  </sheetViews>
  <sheetFormatPr defaultRowHeight="14.5" x14ac:dyDescent="0.35"/>
  <cols>
    <col min="1" max="1" width="5" customWidth="1"/>
    <col min="2" max="2" width="26" customWidth="1"/>
    <col min="3" max="3" width="90" customWidth="1"/>
    <col min="4" max="4" width="40" customWidth="1"/>
  </cols>
  <sheetData>
    <row r="1" spans="1:4" ht="18" customHeight="1" x14ac:dyDescent="0.4">
      <c r="A1" s="10" t="s">
        <v>1833</v>
      </c>
    </row>
    <row r="2" spans="1:4" x14ac:dyDescent="0.35">
      <c r="A2" s="17" t="s">
        <v>1834</v>
      </c>
    </row>
    <row r="4" spans="1:4" ht="30" customHeight="1" x14ac:dyDescent="0.35">
      <c r="A4" s="3" t="s">
        <v>69</v>
      </c>
      <c r="B4" s="3" t="s">
        <v>1835</v>
      </c>
      <c r="C4" s="3" t="s">
        <v>1836</v>
      </c>
      <c r="D4" s="3" t="s">
        <v>1202</v>
      </c>
    </row>
    <row r="5" spans="1:4" ht="54" customHeight="1" x14ac:dyDescent="0.35">
      <c r="A5" s="22">
        <v>1</v>
      </c>
      <c r="B5" s="23" t="s">
        <v>1443</v>
      </c>
      <c r="C5" s="23" t="s">
        <v>1837</v>
      </c>
      <c r="D5" s="23" t="s">
        <v>1449</v>
      </c>
    </row>
    <row r="6" spans="1:4" ht="41.5" customHeight="1" x14ac:dyDescent="0.35">
      <c r="A6" s="22">
        <v>2</v>
      </c>
      <c r="B6" s="23" t="s">
        <v>1679</v>
      </c>
      <c r="C6" s="23" t="s">
        <v>1838</v>
      </c>
      <c r="D6" s="23" t="s">
        <v>1685</v>
      </c>
    </row>
    <row r="7" spans="1:4" ht="29" customHeight="1" x14ac:dyDescent="0.35">
      <c r="A7" s="22">
        <v>3</v>
      </c>
      <c r="B7" s="23" t="s">
        <v>1656</v>
      </c>
      <c r="C7" s="23" t="s">
        <v>1839</v>
      </c>
      <c r="D7" s="23" t="s">
        <v>1662</v>
      </c>
    </row>
    <row r="8" spans="1:4" ht="29" customHeight="1" x14ac:dyDescent="0.35">
      <c r="A8" s="22">
        <v>4</v>
      </c>
      <c r="B8" s="23" t="s">
        <v>1648</v>
      </c>
      <c r="C8" s="23" t="s">
        <v>1840</v>
      </c>
      <c r="D8" s="23" t="s">
        <v>1655</v>
      </c>
    </row>
    <row r="9" spans="1:4" ht="41.5" customHeight="1" x14ac:dyDescent="0.35">
      <c r="A9" s="22">
        <v>5</v>
      </c>
      <c r="B9" s="23" t="s">
        <v>1527</v>
      </c>
      <c r="C9" s="23" t="s">
        <v>1841</v>
      </c>
      <c r="D9" s="23" t="s">
        <v>1533</v>
      </c>
    </row>
    <row r="10" spans="1:4" ht="41.5" customHeight="1" x14ac:dyDescent="0.35">
      <c r="A10" s="22">
        <v>6</v>
      </c>
      <c r="B10" s="23" t="s">
        <v>1415</v>
      </c>
      <c r="C10" s="23" t="s">
        <v>1842</v>
      </c>
      <c r="D10" s="23" t="s">
        <v>1421</v>
      </c>
    </row>
    <row r="11" spans="1:4" ht="54" customHeight="1" x14ac:dyDescent="0.35">
      <c r="A11" s="22">
        <v>7</v>
      </c>
      <c r="B11" s="23" t="s">
        <v>1589</v>
      </c>
      <c r="C11" s="23" t="s">
        <v>1843</v>
      </c>
      <c r="D11" s="23" t="s">
        <v>1595</v>
      </c>
    </row>
    <row r="12" spans="1:4" ht="41.5" customHeight="1" x14ac:dyDescent="0.35">
      <c r="A12" s="22">
        <v>8</v>
      </c>
      <c r="B12" s="23" t="s">
        <v>1337</v>
      </c>
      <c r="C12" s="23" t="s">
        <v>1844</v>
      </c>
      <c r="D12" s="23" t="s">
        <v>1343</v>
      </c>
    </row>
    <row r="13" spans="1:4" ht="41.5" customHeight="1" x14ac:dyDescent="0.35">
      <c r="A13" s="22">
        <v>9</v>
      </c>
      <c r="B13" s="23" t="s">
        <v>1557</v>
      </c>
      <c r="C13" s="23" t="s">
        <v>1845</v>
      </c>
      <c r="D13" s="23" t="s">
        <v>1564</v>
      </c>
    </row>
    <row r="14" spans="1:4" ht="41.5" customHeight="1" x14ac:dyDescent="0.35">
      <c r="A14" s="22">
        <v>10</v>
      </c>
      <c r="B14" s="23" t="s">
        <v>1663</v>
      </c>
      <c r="C14" s="23" t="s">
        <v>1846</v>
      </c>
      <c r="D14" s="23" t="s">
        <v>1670</v>
      </c>
    </row>
    <row r="15" spans="1:4" ht="41.5" customHeight="1" x14ac:dyDescent="0.35">
      <c r="A15" s="22">
        <v>11</v>
      </c>
      <c r="B15" s="23" t="s">
        <v>1565</v>
      </c>
      <c r="C15" s="23" t="s">
        <v>1847</v>
      </c>
      <c r="D15" s="23" t="s">
        <v>1572</v>
      </c>
    </row>
    <row r="16" spans="1:4" ht="41.5" customHeight="1" x14ac:dyDescent="0.35">
      <c r="A16" s="22">
        <v>12</v>
      </c>
      <c r="B16" s="23" t="s">
        <v>1603</v>
      </c>
      <c r="C16" s="23" t="s">
        <v>1848</v>
      </c>
      <c r="D16" s="23" t="s">
        <v>1609</v>
      </c>
    </row>
    <row r="17" spans="1:4" ht="54" customHeight="1" x14ac:dyDescent="0.35">
      <c r="A17" s="22">
        <v>13</v>
      </c>
      <c r="B17" s="23" t="s">
        <v>1450</v>
      </c>
      <c r="C17" s="23" t="s">
        <v>1849</v>
      </c>
      <c r="D17" s="23" t="s">
        <v>1456</v>
      </c>
    </row>
    <row r="18" spans="1:4" ht="54" customHeight="1" x14ac:dyDescent="0.35">
      <c r="A18" s="22">
        <v>14</v>
      </c>
      <c r="B18" s="23" t="s">
        <v>1214</v>
      </c>
      <c r="C18" s="23" t="s">
        <v>1850</v>
      </c>
      <c r="D18" s="23" t="s">
        <v>1221</v>
      </c>
    </row>
    <row r="19" spans="1:4" ht="41.5" customHeight="1" x14ac:dyDescent="0.35">
      <c r="A19" s="22">
        <v>15</v>
      </c>
      <c r="B19" s="23" t="s">
        <v>1248</v>
      </c>
      <c r="C19" s="23" t="s">
        <v>1851</v>
      </c>
      <c r="D19" s="23" t="s">
        <v>1255</v>
      </c>
    </row>
    <row r="20" spans="1:4" ht="54" customHeight="1" x14ac:dyDescent="0.35">
      <c r="A20" s="22">
        <v>16</v>
      </c>
      <c r="B20" s="23" t="s">
        <v>1257</v>
      </c>
      <c r="C20" s="23" t="s">
        <v>1852</v>
      </c>
      <c r="D20" s="23" t="s">
        <v>1264</v>
      </c>
    </row>
    <row r="21" spans="1:4" ht="54" customHeight="1" x14ac:dyDescent="0.35">
      <c r="A21" s="22">
        <v>17</v>
      </c>
      <c r="B21" s="23" t="s">
        <v>1491</v>
      </c>
      <c r="C21" s="23" t="s">
        <v>1853</v>
      </c>
      <c r="D21" s="23" t="s">
        <v>1498</v>
      </c>
    </row>
    <row r="22" spans="1:4" ht="29" customHeight="1" x14ac:dyDescent="0.35">
      <c r="A22" s="22">
        <v>18</v>
      </c>
      <c r="B22" s="23" t="s">
        <v>1640</v>
      </c>
      <c r="C22" s="23" t="s">
        <v>1854</v>
      </c>
      <c r="D22" s="23" t="s">
        <v>1149</v>
      </c>
    </row>
    <row r="23" spans="1:4" ht="41.5" customHeight="1" x14ac:dyDescent="0.35">
      <c r="A23" s="22">
        <v>19</v>
      </c>
      <c r="B23" s="23" t="s">
        <v>1632</v>
      </c>
      <c r="C23" s="23" t="s">
        <v>1855</v>
      </c>
      <c r="D23" s="23" t="s">
        <v>1639</v>
      </c>
    </row>
    <row r="24" spans="1:4" ht="54" customHeight="1" x14ac:dyDescent="0.35">
      <c r="A24" s="22">
        <v>20</v>
      </c>
      <c r="B24" s="23" t="s">
        <v>1223</v>
      </c>
      <c r="C24" s="23" t="s">
        <v>1856</v>
      </c>
      <c r="D24" s="23" t="s">
        <v>1230</v>
      </c>
    </row>
    <row r="25" spans="1:4" ht="54" customHeight="1" x14ac:dyDescent="0.35">
      <c r="A25" s="22">
        <v>21</v>
      </c>
      <c r="B25" s="23" t="s">
        <v>1205</v>
      </c>
      <c r="C25" s="23" t="s">
        <v>1857</v>
      </c>
      <c r="D25" s="23" t="s">
        <v>1212</v>
      </c>
    </row>
    <row r="26" spans="1:4" ht="54" customHeight="1" x14ac:dyDescent="0.35">
      <c r="A26" s="22">
        <v>22</v>
      </c>
      <c r="B26" s="23" t="s">
        <v>1499</v>
      </c>
      <c r="C26" s="23" t="s">
        <v>1858</v>
      </c>
      <c r="D26" s="23" t="s">
        <v>1506</v>
      </c>
    </row>
    <row r="27" spans="1:4" ht="41.5" customHeight="1" x14ac:dyDescent="0.35">
      <c r="A27" s="22">
        <v>23</v>
      </c>
      <c r="B27" s="23" t="s">
        <v>1345</v>
      </c>
      <c r="C27" s="23" t="s">
        <v>1859</v>
      </c>
      <c r="D27" s="23" t="s">
        <v>1351</v>
      </c>
    </row>
    <row r="28" spans="1:4" ht="41.5" customHeight="1" x14ac:dyDescent="0.35">
      <c r="A28" s="22">
        <v>24</v>
      </c>
      <c r="B28" s="23" t="s">
        <v>1265</v>
      </c>
      <c r="C28" s="23" t="s">
        <v>1860</v>
      </c>
      <c r="D28" s="23" t="s">
        <v>1272</v>
      </c>
    </row>
    <row r="29" spans="1:4" ht="41.5" customHeight="1" x14ac:dyDescent="0.35">
      <c r="A29" s="22">
        <v>25</v>
      </c>
      <c r="B29" s="23" t="s">
        <v>1231</v>
      </c>
      <c r="C29" s="23" t="s">
        <v>1861</v>
      </c>
      <c r="D29" s="23" t="s">
        <v>1238</v>
      </c>
    </row>
    <row r="30" spans="1:4" ht="54" customHeight="1" x14ac:dyDescent="0.35">
      <c r="A30" s="22">
        <v>26</v>
      </c>
      <c r="B30" s="23" t="s">
        <v>1274</v>
      </c>
      <c r="C30" s="23" t="s">
        <v>1862</v>
      </c>
      <c r="D30" s="23" t="s">
        <v>1281</v>
      </c>
    </row>
    <row r="31" spans="1:4" ht="54" customHeight="1" x14ac:dyDescent="0.35">
      <c r="A31" s="22">
        <v>27</v>
      </c>
      <c r="B31" s="23" t="s">
        <v>1359</v>
      </c>
      <c r="C31" s="23" t="s">
        <v>1863</v>
      </c>
      <c r="D31" s="23" t="s">
        <v>1365</v>
      </c>
    </row>
    <row r="32" spans="1:4" ht="54" customHeight="1" x14ac:dyDescent="0.35">
      <c r="A32" s="22">
        <v>28</v>
      </c>
      <c r="B32" s="23" t="s">
        <v>1240</v>
      </c>
      <c r="C32" s="23" t="s">
        <v>1864</v>
      </c>
      <c r="D32" s="23" t="s">
        <v>1247</v>
      </c>
    </row>
    <row r="33" spans="1:4" ht="54" customHeight="1" x14ac:dyDescent="0.35">
      <c r="A33" s="22">
        <v>29</v>
      </c>
      <c r="B33" s="23" t="s">
        <v>1625</v>
      </c>
      <c r="C33" s="23" t="s">
        <v>1865</v>
      </c>
      <c r="D33" s="23" t="s">
        <v>1631</v>
      </c>
    </row>
    <row r="34" spans="1:4" ht="41.5" customHeight="1" x14ac:dyDescent="0.35">
      <c r="A34" s="22">
        <v>30</v>
      </c>
      <c r="B34" s="23" t="s">
        <v>1282</v>
      </c>
      <c r="C34" s="23" t="s">
        <v>1866</v>
      </c>
      <c r="D34" s="23" t="s">
        <v>1289</v>
      </c>
    </row>
    <row r="35" spans="1:4" ht="54" customHeight="1" x14ac:dyDescent="0.35">
      <c r="A35" s="22">
        <v>31</v>
      </c>
      <c r="B35" s="23" t="s">
        <v>1290</v>
      </c>
      <c r="C35" s="23" t="s">
        <v>1867</v>
      </c>
      <c r="D35" s="23" t="s">
        <v>1296</v>
      </c>
    </row>
    <row r="36" spans="1:4" ht="41.5" customHeight="1" x14ac:dyDescent="0.35">
      <c r="A36" s="22">
        <v>32</v>
      </c>
      <c r="B36" s="23" t="s">
        <v>1366</v>
      </c>
      <c r="C36" s="23" t="s">
        <v>1868</v>
      </c>
      <c r="D36" s="23" t="s">
        <v>1373</v>
      </c>
    </row>
    <row r="37" spans="1:4" ht="29" customHeight="1" x14ac:dyDescent="0.35">
      <c r="A37" s="22">
        <v>33</v>
      </c>
      <c r="B37" s="23" t="s">
        <v>1671</v>
      </c>
      <c r="C37" s="23" t="s">
        <v>1869</v>
      </c>
      <c r="D37" s="23" t="s">
        <v>1177</v>
      </c>
    </row>
    <row r="38" spans="1:4" ht="54" customHeight="1" x14ac:dyDescent="0.35">
      <c r="A38" s="22">
        <v>34</v>
      </c>
      <c r="B38" s="23" t="s">
        <v>1375</v>
      </c>
      <c r="C38" s="23" t="s">
        <v>1870</v>
      </c>
      <c r="D38" s="23" t="s">
        <v>1382</v>
      </c>
    </row>
    <row r="39" spans="1:4" ht="41.5" customHeight="1" x14ac:dyDescent="0.35">
      <c r="A39" s="22">
        <v>35</v>
      </c>
      <c r="B39" s="23" t="s">
        <v>1507</v>
      </c>
      <c r="C39" s="23" t="s">
        <v>1871</v>
      </c>
      <c r="D39" s="23" t="s">
        <v>1513</v>
      </c>
    </row>
    <row r="40" spans="1:4" ht="54" customHeight="1" x14ac:dyDescent="0.35">
      <c r="A40" s="22">
        <v>36</v>
      </c>
      <c r="B40" s="23" t="s">
        <v>1321</v>
      </c>
      <c r="C40" s="23" t="s">
        <v>1872</v>
      </c>
      <c r="D40" s="23" t="s">
        <v>1328</v>
      </c>
    </row>
    <row r="41" spans="1:4" ht="41.5" customHeight="1" x14ac:dyDescent="0.35">
      <c r="A41" s="22">
        <v>37</v>
      </c>
      <c r="B41" s="23" t="s">
        <v>1457</v>
      </c>
      <c r="C41" s="23" t="s">
        <v>1873</v>
      </c>
      <c r="D41" s="23" t="s">
        <v>1464</v>
      </c>
    </row>
    <row r="42" spans="1:4" ht="54" customHeight="1" x14ac:dyDescent="0.35">
      <c r="A42" s="22">
        <v>38</v>
      </c>
      <c r="B42" s="23" t="s">
        <v>1383</v>
      </c>
      <c r="C42" s="23" t="s">
        <v>1874</v>
      </c>
      <c r="D42" s="23" t="s">
        <v>1389</v>
      </c>
    </row>
    <row r="43" spans="1:4" ht="41.5" customHeight="1" x14ac:dyDescent="0.35">
      <c r="A43" s="22">
        <v>39</v>
      </c>
      <c r="B43" s="23" t="s">
        <v>1352</v>
      </c>
      <c r="C43" s="23" t="s">
        <v>1875</v>
      </c>
      <c r="D43" s="23" t="s">
        <v>1358</v>
      </c>
    </row>
    <row r="44" spans="1:4" ht="54" customHeight="1" x14ac:dyDescent="0.35">
      <c r="A44" s="22">
        <v>40</v>
      </c>
      <c r="B44" s="23" t="s">
        <v>1610</v>
      </c>
      <c r="C44" s="23" t="s">
        <v>1876</v>
      </c>
      <c r="D44" s="23" t="s">
        <v>1617</v>
      </c>
    </row>
    <row r="45" spans="1:4" ht="41.5" customHeight="1" x14ac:dyDescent="0.35">
      <c r="A45" s="22">
        <v>41</v>
      </c>
      <c r="B45" s="23" t="s">
        <v>1422</v>
      </c>
      <c r="C45" s="23" t="s">
        <v>1877</v>
      </c>
      <c r="D45" s="23" t="s">
        <v>1429</v>
      </c>
    </row>
    <row r="46" spans="1:4" ht="41.5" customHeight="1" x14ac:dyDescent="0.35">
      <c r="A46" s="22">
        <v>42</v>
      </c>
      <c r="B46" s="23" t="s">
        <v>1465</v>
      </c>
      <c r="C46" s="23" t="s">
        <v>1878</v>
      </c>
      <c r="D46" s="23" t="s">
        <v>1470</v>
      </c>
    </row>
    <row r="47" spans="1:4" ht="41.5" customHeight="1" x14ac:dyDescent="0.35">
      <c r="A47" s="22">
        <v>43</v>
      </c>
      <c r="B47" s="23" t="s">
        <v>1398</v>
      </c>
      <c r="C47" s="23" t="s">
        <v>1879</v>
      </c>
      <c r="D47" s="23" t="s">
        <v>1405</v>
      </c>
    </row>
    <row r="48" spans="1:4" ht="41.5" customHeight="1" x14ac:dyDescent="0.35">
      <c r="A48" s="22">
        <v>44</v>
      </c>
      <c r="B48" s="23" t="s">
        <v>1329</v>
      </c>
      <c r="C48" s="23" t="s">
        <v>1880</v>
      </c>
      <c r="D48" s="23" t="s">
        <v>1336</v>
      </c>
    </row>
    <row r="49" spans="1:4" ht="54" customHeight="1" x14ac:dyDescent="0.35">
      <c r="A49" s="22">
        <v>45</v>
      </c>
      <c r="B49" s="23" t="s">
        <v>1390</v>
      </c>
      <c r="C49" s="23" t="s">
        <v>1881</v>
      </c>
      <c r="D49" s="23" t="s">
        <v>1397</v>
      </c>
    </row>
    <row r="50" spans="1:4" ht="41.5" customHeight="1" x14ac:dyDescent="0.35">
      <c r="A50" s="22">
        <v>46</v>
      </c>
      <c r="B50" s="23" t="s">
        <v>1407</v>
      </c>
      <c r="C50" s="23" t="s">
        <v>1882</v>
      </c>
      <c r="D50" s="23" t="s">
        <v>1414</v>
      </c>
    </row>
    <row r="51" spans="1:4" ht="41.5" customHeight="1" x14ac:dyDescent="0.35">
      <c r="A51" s="22">
        <v>47</v>
      </c>
      <c r="B51" s="23" t="s">
        <v>1534</v>
      </c>
      <c r="C51" s="23" t="s">
        <v>1883</v>
      </c>
      <c r="D51" s="23" t="s">
        <v>1540</v>
      </c>
    </row>
    <row r="52" spans="1:4" ht="41.5" customHeight="1" x14ac:dyDescent="0.35">
      <c r="A52" s="22">
        <v>48</v>
      </c>
      <c r="B52" s="23" t="s">
        <v>1686</v>
      </c>
      <c r="C52" s="23" t="s">
        <v>1884</v>
      </c>
      <c r="D52" s="23" t="s">
        <v>1692</v>
      </c>
    </row>
    <row r="53" spans="1:4" ht="41.5" customHeight="1" x14ac:dyDescent="0.35">
      <c r="A53" s="22">
        <v>49</v>
      </c>
      <c r="B53" s="23" t="s">
        <v>1471</v>
      </c>
      <c r="C53" s="23" t="s">
        <v>1885</v>
      </c>
      <c r="D53" s="23" t="s">
        <v>1476</v>
      </c>
    </row>
    <row r="54" spans="1:4" ht="54" customHeight="1" x14ac:dyDescent="0.35">
      <c r="A54" s="22">
        <v>50</v>
      </c>
      <c r="B54" s="23" t="s">
        <v>1477</v>
      </c>
      <c r="C54" s="23" t="s">
        <v>1886</v>
      </c>
      <c r="D54" s="23" t="s">
        <v>1484</v>
      </c>
    </row>
    <row r="55" spans="1:4" ht="41.5" customHeight="1" x14ac:dyDescent="0.35">
      <c r="A55" s="22">
        <v>51</v>
      </c>
      <c r="B55" s="23" t="s">
        <v>1542</v>
      </c>
      <c r="C55" s="23" t="s">
        <v>1887</v>
      </c>
      <c r="D55" s="23" t="s">
        <v>1549</v>
      </c>
    </row>
    <row r="56" spans="1:4" ht="41.5" customHeight="1" x14ac:dyDescent="0.35">
      <c r="A56" s="22">
        <v>52</v>
      </c>
      <c r="B56" s="23" t="s">
        <v>1573</v>
      </c>
      <c r="C56" s="23" t="s">
        <v>1888</v>
      </c>
      <c r="D56" s="23" t="s">
        <v>1579</v>
      </c>
    </row>
    <row r="57" spans="1:4" ht="54" customHeight="1" x14ac:dyDescent="0.35">
      <c r="A57" s="22">
        <v>53</v>
      </c>
      <c r="B57" s="23" t="s">
        <v>1297</v>
      </c>
      <c r="C57" s="23" t="s">
        <v>1889</v>
      </c>
      <c r="D57" s="23" t="s">
        <v>1304</v>
      </c>
    </row>
    <row r="58" spans="1:4" ht="41.5" customHeight="1" x14ac:dyDescent="0.35">
      <c r="A58" s="22">
        <v>54</v>
      </c>
      <c r="B58" s="23" t="s">
        <v>1485</v>
      </c>
      <c r="C58" s="23" t="s">
        <v>1890</v>
      </c>
      <c r="D58" s="23" t="s">
        <v>1490</v>
      </c>
    </row>
    <row r="59" spans="1:4" ht="54" customHeight="1" x14ac:dyDescent="0.35">
      <c r="A59" s="22">
        <v>55</v>
      </c>
      <c r="B59" s="23" t="s">
        <v>1430</v>
      </c>
      <c r="C59" s="23" t="s">
        <v>1891</v>
      </c>
      <c r="D59" s="23" t="s">
        <v>1436</v>
      </c>
    </row>
    <row r="60" spans="1:4" ht="41.5" customHeight="1" x14ac:dyDescent="0.35">
      <c r="A60" s="22">
        <v>56</v>
      </c>
      <c r="B60" s="23" t="s">
        <v>1581</v>
      </c>
      <c r="C60" s="23" t="s">
        <v>1892</v>
      </c>
      <c r="D60" s="23" t="s">
        <v>1588</v>
      </c>
    </row>
    <row r="61" spans="1:4" ht="41.5" customHeight="1" x14ac:dyDescent="0.35">
      <c r="A61" s="22">
        <v>57</v>
      </c>
      <c r="B61" s="23" t="s">
        <v>1305</v>
      </c>
      <c r="C61" s="23" t="s">
        <v>1893</v>
      </c>
      <c r="D61" s="23" t="s">
        <v>1311</v>
      </c>
    </row>
    <row r="62" spans="1:4" ht="29" customHeight="1" x14ac:dyDescent="0.35">
      <c r="A62" s="22">
        <v>58</v>
      </c>
      <c r="B62" s="23" t="s">
        <v>1312</v>
      </c>
      <c r="C62" s="23" t="s">
        <v>1894</v>
      </c>
      <c r="D62" s="23" t="s">
        <v>1319</v>
      </c>
    </row>
    <row r="63" spans="1:4" ht="41.5" customHeight="1" x14ac:dyDescent="0.35">
      <c r="A63" s="22">
        <v>59</v>
      </c>
      <c r="B63" s="23" t="s">
        <v>1550</v>
      </c>
      <c r="C63" s="23" t="s">
        <v>1895</v>
      </c>
      <c r="D63" s="23" t="s">
        <v>1556</v>
      </c>
    </row>
    <row r="64" spans="1:4" ht="41.5" customHeight="1" x14ac:dyDescent="0.35">
      <c r="A64" s="22">
        <v>60</v>
      </c>
      <c r="B64" s="23" t="s">
        <v>1437</v>
      </c>
      <c r="C64" s="23" t="s">
        <v>1896</v>
      </c>
      <c r="D64" s="23" t="s">
        <v>1442</v>
      </c>
    </row>
    <row r="65" spans="1:4" ht="54" customHeight="1" x14ac:dyDescent="0.35">
      <c r="A65" s="22">
        <v>61</v>
      </c>
      <c r="B65" s="23" t="s">
        <v>1618</v>
      </c>
      <c r="C65" s="23" t="s">
        <v>1897</v>
      </c>
      <c r="D65" s="23" t="s">
        <v>1624</v>
      </c>
    </row>
    <row r="66" spans="1:4" ht="54" customHeight="1" x14ac:dyDescent="0.35">
      <c r="A66" s="22">
        <v>62</v>
      </c>
      <c r="B66" s="23" t="s">
        <v>1514</v>
      </c>
      <c r="C66" s="23" t="s">
        <v>1898</v>
      </c>
      <c r="D66" s="23" t="s">
        <v>1520</v>
      </c>
    </row>
    <row r="67" spans="1:4" ht="41.5" customHeight="1" x14ac:dyDescent="0.35">
      <c r="A67" s="22">
        <v>63</v>
      </c>
      <c r="B67" s="23" t="s">
        <v>1521</v>
      </c>
      <c r="C67" s="23" t="s">
        <v>1899</v>
      </c>
      <c r="D67" s="23" t="s">
        <v>1526</v>
      </c>
    </row>
    <row r="68" spans="1:4" ht="54" customHeight="1" x14ac:dyDescent="0.35">
      <c r="A68" s="22">
        <v>64</v>
      </c>
      <c r="B68" s="23" t="s">
        <v>1596</v>
      </c>
      <c r="C68" s="23" t="s">
        <v>1900</v>
      </c>
      <c r="D68" s="23" t="s">
        <v>1602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00 How to use</vt:lpstr>
      <vt:lpstr>01 Search log</vt:lpstr>
      <vt:lpstr>02 Screening log</vt:lpstr>
      <vt:lpstr>03 Extraction matrix</vt:lpstr>
      <vt:lpstr>04 PRISMA counts</vt:lpstr>
      <vt:lpstr>05 Gaps register</vt:lpstr>
      <vt:lpstr>06 Technology comparison</vt:lpstr>
      <vt:lpstr>07 Reference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 T</cp:lastModifiedBy>
  <dcterms:created xsi:type="dcterms:W3CDTF">2026-10-26T04:03:48Z</dcterms:created>
  <dcterms:modified xsi:type="dcterms:W3CDTF">2026-10-30T01:49:20Z</dcterms:modified>
</cp:coreProperties>
</file>