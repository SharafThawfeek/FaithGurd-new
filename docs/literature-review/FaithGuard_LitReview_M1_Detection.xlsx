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hsh\Documents\Faithgurd\docs\literature-review\"/>
    </mc:Choice>
  </mc:AlternateContent>
  <xr:revisionPtr revIDLastSave="0" documentId="13_ncr:1_{A4CCAA01-904A-4F05-B0B6-36283188DB9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How to use" sheetId="1" r:id="rId1"/>
    <sheet name="01 Search log" sheetId="2" r:id="rId2"/>
    <sheet name="02 Screening log" sheetId="3" r:id="rId3"/>
    <sheet name="03 Extraction matrix" sheetId="4" r:id="rId4"/>
    <sheet name="04 PRISMA counts" sheetId="5" r:id="rId5"/>
    <sheet name="05 Gaps register" sheetId="6" r:id="rId6"/>
    <sheet name="06 Technology comparison" sheetId="7" r:id="rId7"/>
    <sheet name="07 Reference list" sheetId="8" r:id="rId8"/>
  </sheets>
  <definedNames>
    <definedName name="_xlnm._FilterDatabase" localSheetId="2" hidden="1">'02 Screening log'!$A$4:$O$235</definedName>
    <definedName name="_xlnm._FilterDatabase" localSheetId="3" hidden="1">'03 Extraction matrix'!$A$4:$O$68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5" l="1"/>
  <c r="C41" i="5"/>
  <c r="C40" i="5"/>
  <c r="C39" i="5"/>
  <c r="C38" i="5"/>
  <c r="C37" i="5"/>
  <c r="C31" i="5"/>
  <c r="C30" i="5"/>
  <c r="C29" i="5"/>
  <c r="C28" i="5"/>
  <c r="C27" i="5"/>
  <c r="C32" i="5" s="1"/>
  <c r="C19" i="5"/>
  <c r="C18" i="5"/>
  <c r="C20" i="5" s="1"/>
  <c r="C15" i="5"/>
  <c r="C13" i="5"/>
  <c r="C12" i="5"/>
  <c r="C11" i="5"/>
  <c r="C9" i="5"/>
  <c r="C7" i="5"/>
  <c r="C8" i="5" s="1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C22" i="5" s="1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F28" i="2"/>
  <c r="E28" i="2"/>
  <c r="C10" i="5" l="1"/>
  <c r="B20" i="1"/>
  <c r="C14" i="5"/>
  <c r="C16" i="5" s="1"/>
  <c r="C21" i="5" s="1"/>
</calcChain>
</file>

<file path=xl/sharedStrings.xml><?xml version="1.0" encoding="utf-8"?>
<sst xmlns="http://schemas.openxmlformats.org/spreadsheetml/2006/main" count="3323" uniqueCount="1895">
  <si>
    <t>FaithGuard Literature Review Workbook - Member: Detection</t>
  </si>
  <si>
    <t>Member: M.L Ahamed  |  Component: Detection: Channel A learned span detector, Channel B rule checker, fused and calibrated score</t>
  </si>
  <si>
    <t>Review question: How can unsupported or wrong claims, especially numeric ones, be found in generated answers by checking them against source documents and tables, and how can a detector's threshold be calibrated with a guarantee?</t>
  </si>
  <si>
    <t>Sheet</t>
  </si>
  <si>
    <t>What it is for</t>
  </si>
  <si>
    <t>Feeds</t>
  </si>
  <si>
    <t>01 Search log</t>
  </si>
  <si>
    <t>Every search exactly as run, with date, total hits and records exported; citation-chasing lookups listed separately</t>
  </si>
  <si>
    <t>04 PRISMA counts</t>
  </si>
  <si>
    <t>02 Screening log</t>
  </si>
  <si>
    <t>One row per record with title (P1), abstract (P2) and full-text (P3) decisions, exclusion reason and notes</t>
  </si>
  <si>
    <t>03, 04</t>
  </si>
  <si>
    <t>03 Extraction matrix</t>
  </si>
  <si>
    <t>Included studies: focus, setting, method, key results, authors' stated limitations, subtopic, free full-text route</t>
  </si>
  <si>
    <t>05, 06, 07</t>
  </si>
  <si>
    <t>PRISMA flow counts and exclusion reasons, all calculated by formula</t>
  </si>
  <si>
    <t>Report / slides</t>
  </si>
  <si>
    <t>05 Gaps register</t>
  </si>
  <si>
    <t>Gaps stated by authors and how FaithGuard addresses each (or not)</t>
  </si>
  <si>
    <t>Problem statement, novelty</t>
  </si>
  <si>
    <t>06 Technology comparison</t>
  </si>
  <si>
    <t>Alternatives, criteria and FaithGuard's provisional decision for each design choice</t>
  </si>
  <si>
    <t>Methodology chapter</t>
  </si>
  <si>
    <t>07 Reference list</t>
  </si>
  <si>
    <t>Full APA 7 references for every included study</t>
  </si>
  <si>
    <t>Report bibliography</t>
  </si>
  <si>
    <t>Colour key</t>
  </si>
  <si>
    <t>Pale yellow cells: You type here</t>
  </si>
  <si>
    <t>White cells with formulas: Calculated - do not overwrite</t>
  </si>
  <si>
    <t>Green INCLUDED cell: the record passed all three screening passes</t>
  </si>
  <si>
    <t>Golden rule</t>
  </si>
  <si>
    <t>Every included study has a verified peer-reviewed venue and a legal free full-text route (publisher open access, open proceedings, or the authors' own arXiv version), and every number in sheet 03 comes from the paper itself.</t>
  </si>
  <si>
    <t>Eligibility criteria</t>
  </si>
  <si>
    <t>Include (all must hold)</t>
  </si>
  <si>
    <t>I1. Peer-reviewed archival publication: journal article, or paper in conference or workshop proceedings.</t>
  </si>
  <si>
    <t>I2. Published from 1 January 2017 onwards (search filter).</t>
  </si>
  <si>
    <t>I3. Written in English.</t>
  </si>
  <si>
    <t>I4. A legal free full text exists: publisher open access, open proceedings (ACL Anthology, PMLR, NeurIPS, AAAI) or the authors' own version (arXiv).</t>
  </si>
  <si>
    <t>I5. Primary study, benchmark, method or survey that meets the member's scope below.</t>
  </si>
  <si>
    <t>Scope (in): Methods, benchmarks and surveys that check generated or claimed text against evidence (documents, tables, knowledge): hallucination, faithfulness and factual-consistency detection; fact verification including numerical and table claims; financial QA and claim verification; XBRL numeric tagging; calibration and certified thresholds for a classifier's decision (batch setting).</t>
  </si>
  <si>
    <t>Scope (out, applied at P1 and P2): Mitigation-only methods with no detection evaluated (decoding, fine-tuning, retrieval tricks); white-box detectors that need the generator's internal states or token probabilities (FaithGuard's checker must audit any generator); non-text modalities; domain-specific applications outside finance; accounting studies of XBRL adoption; online and non-exchangeable calibration (reviewed by Member 3).</t>
  </si>
  <si>
    <t>Full-text exclusion reasons (P3)</t>
  </si>
  <si>
    <t>E1. Not peer-reviewed: preprints and technical reports with no archival version found, non-archival workshop papers, and journals whose peer review cannot be verified (open-access journals not listed in DOAJ).</t>
  </si>
  <si>
    <t>E2. Outside date range: published before 2017.</t>
  </si>
  <si>
    <t>E3. Outside scope: fails the member's scope at full-text stage.</t>
  </si>
  <si>
    <t>E4. Free full text unavailable: subscription-only and no author version found (arXiv searched by title).</t>
  </si>
  <si>
    <t>E5. Duplicate/secondary version: another version (e.g. arXiv copy) of a paper already in the log.</t>
  </si>
  <si>
    <t>Subtopics</t>
  </si>
  <si>
    <t>A  Hallucination and faithfulness detection</t>
  </si>
  <si>
    <t>B  Span- and token-level detection</t>
  </si>
  <si>
    <t>C  Claim verification over tables and numbers</t>
  </si>
  <si>
    <t>D  Financial QA and document verification</t>
  </si>
  <si>
    <t>E  XBRL and financial numeric tagging</t>
  </si>
  <si>
    <t>F  Calibration and certified thresholds</t>
  </si>
  <si>
    <t>Method notes</t>
  </si>
  <si>
    <t>- Bounded review: each search exported the 25 most-cited records (OpenAlex order), and every exported record was screened.</t>
  </si>
  <si>
    <t>- Planned indexes were DBLP and Semantic Scholar; their APIs refused automated queries (bot check; HTTP 429), so OpenAlex was used for every search. OpenAlex indexes ACL Anthology, arXiv, ACM, IEEE, Springer and other publishers.</t>
  </si>
  <si>
    <t>- When a record was an arXiv copy, the peer-reviewed version was located (title lookups in sheet 01) and assessed; the venue was checked on the proceedings or publisher page, or with Crossref.</t>
  </si>
  <si>
    <t>- Citation chasing: backward (an included study cites the paper) or forward (the paper cites an included study); each link is given in sheet 02.</t>
  </si>
  <si>
    <t>- Peer-review check for open-access journals: listing in DOAJ.</t>
  </si>
  <si>
    <t>- Screening by one reviewer; a second reader should re-check a sample of P1 and P2 decisions (record who in column M).</t>
  </si>
  <si>
    <t>01 - Search log: Detection</t>
  </si>
  <si>
    <t>Every search below was run as written on the date shown. Database searches used the OpenAlex works API (filter title_and_abstract.search, publication date from 2017-01-01, sorted by citation count, first 25 records exported). DBLP's API answered with a bot check and the Semantic Scholar API with HTTP 429 (rate limit), so OpenAlex, which indexes ACL Anthology, arXiv, ACM, IEEE, Springer and other publishers, was used for all searches.</t>
  </si>
  <si>
    <t>#</t>
  </si>
  <si>
    <t>Database</t>
  </si>
  <si>
    <t>Search string (exactly as run)</t>
  </si>
  <si>
    <t>Date run</t>
  </si>
  <si>
    <t>Results (total hits)</t>
  </si>
  <si>
    <t>Records exported for screening</t>
  </si>
  <si>
    <t>Notes / filters applied</t>
  </si>
  <si>
    <t>M1-01</t>
  </si>
  <si>
    <t>OpenAlex (works API)</t>
  </si>
  <si>
    <t>"hallucination detection" AND ("retrieval-augmented" OR RAG)</t>
  </si>
  <si>
    <t>2026-10-25</t>
  </si>
  <si>
    <t>title_and_abstract.search; from_publication_date:2017-01-01; sort cited_by_count desc; per-page 25</t>
  </si>
  <si>
    <t>M1-02</t>
  </si>
  <si>
    <t>hallucination AND ("token-level" OR "span-level") AND detection</t>
  </si>
  <si>
    <t>M1-03</t>
  </si>
  <si>
    <t>"factual consistency" AND (evaluation OR detection) AND (entailment OR NLI)</t>
  </si>
  <si>
    <t>M1-04</t>
  </si>
  <si>
    <t>"fact verification" AND (table OR tabular)</t>
  </si>
  <si>
    <t>M1-05</t>
  </si>
  <si>
    <t>(financial OR finance) AND ("claim verification" OR "fact-checking" OR "hallucination")</t>
  </si>
  <si>
    <t>M1-06</t>
  </si>
  <si>
    <t>XBRL AND ("language model" OR "natural language processing" OR tagging)</t>
  </si>
  <si>
    <t>M1-07</t>
  </si>
  <si>
    <t>"numerical claims" AND ("fact-checking" OR verification)</t>
  </si>
  <si>
    <t>M1-08</t>
  </si>
  <si>
    <t>("risk control" OR "risk-controlling") AND (conformal OR "distribution-free")</t>
  </si>
  <si>
    <t>TOTAL RECORDS IDENTIFIED</t>
  </si>
  <si>
    <t>Citation-chasing lookups (other methods; not counted as database identification)</t>
  </si>
  <si>
    <t>Records returned</t>
  </si>
  <si>
    <t>Purpose</t>
  </si>
  <si>
    <t>CC-01</t>
  </si>
  <si>
    <t>SelfCheckGPT OR FActScore OR HaluEval OR MiniCheck OR SummaC OR FinQA OR FinDVer OR "Learn then Test" OR "On Calibration of Modern Neural Networks" OR "Conformal Factuality Guarantees"</t>
  </si>
  <si>
    <t>title.search; sort cited_by_count desc; per-page 50. Exact-title lookup to locate citation-chased papers and published versions</t>
  </si>
  <si>
    <t>CC-02</t>
  </si>
  <si>
    <t>"Survey of Hallucination in Natural Language Generation" OR RAGTruth OR "Fine-grained Hallucination Detection and Editing" OR "Re-evaluating Factual Consistency Evaluation" OR TabFact OR FEVEROUS OR "TAT-QA" OR ConvFinQA OR "TAT-LLM"</t>
  </si>
  <si>
    <t>02 - Screening log: Detection</t>
  </si>
  <si>
    <t>One row per unique record. P1 = title pass, P2 = abstract pass (title and venue when no abstract was indexed), P3 = full-text pass. Type KEEP or DROP; the INCLUDED column is a formula. Database records are numbered in search order; citation-chased records follow.</t>
  </si>
  <si>
    <t>Title</t>
  </si>
  <si>
    <t>First author</t>
  </si>
  <si>
    <t>Year</t>
  </si>
  <si>
    <t>Venue</t>
  </si>
  <si>
    <t>Database / index searched</t>
  </si>
  <si>
    <t>P1 Title</t>
  </si>
  <si>
    <t>P2 Abstract</t>
  </si>
  <si>
    <t>P3 Full text</t>
  </si>
  <si>
    <t>Exclusion reason (P3)</t>
  </si>
  <si>
    <t>INCLUDED</t>
  </si>
  <si>
    <t>Route</t>
  </si>
  <si>
    <t>Screening note</t>
  </si>
  <si>
    <t>OpenAlex ID</t>
  </si>
  <si>
    <t>DOI / link</t>
  </si>
  <si>
    <t>A Survey on Hallucination in Large Language Models: Principles, Taxonomy, Challenges, and Open Questions</t>
  </si>
  <si>
    <t>Lei Huang</t>
  </si>
  <si>
    <t>ACM TOIS 43(2)</t>
  </si>
  <si>
    <t>OpenAlex: M1-01</t>
  </si>
  <si>
    <t>KEEP</t>
  </si>
  <si>
    <t>Database search</t>
  </si>
  <si>
    <t>W4404534210</t>
  </si>
  <si>
    <t>https://doi.org/10.1145/3703155</t>
  </si>
  <si>
    <t>RAG-HAT: A Hallucination-Aware Tuning Pipeline for LLM in Retrieval-Augmented Generation</t>
  </si>
  <si>
    <t>Juntong Song</t>
  </si>
  <si>
    <t>Conference on Empirical Methods in Natural Language Processing: Industry Track (EMNLP)</t>
  </si>
  <si>
    <t>DROP</t>
  </si>
  <si>
    <t>Mitigation or generation method; no detection evaluated (hallucination-aware fine-tuning pipeline)</t>
  </si>
  <si>
    <t>W4404783652</t>
  </si>
  <si>
    <t>https://doi.org/10.18653/v1/2024.emnlp-industry.113</t>
  </si>
  <si>
    <t>Citation-Enhanced Generation for LLM-based Chatbots</t>
  </si>
  <si>
    <t>Weitao Li</t>
  </si>
  <si>
    <t>Annual Meeting of the Association for Computational Linguistics (ACL)</t>
  </si>
  <si>
    <t>Mitigation or generation method; no detection evaluated (citation generation)</t>
  </si>
  <si>
    <t>W4402671914</t>
  </si>
  <si>
    <t>https://doi.org/10.18653/v1/2024.acl-long.79</t>
  </si>
  <si>
    <t>A scalable framework for evaluating multiple language models through cross-domain generation and hallucination detection</t>
  </si>
  <si>
    <t>Sorup Chakraborty</t>
  </si>
  <si>
    <t>Scientific Reports</t>
  </si>
  <si>
    <t>Benchmarks generator LLMs across domains; hallucination detection is only a metric, not evaluated as a method</t>
  </si>
  <si>
    <t>W4413269875</t>
  </si>
  <si>
    <t>https://doi.org/10.1038/s41598-025-15203-5</t>
  </si>
  <si>
    <t>AI Overview Capture Registry — Batch 1, June 2026 (EA-WG-CAPTURES-01 v1.0)</t>
  </si>
  <si>
    <t>Lee Sharks</t>
  </si>
  <si>
    <t>Zenodo</t>
  </si>
  <si>
    <t>Not a research study: data registry on Zenodo</t>
  </si>
  <si>
    <t>W7164760417</t>
  </si>
  <si>
    <t>https://doi.org/10.5281/zenodo.20683855</t>
  </si>
  <si>
    <t>Fine-grained Hallucination Detection and Editing for Language Models</t>
  </si>
  <si>
    <t>Abhika Mishra</t>
  </si>
  <si>
    <t>COLM 2024</t>
  </si>
  <si>
    <t>W4391013695</t>
  </si>
  <si>
    <t>https://doi.org/10.48550/arxiv.2401.06855</t>
  </si>
  <si>
    <t>Mitigating hallucinations in healthcare AI: a systematic review of evidence-based strategies</t>
  </si>
  <si>
    <t>Sanjay Basu</t>
  </si>
  <si>
    <t>BMC Health Services Research</t>
  </si>
  <si>
    <t>Domain-specific application outside finance: healthcare (mitigation review)</t>
  </si>
  <si>
    <t>W7163771632</t>
  </si>
  <si>
    <t>https://doi.org/10.1186/s12913-026-14851-1</t>
  </si>
  <si>
    <t>Lrp4rag: Detecting Hallucinations in Retrieval-Augmented Generation Via Layer-Wise Relevance Propagation</t>
  </si>
  <si>
    <t>Haichuan Hu</t>
  </si>
  <si>
    <t>SSRN Electronic Journal</t>
  </si>
  <si>
    <t>White-box: needs the generator's internal states (layer-wise relevance propagation; no abstract, decided on title)</t>
  </si>
  <si>
    <t>W4409352943</t>
  </si>
  <si>
    <t>https://doi.org/10.2139/ssrn.5199254</t>
  </si>
  <si>
    <t>RAGTruth: A Hallucination Corpus for Developing Trustworthy Retrieval-Augmented Language Models</t>
  </si>
  <si>
    <t>Cheng Niu</t>
  </si>
  <si>
    <t>ACL 2024 (Long Papers)</t>
  </si>
  <si>
    <t>Record is the arXiv version; the peer-reviewed version was assessed</t>
  </si>
  <si>
    <t>W4390528749</t>
  </si>
  <si>
    <t>https://doi.org/10.48550/arxiv.2401.00396</t>
  </si>
  <si>
    <t>Chainpoll: A high efficacy method for LLM hallucination detection</t>
  </si>
  <si>
    <t>Friel, Robert</t>
  </si>
  <si>
    <t>arXiv preprint</t>
  </si>
  <si>
    <t>Not peer-reviewed</t>
  </si>
  <si>
    <t>arXiv preprint (2023); no peer-reviewed version found</t>
  </si>
  <si>
    <t>W4388092399</t>
  </si>
  <si>
    <t>https://doi.org/10.48550/arxiv.2310.18344</t>
  </si>
  <si>
    <t>Rowen: Adaptive Retrieval-Augmented Generation for Hallucination Mitigation in LLMs</t>
  </si>
  <si>
    <t>Hanxing Ding</t>
  </si>
  <si>
    <t>Annual International ACM SIGIR Conference on Research and Development in Information Retrieval in the Asia Pacific Region (SIGIR-AP)</t>
  </si>
  <si>
    <t>Mitigation or generation method; no detection evaluated (adaptive retrieval)</t>
  </si>
  <si>
    <t>W7108320559</t>
  </si>
  <si>
    <t>https://doi.org/10.1145/3767695.3769500</t>
  </si>
  <si>
    <t>Lynx: An Open Source Hallucination Evaluation Model</t>
  </si>
  <si>
    <t>Ravi, Selvan Sunitha</t>
  </si>
  <si>
    <t>arXiv preprint (2024); no peer-reviewed version found</t>
  </si>
  <si>
    <t>W4400611869</t>
  </si>
  <si>
    <t>https://doi.org/10.48550/arxiv.2407.08488</t>
  </si>
  <si>
    <t>ReDeEP: Detecting Hallucination in Retrieval-Augmented Generation via Mechanistic Interpretability</t>
  </si>
  <si>
    <t>Zhongxiang Sun</t>
  </si>
  <si>
    <t>White-box: needs the generator's internal states (mechanistic interpretability)</t>
  </si>
  <si>
    <t>W4403574069</t>
  </si>
  <si>
    <t>https://doi.org/10.48550/arxiv.2410.11414</t>
  </si>
  <si>
    <t>ChemLit-QA: a human evaluated dataset for chemistry RAG tasks</t>
  </si>
  <si>
    <t>Geemi P. Wellawatte</t>
  </si>
  <si>
    <t>Machine Learning Science and Technology</t>
  </si>
  <si>
    <t>Domain-specific application outside finance: chemistry QA dataset</t>
  </si>
  <si>
    <t>W4408605330</t>
  </si>
  <si>
    <t>https://doi.org/10.1088/2632-2153/adc2d6</t>
  </si>
  <si>
    <t>RaDIO: Real-Time Hallucination Detection with Contextual Index Optimized Query Formulation for Dynamic Retrieval Augmented Generation</t>
  </si>
  <si>
    <t>Jia Zhu</t>
  </si>
  <si>
    <t>Proceedings of the AAAI Conference on Artificial Intelligence</t>
  </si>
  <si>
    <t>Detection only triggers retrieval inside the generation loop (mitigation)</t>
  </si>
  <si>
    <t>W4409362638</t>
  </si>
  <si>
    <t>https://doi.org/10.1609/aaai.v39i24.34809</t>
  </si>
  <si>
    <t>LLM-Based Automated Hallucination Detection in Multilingual Customer Service RAG Applications</t>
  </si>
  <si>
    <t>N.R. Patel</t>
  </si>
  <si>
    <t>IFIP advances in information and communication technology</t>
  </si>
  <si>
    <t>Domain-specific application outside finance: customer-service deployment</t>
  </si>
  <si>
    <t>W4411531956</t>
  </si>
  <si>
    <t>https://doi.org/10.1007/978-3-031-96235-6_26</t>
  </si>
  <si>
    <t>Efficient Dynamic Clustering-Based Document Compression for Retrieval-Augmented-Generation</t>
  </si>
  <si>
    <t>Conference-paper</t>
  </si>
  <si>
    <t>Off-topic: document compression for RAG</t>
  </si>
  <si>
    <t>W4416034634</t>
  </si>
  <si>
    <t>https://doi.org/10.18653/v1/2025.findings-emnlp.522</t>
  </si>
  <si>
    <t>Mitigating Hallucinations in AI</t>
  </si>
  <si>
    <t>Poonam C. Sharma</t>
  </si>
  <si>
    <t>Advances in computational intelligence and robotics book series</t>
  </si>
  <si>
    <t>Not a research study: book chapter on mitigation</t>
  </si>
  <si>
    <t>W7160539097</t>
  </si>
  <si>
    <t>https://doi.org/10.4018/979-8-3373-7320-1.ch012</t>
  </si>
  <si>
    <t>A framework for hallucination mitigation in domain-specialized large language models with application to aviation maintenance decision support</t>
  </si>
  <si>
    <t>Xuanting Lu</t>
  </si>
  <si>
    <t>Information Processing &amp; Management</t>
  </si>
  <si>
    <t>Domain-specific application outside finance: aviation maintenance (mitigation)</t>
  </si>
  <si>
    <t>W7141989338</t>
  </si>
  <si>
    <t>https://doi.org/10.1016/j.ipm.2026.104762</t>
  </si>
  <si>
    <t>Learned Hallucination Detection in Black-Box LLMs Using Token-Level Entropy Production Rate</t>
  </si>
  <si>
    <t>Charles Moslonka</t>
  </si>
  <si>
    <t>Lecture notes in computer science</t>
  </si>
  <si>
    <t>OpenAlex: M1-01, M1-02</t>
  </si>
  <si>
    <t>Needs the generator's token probabilities (token-level entropy; no abstract, decided on title)</t>
  </si>
  <si>
    <t>W7140082075</t>
  </si>
  <si>
    <t>https://doi.org/10.1007/978-3-032-21289-4_8</t>
  </si>
  <si>
    <t>Relational reasoning image captioning via multi-agent retrieval-augmented generation</t>
  </si>
  <si>
    <t>Aiwen Jiang</t>
  </si>
  <si>
    <t>Knowledge-Based Systems</t>
  </si>
  <si>
    <t>Non-text modality: image captioning</t>
  </si>
  <si>
    <t>W4417027849</t>
  </si>
  <si>
    <t>https://doi.org/10.1016/j.knosys.2025.114977</t>
  </si>
  <si>
    <t>Turk-LettuceDetect: A Hallucination Detection Model for Turkish RAG Applications</t>
  </si>
  <si>
    <t>Selva Taş</t>
  </si>
  <si>
    <t>IEEE FLLM 2025</t>
  </si>
  <si>
    <t>W7130593875</t>
  </si>
  <si>
    <t>https://doi.org/10.1109/fllm67465.2025.11390913</t>
  </si>
  <si>
    <t>Attention Mapping for Hallucination Reduction in Arabic Financial Using Retrieval-Augmented Generation Systems</t>
  </si>
  <si>
    <t>Hasan A. Hasan</t>
  </si>
  <si>
    <t>Journal of Intelligent Informatics Networking and Cybersecurity</t>
  </si>
  <si>
    <t>Mitigation or generation method; no detection evaluated (attention mapping)</t>
  </si>
  <si>
    <t>W4416917045</t>
  </si>
  <si>
    <t>https://doi.org/10.65445/3106-1192.1006</t>
  </si>
  <si>
    <t>A Unified Framework for Mitigating Hallucinations in Large Language Models: Integrating Internal and External Validation Strategies</t>
  </si>
  <si>
    <t>Akshay Mittal</t>
  </si>
  <si>
    <t>Mitigation or generation method; no detection evaluated (mitigation framework)</t>
  </si>
  <si>
    <t>W4417003022</t>
  </si>
  <si>
    <t>https://doi.org/10.1109/uemcon67449.2025.11267527</t>
  </si>
  <si>
    <t>Hallucination Detection with Small Language Models</t>
  </si>
  <si>
    <t>Ming Cheung</t>
  </si>
  <si>
    <t>IEEE ICDE Workshops 2025</t>
  </si>
  <si>
    <t>W4413461262</t>
  </si>
  <si>
    <t>https://doi.org/10.1109/icdew67478.2025.00033</t>
  </si>
  <si>
    <t>A Token-level Reference-free Hallucination Detection Benchmark for Free-form Text Generation</t>
  </si>
  <si>
    <t>Tianyu Liu</t>
  </si>
  <si>
    <t>ACL 2022 (Long Papers)</t>
  </si>
  <si>
    <t>OpenAlex: M1-02</t>
  </si>
  <si>
    <t>W3155332104</t>
  </si>
  <si>
    <t>https://doi.org/10.18653/v1/2022.acl-long.464</t>
  </si>
  <si>
    <t>KCTS: Knowledge-Constrained Tree Search Decoding with Token-Level Hallucination Detection</t>
  </si>
  <si>
    <t>Se-Hyun Choi</t>
  </si>
  <si>
    <t>Conference on Empirical Methods in Natural Language Processing (EMNLP)</t>
  </si>
  <si>
    <t>Mitigation or generation method; no detection evaluated (decoding-time search)</t>
  </si>
  <si>
    <t>W4389519596</t>
  </si>
  <si>
    <t>https://doi.org/10.18653/v1/2023.emnlp-main.867</t>
  </si>
  <si>
    <t>Duplicate/secondary version</t>
  </si>
  <si>
    <t>arXiv version of HADES (ACL 2022, record 26)</t>
  </si>
  <si>
    <t>W4296300649</t>
  </si>
  <si>
    <t>https://doi.org/10.48550/arxiv.2104.08704</t>
  </si>
  <si>
    <t>Analyzing LLM Behavior in Dialogue Summarization: Unveiling Circumstantial Hallucination Trends</t>
  </si>
  <si>
    <t>Sanjana Ramprasad</t>
  </si>
  <si>
    <t>W4402672049</t>
  </si>
  <si>
    <t>https://doi.org/10.18653/v1/2024.acl-long.677</t>
  </si>
  <si>
    <t>Do Androids Know They’re Only Dreaming of Electric Sheep?</t>
  </si>
  <si>
    <t>Sky CH-Wang</t>
  </si>
  <si>
    <t>White-box: needs the generator's internal states (probes on internal representations)</t>
  </si>
  <si>
    <t>W4402670439</t>
  </si>
  <si>
    <t>https://doi.org/10.18653/v1/2024.findings-acl.260</t>
  </si>
  <si>
    <t>HalLoc: Token-level Localization of Hallucinations for Vision Language Models</t>
  </si>
  <si>
    <t>EunKyu Park</t>
  </si>
  <si>
    <t>IEEE Computer Society Conference on Computer Vision and Pattern Recognition/Proceedings - IEEE Computer Society Conference on Computer Vision and Pattern Recognition/Proceedings</t>
  </si>
  <si>
    <t>Non-text modality: vision-language models</t>
  </si>
  <si>
    <t>W4413146493</t>
  </si>
  <si>
    <t>https://doi.org/10.1109/cvpr52734.2025.02782</t>
  </si>
  <si>
    <t>Quantifying Factual Divergence in Generative Models: SHAP-LIME Based Hallucination Score for LLMs</t>
  </si>
  <si>
    <t>Ijazul Haq</t>
  </si>
  <si>
    <t>Multimedia Systems</t>
  </si>
  <si>
    <t>Free full text unavailable</t>
  </si>
  <si>
    <t>Springer subscription article; no author version found on arXiv</t>
  </si>
  <si>
    <t>W7128010324</t>
  </si>
  <si>
    <t>https://doi.org/10.1007/s00530-025-02150-4</t>
  </si>
  <si>
    <t>Mitigating LLM Hallucination Snowballing in Multiagent Systems via Context-Aware Semantic Consistency Reasoning</t>
  </si>
  <si>
    <t>Xijian Xu</t>
  </si>
  <si>
    <t>IEEE Transactions on Neural Networks and Learning Systems</t>
  </si>
  <si>
    <t>Mitigation or generation method; no detection evaluated (multi-agent systems)</t>
  </si>
  <si>
    <t>W7125906888</t>
  </si>
  <si>
    <t>https://doi.org/10.1109/tnnls.2026.3655508</t>
  </si>
  <si>
    <t>HaluGNN: Hallucination detection in large language models using graph neural network</t>
  </si>
  <si>
    <t>Linggang Kong</t>
  </si>
  <si>
    <t>Expert Systems with Applications</t>
  </si>
  <si>
    <t>Elsevier subscription article; no author version found on arXiv</t>
  </si>
  <si>
    <t>W7117319847</t>
  </si>
  <si>
    <t>https://doi.org/10.1016/j.eswa.2025.130857</t>
  </si>
  <si>
    <t>Unsupervised Token-level Hallucination Detection from Summary Generation By-products</t>
  </si>
  <si>
    <t>Andreas Marfurt</t>
  </si>
  <si>
    <t>White-box: needs the generator's internal states (the summariser's own generation by-products)</t>
  </si>
  <si>
    <t>W4385573613</t>
  </si>
  <si>
    <t>https://doi.org/10.18653/v1/2022.gem-1.21</t>
  </si>
  <si>
    <t>Theoretical Foundations and Mitigation of Hallucination in Large Language Models</t>
  </si>
  <si>
    <t>Esmail Gumaan</t>
  </si>
  <si>
    <t>Mitigation or generation method; no detection evaluated (theory and mitigation)</t>
  </si>
  <si>
    <t>W4414930427</t>
  </si>
  <si>
    <t>https://doi.org/10.48550/arxiv.2507.22915</t>
  </si>
  <si>
    <t>LettuceDetect: A Hallucination Detection Framework for RAG Applications</t>
  </si>
  <si>
    <t>Kovács, Ádám</t>
  </si>
  <si>
    <t>arXiv preprint (6 pages); kept as background in sheet 06</t>
  </si>
  <si>
    <t>W4414848608</t>
  </si>
  <si>
    <t>https://doi.org/10.48550/arxiv.2502.17125</t>
  </si>
  <si>
    <t>MetaToken: Detecting Hallucination in Image Descriptions by Meta Classification</t>
  </si>
  <si>
    <t>Laura Fieback</t>
  </si>
  <si>
    <t>International Joint Conference on Computer Vision, Imaging and Computer Graphics Theory and Applications (VISIGRAPP)</t>
  </si>
  <si>
    <t>Non-text modality: image descriptions</t>
  </si>
  <si>
    <t>W4408111725</t>
  </si>
  <si>
    <t>https://doi.org/10.5220/0013165700003912</t>
  </si>
  <si>
    <t>When Models Lie, We Learn: Multilingual Span-Level Hallucination Detection with PsiloQA</t>
  </si>
  <si>
    <t>Elisei Rykov</t>
  </si>
  <si>
    <t>Findings of EMNLP 2025</t>
  </si>
  <si>
    <t>W4416034343</t>
  </si>
  <si>
    <t>https://doi.org/10.18653/v1/2025.findings-emnlp.626</t>
  </si>
  <si>
    <t>Confidence-weighted semantic entropy: A robust framework for hallucination detection and uncertainty estimation in large language models</t>
  </si>
  <si>
    <t>Zhipeng Wang</t>
  </si>
  <si>
    <t>Neurocomputing</t>
  </si>
  <si>
    <t>W7203717763</t>
  </si>
  <si>
    <t>https://doi.org/10.1016/j.neucom.2026.134859</t>
  </si>
  <si>
    <t>Detecting Hallucinations in Retrieval-Augmented Generation via Semantic-level Internal Reasoning Graph</t>
  </si>
  <si>
    <t>Jianpeng Hu</t>
  </si>
  <si>
    <t>White-box: needs the generator's internal states (relevance propagation over internal reasoning)</t>
  </si>
  <si>
    <t>W7166840430</t>
  </si>
  <si>
    <t>https://doi.org/10.18653/v1/2026.findings-acl.1385</t>
  </si>
  <si>
    <t>Learning to Reason for Hallucination Span Detection</t>
  </si>
  <si>
    <t>Su, Hsuan</t>
  </si>
  <si>
    <t>ICLR 2026</t>
  </si>
  <si>
    <t>W4414821065</t>
  </si>
  <si>
    <t>https://doi.org/10.48550/arxiv.2510.02173</t>
  </si>
  <si>
    <t>Integrating Token-Level Uncertainty, Bidirectional NLI, and Semantic Entropy for Robust Hallucination Detection in Large Language Models</t>
  </si>
  <si>
    <t>Shalini Raghuvanshi</t>
  </si>
  <si>
    <t>Needs the generator's token probabilities (averaged log-likelihoods)</t>
  </si>
  <si>
    <t>W4415709332</t>
  </si>
  <si>
    <t>https://doi.org/10.1109/icaiet65052.2025.11211393</t>
  </si>
  <si>
    <t>The Impact of Negated Text on Hallucination with Large Language Models</t>
  </si>
  <si>
    <t>Jaehyung Seo</t>
  </si>
  <si>
    <t>EMNLP 2025 (Main)</t>
  </si>
  <si>
    <t>W4416036295</t>
  </si>
  <si>
    <t>https://doi.org/10.18653/v1/2025.emnlp-main.684</t>
  </si>
  <si>
    <t>AG Metric Benchmark</t>
  </si>
  <si>
    <t>Anonymous</t>
  </si>
  <si>
    <t>Not a research study: benchmark files on Zenodo</t>
  </si>
  <si>
    <t>W7223202947</t>
  </si>
  <si>
    <t>https://doi.org/10.5281/zenodo.23572893</t>
  </si>
  <si>
    <t>DETECTING AND MITIGATING HALLUCINATIONS IN LARGE LANGUAGE MODELS: A REVIEW OF UNCERTAINTY, EVIDENCE GROUNDING, AND AGENTIC WORKFLOWS</t>
  </si>
  <si>
    <t>Anindya Singh</t>
  </si>
  <si>
    <t>IJARCCE</t>
  </si>
  <si>
    <t>Peer review not verifiable: open-access journal not listed in DOAJ</t>
  </si>
  <si>
    <t>W7223013490</t>
  </si>
  <si>
    <t>https://doi.org/10.17148/ijarcce.2026.151059</t>
  </si>
  <si>
    <t>SHAM-Bench: A Span-level Hallucination Benchmark Across Multiple Tasks</t>
  </si>
  <si>
    <t>Sicong Huang</t>
  </si>
  <si>
    <t>arXiv preprint (2026); no peer-reviewed version found</t>
  </si>
  <si>
    <t>W7223081911</t>
  </si>
  <si>
    <t>https://doi.org/10.48550/arxiv.2610.27370</t>
  </si>
  <si>
    <t>A Meta-study of Hallucination Detection Across Provenance, Typology, and Granularities</t>
  </si>
  <si>
    <t>Julia Belikova</t>
  </si>
  <si>
    <t>Springer LNCS chapter; no author version found on arXiv</t>
  </si>
  <si>
    <t>W7222108177</t>
  </si>
  <si>
    <t>https://doi.org/10.1007/978-3-032-41546-2_17</t>
  </si>
  <si>
    <t>Towards Mitigating LLM Hallucination via Self Reflection</t>
  </si>
  <si>
    <t>Ziwei Ji</t>
  </si>
  <si>
    <t>OpenAlex: M1-03</t>
  </si>
  <si>
    <t>Mitigation or generation method; no detection evaluated (self-reflection)</t>
  </si>
  <si>
    <t>W4389519928</t>
  </si>
  <si>
    <t>https://doi.org/10.18653/v1/2023.findings-emnlp.123</t>
  </si>
  <si>
    <t>Q2: : Evaluating Factual Consistency in Knowledge-Grounded Dialogues via Question Generation and Question Answering</t>
  </si>
  <si>
    <t>Or Honovich</t>
  </si>
  <si>
    <t>EMNLP 2021 (Main)</t>
  </si>
  <si>
    <t>W3153947101</t>
  </si>
  <si>
    <t>https://doi.org/10.18653/v1/2021.emnlp-main.619</t>
  </si>
  <si>
    <t>AlignScore: Evaluating Factual Consistency with A Unified Alignment Function</t>
  </si>
  <si>
    <t>Yuheng Zha</t>
  </si>
  <si>
    <t>ACL 2023 (Long Papers)</t>
  </si>
  <si>
    <t>W4385572448</t>
  </si>
  <si>
    <t>https://doi.org/10.18653/v1/2023.acl-long.634</t>
  </si>
  <si>
    <t>TrueTeacher: Learning Factual Consistency Evaluation with Large Language Models</t>
  </si>
  <si>
    <t>Zorik Gekhman</t>
  </si>
  <si>
    <t>EMNLP 2023 (Main)</t>
  </si>
  <si>
    <t>W4389519430</t>
  </si>
  <si>
    <t>https://doi.org/10.18653/v1/2023.emnlp-main.127</t>
  </si>
  <si>
    <t>Multilingual Summarization with Factual Consistency Evaluation</t>
  </si>
  <si>
    <t>Roee Aharoni</t>
  </si>
  <si>
    <t>Uses existing consistency models to filter data and control generation (mitigation); no new detector</t>
  </si>
  <si>
    <t>W4385570231</t>
  </si>
  <si>
    <t>https://doi.org/10.18653/v1/2023.findings-acl.220</t>
  </si>
  <si>
    <t>Towards Mitigating Hallucination in Large Language Models via Self-Reflection</t>
  </si>
  <si>
    <t>W4387560883</t>
  </si>
  <si>
    <t>https://doi.org/10.48550/arxiv.2310.06271</t>
  </si>
  <si>
    <t>TRUE: Re-evaluating Factual Consistency Evaluation</t>
  </si>
  <si>
    <t>NAACL-HLT 2022 (Main)</t>
  </si>
  <si>
    <t>W4229019162</t>
  </si>
  <si>
    <t>https://doi.org/10.48550/arxiv.2204.04991</t>
  </si>
  <si>
    <t>Utilizing GPT to Enhance Text Summarization: A Strategy to Minimize Hallucinations</t>
  </si>
  <si>
    <t>Hassan Shakil</t>
  </si>
  <si>
    <t>Procedia Computer Science</t>
  </si>
  <si>
    <t>Mitigation or generation method; no detection evaluated (summarisation prompting)</t>
  </si>
  <si>
    <t>W4403768626</t>
  </si>
  <si>
    <t>https://doi.org/10.1016/j.procs.2024.10.197</t>
  </si>
  <si>
    <t>SWING: Balancing Coverage and Faithfulness for Dialogue Summarization</t>
  </si>
  <si>
    <t>Kung-Hsiang Huang</t>
  </si>
  <si>
    <t>Findings of the Association for Computational Linguistics: EACL</t>
  </si>
  <si>
    <t>Mitigation or generation method; no detection evaluated (summarisation training)</t>
  </si>
  <si>
    <t>W4386566433</t>
  </si>
  <si>
    <t>https://doi.org/10.18653/v1/2023.findings-eacl.37</t>
  </si>
  <si>
    <t>Just ClozE! A Novel Framework for Evaluating the Factual Consistency Faster in Abstractive Summarization</t>
  </si>
  <si>
    <t>Yiyang Li</t>
  </si>
  <si>
    <t>Research Square</t>
  </si>
  <si>
    <t>Research Square preprint; the arXiv version is a journal submission; no published version found</t>
  </si>
  <si>
    <t>W4389342716</t>
  </si>
  <si>
    <t>https://doi.org/10.21203/rs.3.rs-3695932/v1</t>
  </si>
  <si>
    <t>mFACE: Multilingual Summarization with Factual Consistency Evaluation</t>
  </si>
  <si>
    <t>W4312107301</t>
  </si>
  <si>
    <t>https://doi.org/10.48550/arxiv.2212.10622</t>
  </si>
  <si>
    <t>MoFE: Mixture of Factual Experts for Controlling Hallucinations in Abstractive Summarization.</t>
  </si>
  <si>
    <t>Prafulla Kumar Choubey</t>
  </si>
  <si>
    <t>Mitigation or generation method; no detection evaluated (mixture of experts)</t>
  </si>
  <si>
    <t>W3205556807</t>
  </si>
  <si>
    <t>http://arxiv.org/pdf/2110.07166.pdf</t>
  </si>
  <si>
    <t>Factually Consistent Summarization via Reinforcement Learning with Textual Entailment Feedback</t>
  </si>
  <si>
    <t>Paul Roit</t>
  </si>
  <si>
    <t>Mitigation or generation method; no detection evaluated (RL with entailment reward)</t>
  </si>
  <si>
    <t>W4379251951</t>
  </si>
  <si>
    <t>https://doi.org/10.48550/arxiv.2306.00186</t>
  </si>
  <si>
    <t>WeCheck: Strong Factual Consistency Checker via Weakly Supervised Learning</t>
  </si>
  <si>
    <t>Wenhao Wu</t>
  </si>
  <si>
    <t>W4385571035</t>
  </si>
  <si>
    <t>https://doi.org/10.18653/v1/2023.acl-long.18</t>
  </si>
  <si>
    <t>VerifAI: A Verifiable Open-Source Search Engine for Biomedical Question Answering</t>
  </si>
  <si>
    <t>Miloš Košprdić</t>
  </si>
  <si>
    <t>IEEE Access</t>
  </si>
  <si>
    <t>Domain-specific application outside finance: biomedical search engine</t>
  </si>
  <si>
    <t>W7140119110</t>
  </si>
  <si>
    <t>https://doi.org/10.1109/access.2026.3676985</t>
  </si>
  <si>
    <t>Are Large Language Models Reliable Judges? A Study on the Factuality Evaluation Capabilities of LLMs</t>
  </si>
  <si>
    <t>Xue-Yong Fu</t>
  </si>
  <si>
    <t>GEM Workshop 2023 (EMNLP)</t>
  </si>
  <si>
    <t>W4388276249</t>
  </si>
  <si>
    <t>https://doi.org/10.48550/arxiv.2311.00681</t>
  </si>
  <si>
    <t>A Novel Clinical Trial Prediction-Based Factual Inconsistency Detection Approach for Medical Text Summarization</t>
  </si>
  <si>
    <t>Shuaimin Li</t>
  </si>
  <si>
    <t>Domain-specific application outside finance: medical summarisation</t>
  </si>
  <si>
    <t>W4385488826</t>
  </si>
  <si>
    <t>https://doi.org/10.1109/ijcnn54540.2023.10191247</t>
  </si>
  <si>
    <t>QAFactEval: Improved QA-Based Factual Consistency Evaluation for Summarization</t>
  </si>
  <si>
    <t>Alexander R. Fabbri</t>
  </si>
  <si>
    <t>W4306291189</t>
  </si>
  <si>
    <t>https://doi.org/10.48550/arxiv.2112.08542</t>
  </si>
  <si>
    <t>Multi-Dimensional Evaluation of Auto-Generated Chain-of-Thought Traces in Reasoning Models</t>
  </si>
  <si>
    <t>Luis F. Becerra-Monsalve</t>
  </si>
  <si>
    <t>AI</t>
  </si>
  <si>
    <t>Off-topic: quality of reasoning traces, not source-grounded checking</t>
  </si>
  <si>
    <t>W7125271932</t>
  </si>
  <si>
    <t>https://doi.org/10.3390/ai7010035</t>
  </si>
  <si>
    <t>PlainQAFact: Retrieval-augmented factual consistency evaluation metric for biomedical plain language summarization</t>
  </si>
  <si>
    <t>Zhiwen You</t>
  </si>
  <si>
    <t>Journal of Biomedical Informatics</t>
  </si>
  <si>
    <t>Domain-specific application outside finance: biomedical summaries</t>
  </si>
  <si>
    <t>W4415058447</t>
  </si>
  <si>
    <t>https://doi.org/10.1016/j.jbi.2026.105019</t>
  </si>
  <si>
    <t>Comparative Fine-Tuning of GPT-2 on Question Answering and Dialogue Datasets for Medical Text Generation</t>
  </si>
  <si>
    <t>Caleb Nhkum</t>
  </si>
  <si>
    <t>Communications in computer and information science</t>
  </si>
  <si>
    <t>Domain-specific application outside finance: medical text generation</t>
  </si>
  <si>
    <t>W7117967869</t>
  </si>
  <si>
    <t>https://doi.org/10.1007/978-3-032-08977-9_38</t>
  </si>
  <si>
    <t>Retrieval Augmented Generation Enhanced RLHF Framework for Factuality Verification Improvement</t>
  </si>
  <si>
    <t>Xiaobo Zhou</t>
  </si>
  <si>
    <t>RLHF training with an NLI reward (mitigation); no detector evaluated</t>
  </si>
  <si>
    <t>W7124941590</t>
  </si>
  <si>
    <t>https://doi.org/10.1109/icftic68075.2025.11325091</t>
  </si>
  <si>
    <t>Text Alignment Is An Efficient Unified Model for Massive NLP Tasks</t>
  </si>
  <si>
    <t>NeurIPS 2023</t>
  </si>
  <si>
    <t>W7133229395</t>
  </si>
  <si>
    <t>https://doi.org/10.52202/075280-3405</t>
  </si>
  <si>
    <t>arXiv version of WeCheck (ACL 2023, record 62)</t>
  </si>
  <si>
    <t>W4312091043</t>
  </si>
  <si>
    <t>https://doi.org/10.48550/arxiv.2212.10057</t>
  </si>
  <si>
    <t>What Was Your Name Again? Interrogating Generative Conversational Models For Factual Consistency Evaluation</t>
  </si>
  <si>
    <t>Ehsan Lotfi</t>
  </si>
  <si>
    <t>GEM Workshop 2022 (EMNLP)</t>
  </si>
  <si>
    <t>W4385573542</t>
  </si>
  <si>
    <t>https://doi.org/10.18653/v1/2022.gem-1.47</t>
  </si>
  <si>
    <t>TabFact: A Large-scale Dataset for Table-based Fact Verification</t>
  </si>
  <si>
    <t>Wenhu Chen</t>
  </si>
  <si>
    <t>ICLR 2020</t>
  </si>
  <si>
    <t>OpenAlex: M1-04</t>
  </si>
  <si>
    <t>W2971822538</t>
  </si>
  <si>
    <t>https://doi.org/10.48550/arxiv.1909.02164</t>
  </si>
  <si>
    <t>Large Language Models are few(1)-shot Table Reasoners</t>
  </si>
  <si>
    <t>Findings of EACL 2023</t>
  </si>
  <si>
    <t>W4386566488</t>
  </si>
  <si>
    <t>https://doi.org/10.18653/v1/2023.findings-eacl.83</t>
  </si>
  <si>
    <t>FEVEROUS: Fact Extraction and VERification Over Unstructured and Structured information</t>
  </si>
  <si>
    <t>Rami Aly</t>
  </si>
  <si>
    <t>NeurIPS 2021 Datasets and Benchmarks</t>
  </si>
  <si>
    <t>W4287121227</t>
  </si>
  <si>
    <t>https://doi.org/10.48550/arxiv.2106.05707</t>
  </si>
  <si>
    <t>Table Fact Verification with Structure-Aware Transformer</t>
  </si>
  <si>
    <t>Hongzhi Zhang</t>
  </si>
  <si>
    <t>EMNLP 2020 (Main)</t>
  </si>
  <si>
    <t>W3099873751</t>
  </si>
  <si>
    <t>https://doi.org/10.18653/v1/2020.emnlp-main.126</t>
  </si>
  <si>
    <t>Program Enhanced Fact Verification with Verbalization and Graph Attention Network</t>
  </si>
  <si>
    <t>Xiaoyu Yang</t>
  </si>
  <si>
    <t>W3098295417</t>
  </si>
  <si>
    <t>https://doi.org/10.18653/v1/2020.emnlp-main.628</t>
  </si>
  <si>
    <t>SemEval-2021 Task 9: Fact Verification and Evidence Finding for Tabular Data in Scientific Documents (SEM-TAB-FACTS)</t>
  </si>
  <si>
    <t>Nancy X. R. Wang</t>
  </si>
  <si>
    <t>SemEval-2021 (ACL workshop)</t>
  </si>
  <si>
    <t>W3164841497</t>
  </si>
  <si>
    <t>https://doi.org/10.18653/v1/2021.semeval-1.39</t>
  </si>
  <si>
    <t>Learn to Combine Linguistic and Symbolic Information for Table-based Fact Verification</t>
  </si>
  <si>
    <t>Qi Shi</t>
  </si>
  <si>
    <t>COLING 2020</t>
  </si>
  <si>
    <t>W3114740437</t>
  </si>
  <si>
    <t>https://doi.org/10.18653/v1/2020.coling-main.466</t>
  </si>
  <si>
    <t>TFGIN: Tight-Fitting Graph Inference Network for Table-based Fact Verification</t>
  </si>
  <si>
    <t>Lianwei Wu</t>
  </si>
  <si>
    <t>ACM TOIS 43(5)</t>
  </si>
  <si>
    <t>W4410118875</t>
  </si>
  <si>
    <t>https://doi.org/10.1145/3734520</t>
  </si>
  <si>
    <t>PASTA: Table-Operations Aware Fact Verification via Sentence-Table Cloze Pre-training</t>
  </si>
  <si>
    <t>Zihui Gu</t>
  </si>
  <si>
    <t>EMNLP 2022 (Main)</t>
  </si>
  <si>
    <t>W4385573115</t>
  </si>
  <si>
    <t>https://doi.org/10.18653/v1/2022.emnlp-main.331</t>
  </si>
  <si>
    <t>Zenodo dataset deposit of FEVEROUS (record 76)</t>
  </si>
  <si>
    <t>W3198633256</t>
  </si>
  <si>
    <t>https://doi.org/10.5281/zenodo.4911507</t>
  </si>
  <si>
    <t>Logic-level Evidence Retrieval and Graph-based Verification Network for Table-based Fact Verification</t>
  </si>
  <si>
    <t>W3213399018</t>
  </si>
  <si>
    <t>https://doi.org/10.18653/v1/2021.emnlp-main.16</t>
  </si>
  <si>
    <t>ReasTAP: Injecting Table Reasoning Skills During Pre-training via Synthetic Reasoning Examples</t>
  </si>
  <si>
    <t>Yilun Zhao</t>
  </si>
  <si>
    <t>W4385573499</t>
  </si>
  <si>
    <t>https://doi.org/10.18653/v1/2022.emnlp-main.615</t>
  </si>
  <si>
    <t>Chain-of-Table: Evolving Tables in the Reasoning Chain for Table Understanding</t>
  </si>
  <si>
    <t>Zilong Wang</t>
  </si>
  <si>
    <t>ICLR 2024</t>
  </si>
  <si>
    <t>W4390784213</t>
  </si>
  <si>
    <t>https://doi.org/10.48550/arxiv.2401.04398</t>
  </si>
  <si>
    <t>Exploring Decomposition for Table-based Fact Verification</t>
  </si>
  <si>
    <t>Findings of EMNLP 2021</t>
  </si>
  <si>
    <t>W3198948523</t>
  </si>
  <si>
    <t>https://doi.org/10.18653/v1/2021.findings-emnlp.90</t>
  </si>
  <si>
    <t>LoFT: Enhancing Faithfulness and Diversity for Table-to-Text Generation via Logic Form Control</t>
  </si>
  <si>
    <t>Conference of the European Chapter of the Association for Computational Linguistics</t>
  </si>
  <si>
    <t>Mitigation or generation method; no detection evaluated (table-to-text generation)</t>
  </si>
  <si>
    <t>W4386566859</t>
  </si>
  <si>
    <t>https://doi.org/10.18653/v1/2023.eacl-main.40</t>
  </si>
  <si>
    <t>Heuristic Heterogeneous Graph Reasoning Networks for Fact Verification</t>
  </si>
  <si>
    <t>IEEE subscription article; no author version found on arXiv</t>
  </si>
  <si>
    <t>W4380519997</t>
  </si>
  <si>
    <t>https://doi.org/10.1109/tnnls.2023.3282380</t>
  </si>
  <si>
    <t>Table-based Fact Verification with Self-adaptive Mixture of Experts</t>
  </si>
  <si>
    <t>Yuxuan Zhou</t>
  </si>
  <si>
    <t>Findings of ACL 2022</t>
  </si>
  <si>
    <t>W4224873813</t>
  </si>
  <si>
    <t>https://doi.org/10.18653/v1/2022.findings-acl.13</t>
  </si>
  <si>
    <t>Dual-Channel Evidence Fusion for Fact Verification over Texts and Tables</t>
  </si>
  <si>
    <t>Nan Hu</t>
  </si>
  <si>
    <t>W4287887710</t>
  </si>
  <si>
    <t>https://doi.org/10.18653/v1/2022.naacl-main.384</t>
  </si>
  <si>
    <t>Table-based Fact Verification With Salience-aware Learning</t>
  </si>
  <si>
    <t>Fei Wang</t>
  </si>
  <si>
    <t>W3198480521</t>
  </si>
  <si>
    <t>https://doi.org/10.18653/v1/2021.findings-emnlp.338</t>
  </si>
  <si>
    <t>ChartCheck: Explainable Fact-Checking over Real-World Chart Images</t>
  </si>
  <si>
    <t>Mubashara Akhtar</t>
  </si>
  <si>
    <t>Non-text modality: chart images</t>
  </si>
  <si>
    <t>W4402669758</t>
  </si>
  <si>
    <t>https://doi.org/10.18653/v1/2024.findings-acl.828</t>
  </si>
  <si>
    <t>Learning to Generate Programs for Table Fact Verification via Structure-Aware Semantic Parsing</t>
  </si>
  <si>
    <t>Suixin Ou</t>
  </si>
  <si>
    <t>W4285305556</t>
  </si>
  <si>
    <t>https://doi.org/10.18653/v1/2022.acl-long.525</t>
  </si>
  <si>
    <t>Structural Encoding and Pre-training Matter: Adapting BERT for Table-Based Fact Verification</t>
  </si>
  <si>
    <t>Rui Dong</t>
  </si>
  <si>
    <t>EACL 2021 (Main)</t>
  </si>
  <si>
    <t>W3156392851</t>
  </si>
  <si>
    <t>https://doi.org/10.18653/v1/2021.eacl-main.201</t>
  </si>
  <si>
    <t>Are Large Language Models Table-based Fact-Checkers?</t>
  </si>
  <si>
    <t>Hanwen Zhang</t>
  </si>
  <si>
    <t>IEEE CSCWD 2024</t>
  </si>
  <si>
    <t>W4400490306</t>
  </si>
  <si>
    <t>https://doi.org/10.1109/cscwd61410.2024.10580146</t>
  </si>
  <si>
    <t>Table-R1: Inference-Time Scaling for Table Reasoning Tasks</t>
  </si>
  <si>
    <t>Zheyuan Yang</t>
  </si>
  <si>
    <t>W4416036470</t>
  </si>
  <si>
    <t>https://doi.org/10.18653/v1/2025.emnlp-main.1040</t>
  </si>
  <si>
    <t>Toward a Unified Framework for Unsupervised Complex Tabular Reasoning</t>
  </si>
  <si>
    <t>Zhenyu Li</t>
  </si>
  <si>
    <t>Proceedings - International Conference on Data Engineering</t>
  </si>
  <si>
    <t>IEEE subscription paper; no author version found on arXiv</t>
  </si>
  <si>
    <t>W4385281527</t>
  </si>
  <si>
    <t>https://doi.org/10.1109/icde55515.2023.00133</t>
  </si>
  <si>
    <t>The spread of true and false news online</t>
  </si>
  <si>
    <t>Soroush Vosoughi</t>
  </si>
  <si>
    <t>Science</t>
  </si>
  <si>
    <t>OpenAlex: M1-05</t>
  </si>
  <si>
    <t>Off-topic: spread of news on social media</t>
  </si>
  <si>
    <t>W2790166049</t>
  </si>
  <si>
    <t>https://doi.org/10.1126/science.aap9559</t>
  </si>
  <si>
    <t>Transformative effects of ChatGPT on modern education: Emerging Era of AI Chatbots</t>
  </si>
  <si>
    <t>Sukhpal Singh Gill</t>
  </si>
  <si>
    <t>Internet of Things and Cyber-Physical Systems</t>
  </si>
  <si>
    <t>Off-topic: education</t>
  </si>
  <si>
    <t>W4381252082</t>
  </si>
  <si>
    <t>https://doi.org/10.1016/j.iotcps.2023.06.002</t>
  </si>
  <si>
    <t>The ASAM Clinical Practice Guideline on Alcohol Withdrawal Management</t>
  </si>
  <si>
    <t>-</t>
  </si>
  <si>
    <t>Journal of Addiction Medicine</t>
  </si>
  <si>
    <t>Off-topic: clinical guideline</t>
  </si>
  <si>
    <t>W3033273022</t>
  </si>
  <si>
    <t>https://doi.org/10.1097/adm.0000000000000668</t>
  </si>
  <si>
    <t>A Comprehensive Survey of Hallucination Mitigation Techniques in Large Language Models</t>
  </si>
  <si>
    <t>S. M Towhidul Islam Tonmoy</t>
  </si>
  <si>
    <t>Mitigation or generation method; no detection evaluated (mitigation survey)</t>
  </si>
  <si>
    <t>W4390602555</t>
  </si>
  <si>
    <t>https://doi.org/10.48550/arxiv.2401.01313</t>
  </si>
  <si>
    <t>History of anaesthesia</t>
  </si>
  <si>
    <t>Georges Mion</t>
  </si>
  <si>
    <t>European Journal of Anaesthesiology</t>
  </si>
  <si>
    <t>Off-topic: medical history</t>
  </si>
  <si>
    <t>W2737205065</t>
  </si>
  <si>
    <t>https://doi.org/10.1097/eja.0000000000000638</t>
  </si>
  <si>
    <t>LLMs Will Always Hallucinate, and We Need to Live with This</t>
  </si>
  <si>
    <t>Sourav Banerjee</t>
  </si>
  <si>
    <t>Lecture notes in networks and systems</t>
  </si>
  <si>
    <t>Off-topic: position paper on inevitability of hallucination</t>
  </si>
  <si>
    <t>W4413328432</t>
  </si>
  <si>
    <t>https://doi.org/10.1007/978-3-031-99965-9_39</t>
  </si>
  <si>
    <t>Fake News</t>
  </si>
  <si>
    <t>Bente Kalsnes</t>
  </si>
  <si>
    <t>Oxford Research Encyclopedia of Communication</t>
  </si>
  <si>
    <t>Not a research study: encyclopedia entry</t>
  </si>
  <si>
    <t>W4251817558</t>
  </si>
  <si>
    <t>https://doi.org/10.1093/acrefore/9780190228613.013.809</t>
  </si>
  <si>
    <t>Large Language Models in Finance (FinLLMs)</t>
  </si>
  <si>
    <t>Jean Lee</t>
  </si>
  <si>
    <t>Neural Computing and Applications</t>
  </si>
  <si>
    <t>General survey of financial LLMs; detection is not its focus</t>
  </si>
  <si>
    <t>W4406272066</t>
  </si>
  <si>
    <t>https://doi.org/10.1007/s00521-024-10495-6</t>
  </si>
  <si>
    <t>The state of human-centered NLP technology for fact-checking</t>
  </si>
  <si>
    <t>Anubrata Das</t>
  </si>
  <si>
    <t>Information Processing &amp; Management 60(2)</t>
  </si>
  <si>
    <t>W4312158082</t>
  </si>
  <si>
    <t>https://doi.org/10.1016/j.ipm.2022.103219</t>
  </si>
  <si>
    <t>Limitations and Loopholes in the EU AI Act and AI Liability Directives: What This Means for the European Union, the United States, and Beyond</t>
  </si>
  <si>
    <t>Sandra Wachter</t>
  </si>
  <si>
    <t>Off-topic: law and policy</t>
  </si>
  <si>
    <t>W4402551159</t>
  </si>
  <si>
    <t>https://doi.org/10.2139/ssrn.4924553</t>
  </si>
  <si>
    <t>The metaverse as virtual heterotopia</t>
  </si>
  <si>
    <t>David Frederick van der Merwe</t>
  </si>
  <si>
    <t>Off-topic: metaverse</t>
  </si>
  <si>
    <t>W4285343781</t>
  </si>
  <si>
    <t>https://doi.org/10.33422/3rd.socialsciencesconf.2021.10.61</t>
  </si>
  <si>
    <t>Thus spoke GPT-3: Interviewing a large-language model on climate finance</t>
  </si>
  <si>
    <t>Markus Leippold</t>
  </si>
  <si>
    <t>Finance research letters</t>
  </si>
  <si>
    <t>Off-topic: interview with GPT-3 on climate finance</t>
  </si>
  <si>
    <t>W4313334409</t>
  </si>
  <si>
    <t>https://doi.org/10.1016/j.frl.2022.103617</t>
  </si>
  <si>
    <t>Clinical Practice Guidelines for the Management of Generalised Anxiety Disorder (GAD) and Panic Disorder (PD)</t>
  </si>
  <si>
    <t>Shiv Gautam</t>
  </si>
  <si>
    <t>Indian Journal of Psychiatry</t>
  </si>
  <si>
    <t>W2569832883</t>
  </si>
  <si>
    <t>https://doi.org/10.4103/0019-5545.196975</t>
  </si>
  <si>
    <t>Systems engineering issues for industry applications of large language model</t>
  </si>
  <si>
    <t>Wang Chen</t>
  </si>
  <si>
    <t>Applied Soft Computing</t>
  </si>
  <si>
    <t>Off-topic: systems engineering of LLM applications</t>
  </si>
  <si>
    <t>W4389903865</t>
  </si>
  <si>
    <t>https://doi.org/10.1016/j.asoc.2023.111165</t>
  </si>
  <si>
    <t>Can we disrupt the momentum of the AI colonization of science education?</t>
  </si>
  <si>
    <t>Lucy Avraamidou</t>
  </si>
  <si>
    <t>Journal of Research in Science Teaching</t>
  </si>
  <si>
    <t>Off-topic: science education</t>
  </si>
  <si>
    <t>W4399046994</t>
  </si>
  <si>
    <t>https://doi.org/10.1002/tea.21961</t>
  </si>
  <si>
    <t>FlowMind: Automatic Workflow Generation with LLMs</t>
  </si>
  <si>
    <t>Zhen Zeng</t>
  </si>
  <si>
    <t>ACM International Conference on AI in Finance (ICAIF)</t>
  </si>
  <si>
    <t>Off-topic: workflow generation</t>
  </si>
  <si>
    <t>W4388994320</t>
  </si>
  <si>
    <t>https://doi.org/10.1145/3604237.3626908</t>
  </si>
  <si>
    <t>SARS‐CoV ‐2 pandemics: The lack of critical reflection addressing short‐ and long‐term challenges</t>
  </si>
  <si>
    <t>Tiago Correia</t>
  </si>
  <si>
    <t>The International Journal of Health Planning and Management</t>
  </si>
  <si>
    <t>Off-topic: public health</t>
  </si>
  <si>
    <t>W3013822680</t>
  </si>
  <si>
    <t>https://doi.org/10.1002/hpm.2977</t>
  </si>
  <si>
    <t>Knowledge Graphs and Their Reciprocal Relationship with Large Language Models</t>
  </si>
  <si>
    <t>Ramandeep Singh Dehal</t>
  </si>
  <si>
    <t>Machine Learning and Knowledge Extraction</t>
  </si>
  <si>
    <t>Off-topic: knowledge graphs and LLMs review</t>
  </si>
  <si>
    <t>W4409634738</t>
  </si>
  <si>
    <t>https://doi.org/10.3390/make7020038</t>
  </si>
  <si>
    <t>The challenge of healthcare big data to China’s commercial health insurance industry: evaluation and recommendations</t>
  </si>
  <si>
    <t>Jun Wu</t>
  </si>
  <si>
    <t>Off-topic: health insurance</t>
  </si>
  <si>
    <t>W4296613854</t>
  </si>
  <si>
    <t>https://doi.org/10.1186/s12913-022-08574-2</t>
  </si>
  <si>
    <t>A High Precision Pipeline for Financial Knowledge Graph Construction</t>
  </si>
  <si>
    <t>Sarah Elhammadi</t>
  </si>
  <si>
    <t>International Conference on Computational Linguistics</t>
  </si>
  <si>
    <t>Off-topic: knowledge-graph construction</t>
  </si>
  <si>
    <t>W3114211574</t>
  </si>
  <si>
    <t>https://doi.org/10.18653/v1/2020.coling-main.84</t>
  </si>
  <si>
    <t>A Survey of Hallucination Problems Based on Large Language Models</t>
  </si>
  <si>
    <t>Xinxin Liu</t>
  </si>
  <si>
    <t>Applied and Computational Engineering</t>
  </si>
  <si>
    <t>Peer review not verifiable: open-access proceedings series not listed in DOAJ</t>
  </si>
  <si>
    <t>W4404682098</t>
  </si>
  <si>
    <t>https://doi.org/10.54254/2755-2721/2024.17851</t>
  </si>
  <si>
    <t>HaluCheck: Explainable and verifiable automation for detecting hallucinations in LLM responses</t>
  </si>
  <si>
    <t>Sangwoo Heo</t>
  </si>
  <si>
    <t>W4407100297</t>
  </si>
  <si>
    <t>https://doi.org/10.1016/j.eswa.2025.126712</t>
  </si>
  <si>
    <t>FinTral: A Family of GPT-4 Level Multimodal Financial Large Language Models</t>
  </si>
  <si>
    <t>Gagan Bhatia</t>
  </si>
  <si>
    <t>Off-topic: financial LLM development</t>
  </si>
  <si>
    <t>W4402670321</t>
  </si>
  <si>
    <t>https://doi.org/10.18653/v1/2024.findings-acl.774</t>
  </si>
  <si>
    <t>Transformative Effects of ChatGPT on Modern Education: Emerging Era of AI Chatbots</t>
  </si>
  <si>
    <t>W4379925138</t>
  </si>
  <si>
    <t>https://doi.org/10.48550/arxiv.2306.03823</t>
  </si>
  <si>
    <t>Clinical Manifestations of Early-Onset Dementia With Lewy Bodies Compared With Late-Onset Dementia With Lewy Bodies and Early-Onset Alzheimer Disease</t>
  </si>
  <si>
    <t>Jingwei Sim</t>
  </si>
  <si>
    <t>JAMA Neurology</t>
  </si>
  <si>
    <t>Off-topic: neurology</t>
  </si>
  <si>
    <t>W4281384854</t>
  </si>
  <si>
    <t>https://doi.org/10.1001/jamaneurol.2022.1133</t>
  </si>
  <si>
    <t>Measuring Accounting Reporting Complexity with XBRL</t>
  </si>
  <si>
    <t>Rani Hoitash</t>
  </si>
  <si>
    <t>The Accounting Review</t>
  </si>
  <si>
    <t>OpenAlex: M1-06</t>
  </si>
  <si>
    <t>Accounting research on XBRL adoption; no NLP method</t>
  </si>
  <si>
    <t>W3123132665</t>
  </si>
  <si>
    <t>https://doi.org/10.2308/accr-51762</t>
  </si>
  <si>
    <t>The Impact of Information Processing Costs on Firm Disclosure Choice: Evidence from the XBRL Mandate</t>
  </si>
  <si>
    <t>Elizabeth Blankespoor</t>
  </si>
  <si>
    <t>Journal of Accounting Research</t>
  </si>
  <si>
    <t>W6003277</t>
  </si>
  <si>
    <t>https://doi.org/10.1111/1475-679x.12268</t>
  </si>
  <si>
    <t>FiNER: Financial Numeric Entity Recognition for XBRL Tagging</t>
  </si>
  <si>
    <t>Lefteris Loukas</t>
  </si>
  <si>
    <t>W4285137661</t>
  </si>
  <si>
    <t>https://doi.org/10.18653/v1/2022.acl-long.303</t>
  </si>
  <si>
    <t>Can XBRL detailed tagging of footnotes improve financial analysts' information environment?</t>
  </si>
  <si>
    <t>Andrew J. Felo</t>
  </si>
  <si>
    <t>International Journal of Accounting Information Systems</t>
  </si>
  <si>
    <t>W2778150163</t>
  </si>
  <si>
    <t>https://doi.org/10.1016/j.accinf.2017.12.003</t>
  </si>
  <si>
    <t>XBRL and the qualitative characteristics of useful financial information</t>
  </si>
  <si>
    <t>Jacqueline L. Birt</t>
  </si>
  <si>
    <t>Accounting Research Journal</t>
  </si>
  <si>
    <t>W2606813422</t>
  </si>
  <si>
    <t>https://doi.org/10.1108/arj-11-2014-0105</t>
  </si>
  <si>
    <t>XBRL Adoption and Bank Loan Contracting: Early Evidence</t>
  </si>
  <si>
    <t>Gary Chen</t>
  </si>
  <si>
    <t>Journal of Information Systems</t>
  </si>
  <si>
    <t>W2584084874</t>
  </si>
  <si>
    <t>https://doi.org/10.2308/isys-51688</t>
  </si>
  <si>
    <t>XBRL Mandate and Timeliness of Financial Reporting: The Effect of Internal Control Problems</t>
  </si>
  <si>
    <t>Seokyoun Hwang</t>
  </si>
  <si>
    <t>Journal of Accounting Auditing &amp; Finance</t>
  </si>
  <si>
    <t>W3035609299</t>
  </si>
  <si>
    <t>https://doi.org/10.1177/0148558x20929854</t>
  </si>
  <si>
    <t>Do Managers Use Extension Elements Strategically in the SEC's Tagged Data for Financial Statements? Evidence from XBRL Complexity</t>
  </si>
  <si>
    <t>Feiqi Huang</t>
  </si>
  <si>
    <t>W2808093737</t>
  </si>
  <si>
    <t>https://doi.org/10.2308/isys-52162</t>
  </si>
  <si>
    <t>Using GPT to Measure Business Complexity</t>
  </si>
  <si>
    <t>Darren Bernard</t>
  </si>
  <si>
    <t>Accounting research on XBRL adoption; no NLP method (GPT used to measure complexity)</t>
  </si>
  <si>
    <t>W7124431829</t>
  </si>
  <si>
    <t>https://doi.org/10.2308/tar-2023-0716</t>
  </si>
  <si>
    <t>Big data and algorithmic trading against periodic and tangible asset reporting: The need for U-XBRL</t>
  </si>
  <si>
    <t>Duo Pei</t>
  </si>
  <si>
    <t>W3018406296</t>
  </si>
  <si>
    <t>https://doi.org/10.1016/j.accinf.2020.100453</t>
  </si>
  <si>
    <t>Sustainability accounting for greenhouse gas emissions measurement using the GREET LCA model: practical review of automotive ESG reporting</t>
  </si>
  <si>
    <t>Péter Molnár</t>
  </si>
  <si>
    <t>Clean Technologies and Environmental Policy</t>
  </si>
  <si>
    <t>Off-topic: emissions accounting</t>
  </si>
  <si>
    <t>W4385580318</t>
  </si>
  <si>
    <t>https://doi.org/10.1007/s10098-023-02588-y</t>
  </si>
  <si>
    <t>Cloud-Computing Risk Disclosure and ICFR Material Weakness: The Moderating Role of Accounting Reporting Complexity</t>
  </si>
  <si>
    <t>Antoinette L. Smith</t>
  </si>
  <si>
    <t>W2800335447</t>
  </si>
  <si>
    <t>https://doi.org/10.2308/isys-52134</t>
  </si>
  <si>
    <t>The effect of XBRL adoption on corporate tax avoidance: empirical evidence from an emerging country</t>
  </si>
  <si>
    <t>Arfah Habib Saragih</t>
  </si>
  <si>
    <t>Journal of financial reporting &amp; accounting</t>
  </si>
  <si>
    <t>W4220967938</t>
  </si>
  <si>
    <t>https://doi.org/10.1108/jfra-09-2021-0281</t>
  </si>
  <si>
    <t>How to Read a Financial Report: Wringing Vital Signs Out of the Numbers</t>
  </si>
  <si>
    <t>John A. Tracy</t>
  </si>
  <si>
    <t>Other</t>
  </si>
  <si>
    <t>Not a research study: book</t>
  </si>
  <si>
    <t>W1534120717</t>
  </si>
  <si>
    <t>The role of XBRL adoption on the association between managerial ability and corporate tax outcomes: empirical evidence from Indonesia</t>
  </si>
  <si>
    <t>Journal of Applied Accounting Research</t>
  </si>
  <si>
    <t>W4282926913</t>
  </si>
  <si>
    <t>https://doi.org/10.1108/jaar-10-2021-0267</t>
  </si>
  <si>
    <t>Factors influencing the usage of XBRL tools</t>
  </si>
  <si>
    <t>Badi Salem Rawashdeh</t>
  </si>
  <si>
    <t>Management Science Letters</t>
  </si>
  <si>
    <t>W3108742785</t>
  </si>
  <si>
    <t>https://doi.org/10.5267/j.msl.2020.11.005</t>
  </si>
  <si>
    <t>XBRL Tag Extensions and Tax Accrual Quality</t>
  </si>
  <si>
    <t>Stephanie Walton</t>
  </si>
  <si>
    <t>W3087855235</t>
  </si>
  <si>
    <t>https://doi.org/10.2308/isys-19-054</t>
  </si>
  <si>
    <t>Extended XBRL Tags and Financial Analysts' Forecast Error and Dispersion</t>
  </si>
  <si>
    <t>Joseph Atkins Johnston</t>
  </si>
  <si>
    <t>W3037385060</t>
  </si>
  <si>
    <t>https://doi.org/10.2308/isys-16-013</t>
  </si>
  <si>
    <t>XBRL Agent: Leveraging Large Language Models for Financial Report Analysis</t>
  </si>
  <si>
    <t>Shijie Han</t>
  </si>
  <si>
    <t>ACM ICAIF 2024</t>
  </si>
  <si>
    <t>W4404351567</t>
  </si>
  <si>
    <t>https://doi.org/10.1145/3677052.3698614</t>
  </si>
  <si>
    <t>Knowledge and Skills in Complex Assurance Engagements: The Case of XBRL</t>
  </si>
  <si>
    <t>Roger S. Debreceny</t>
  </si>
  <si>
    <t>W2951601396</t>
  </si>
  <si>
    <t>https://doi.org/10.2308/isys-52461</t>
  </si>
  <si>
    <t>Does Financial Statement Line-item Comparability Affect Analysts’ Forecasts?</t>
  </si>
  <si>
    <t>Elaine Henry</t>
  </si>
  <si>
    <t>W2892143279</t>
  </si>
  <si>
    <t>https://doi.org/10.2139/ssrn.3133324</t>
  </si>
  <si>
    <t>Knowledge Management of Web Financial Reporting in Human-Computer Interactive Perspective</t>
  </si>
  <si>
    <t>Yujing Chen</t>
  </si>
  <si>
    <t>Eurasia Journal of Mathematics Science and Technology Education</t>
  </si>
  <si>
    <t>Off-topic: knowledge management</t>
  </si>
  <si>
    <t>W2629324772</t>
  </si>
  <si>
    <t>https://doi.org/10.12973/eurasia.2017.00733a</t>
  </si>
  <si>
    <t>Does XBRL Tagging Indicate Disclosure Quality? The Relationship Between XBRL Standard and Extension Tags and Stock Return Synchronicity</t>
  </si>
  <si>
    <t>J.J. Lim</t>
  </si>
  <si>
    <t>W4386257272</t>
  </si>
  <si>
    <t>https://doi.org/10.2308/isys-2022-027</t>
  </si>
  <si>
    <t>Excessive custom XBRL tag usage in 10-K filings and SEC oversight</t>
  </si>
  <si>
    <t>Joung W. Kim</t>
  </si>
  <si>
    <t>W4408594841</t>
  </si>
  <si>
    <t>https://doi.org/10.1016/j.accinf.2025.100742</t>
  </si>
  <si>
    <t>Does Financial Statement Line-Item Comparability Affect Analysts’ Forecasts?</t>
  </si>
  <si>
    <t>W4376617417</t>
  </si>
  <si>
    <t>https://doi.org/10.1177/0148558x231167461</t>
  </si>
  <si>
    <t>An Extensible Framework for Verification of Numerical Claims</t>
  </si>
  <si>
    <t>James Peter Thorne</t>
  </si>
  <si>
    <t>EACL 2017 (Demonstrations)</t>
  </si>
  <si>
    <t>OpenAlex: M1-07</t>
  </si>
  <si>
    <t>W2621778545</t>
  </si>
  <si>
    <t>https://doi.org/10.18653/v1/e17-3010</t>
  </si>
  <si>
    <t>QuanTemp: A real-world open-domain benchmark for fact-checking numerical claims</t>
  </si>
  <si>
    <t>V Venktesh</t>
  </si>
  <si>
    <t>ACM SIGIR 2024</t>
  </si>
  <si>
    <t>W4400528878</t>
  </si>
  <si>
    <t>https://doi.org/10.1145/3626772.3657874</t>
  </si>
  <si>
    <t>Mathematical Materiality: a status report</t>
  </si>
  <si>
    <t>Ugo Lanciano</t>
  </si>
  <si>
    <t>Not a research study: report on Zenodo</t>
  </si>
  <si>
    <t>W7172535677</t>
  </si>
  <si>
    <t>https://doi.org/10.5281/zenodo.21802475</t>
  </si>
  <si>
    <t>Channel Theory for Polynomial Continued Fractions: Asymptotic Channels, the ξ₀ = 2/√β₂ Identity, and a Bridge Conjecture</t>
  </si>
  <si>
    <t>papanokechi papanokechi</t>
  </si>
  <si>
    <t>Off-topic: mathematics</t>
  </si>
  <si>
    <t>W7159644942</t>
  </si>
  <si>
    <t>https://doi.org/10.5281/zenodo.19941678</t>
  </si>
  <si>
    <t>The trustworthiness of peers and public discourse: exploring how people navigate numerical dis/misinformation on personal messaging platforms</t>
  </si>
  <si>
    <t>Brendan T Lawson</t>
  </si>
  <si>
    <t>Information Communication &amp; Society</t>
  </si>
  <si>
    <t>Off-topic: social study of misinformation sharing</t>
  </si>
  <si>
    <t>W4402381938</t>
  </si>
  <si>
    <t>https://doi.org/10.1080/1369118x.2024.2400141</t>
  </si>
  <si>
    <t>Code for "Cold Dark Matter Cannot Supply Local Dissipative Friction to Dark Energy: A Structural No-Go from the Influence Kernel"</t>
  </si>
  <si>
    <t>Everton Behenck</t>
  </si>
  <si>
    <t>Not a research study: software on Zenodo</t>
  </si>
  <si>
    <t>W7163586512</t>
  </si>
  <si>
    <t>https://doi.org/10.5281/zenodo.20547190</t>
  </si>
  <si>
    <t>Dirac Operator, Generation Count, Chirality Structure, and the m₃ Integer</t>
  </si>
  <si>
    <t>Luke Martin</t>
  </si>
  <si>
    <t>Off-topic: physics</t>
  </si>
  <si>
    <t>W7154946928</t>
  </si>
  <si>
    <t>https://doi.org/10.5281/zenodo.19658758</t>
  </si>
  <si>
    <t>Overview of the CLEF-2025 CheckThat! Lab: Subjectivity, Fact-Checking, Claim Normalization, and Retrieval</t>
  </si>
  <si>
    <t>Firoj Alam</t>
  </si>
  <si>
    <t>W4413942418</t>
  </si>
  <si>
    <t>https://doi.org/10.1007/978-3-032-04354-2_13</t>
  </si>
  <si>
    <t>Prompt-based Masked Language Modeling for Numerical Reasoning</t>
  </si>
  <si>
    <t>Sujit Kumar</t>
  </si>
  <si>
    <t>ACM Transactions on Intelligent Systems and Technology</t>
  </si>
  <si>
    <t>Off-topic: numerical reasoning, not claim verification</t>
  </si>
  <si>
    <t>W4411712574</t>
  </si>
  <si>
    <t>https://doi.org/10.1145/3746455</t>
  </si>
  <si>
    <t>The CLEF-2025 CheckThat! Lab: Subjectivity, Fact-Checking, Claim Normalization, and Retrieval</t>
  </si>
  <si>
    <t>Lab announcement (ECIR) describing planned tasks; results appear in the CLEF overview (no abstract, decided on title and venue)</t>
  </si>
  <si>
    <t>W4409166923</t>
  </si>
  <si>
    <t>https://doi.org/10.1007/978-3-031-88720-8_68</t>
  </si>
  <si>
    <t>Numerical Claim Detection in Finance: A New Financial Dataset, Weak-Supervision Model, and Market Analysis</t>
  </si>
  <si>
    <t>Agam Shah</t>
  </si>
  <si>
    <t>FEVER Workshop 2024</t>
  </si>
  <si>
    <t>W4404781989</t>
  </si>
  <si>
    <t>https://doi.org/10.18653/v1/2024.fever-1.21</t>
  </si>
  <si>
    <t>Automatic Verification of Data Summaries</t>
  </si>
  <si>
    <t>Rayhane Rezgui</t>
  </si>
  <si>
    <t>INLG 2021</t>
  </si>
  <si>
    <t>W3203234816</t>
  </si>
  <si>
    <t>https://doi.org/10.18653/v1/2021.inlg-1.27</t>
  </si>
  <si>
    <t>Certified finite-volume computations in lattice gauge theory and a random-matrix sign-problem model</t>
  </si>
  <si>
    <t>Bryan W. Daugherty</t>
  </si>
  <si>
    <t>W7220447434</t>
  </si>
  <si>
    <t>https://doi.org/10.5281/zenodo.23163224</t>
  </si>
  <si>
    <t>Neal's Net: A Self-Verifying Trigonometric System on the Fibonacci 60-Ring</t>
  </si>
  <si>
    <t>Neal Strassner</t>
  </si>
  <si>
    <t>W7165391428</t>
  </si>
  <si>
    <t>https://doi.org/10.5281/zenodo.20754147</t>
  </si>
  <si>
    <t>A Spectral Barrier for Paley Tournament Discrepancy, with an Application to a Maximum-Principle Refutation in Bradley–Terry Sigmoid-Tilt Models</t>
  </si>
  <si>
    <t>Vladimir Riabov</t>
  </si>
  <si>
    <t>W7164594909</t>
  </si>
  <si>
    <t>https://doi.org/10.5281/zenodo.20670428</t>
  </si>
  <si>
    <t>Code and figure for "Quintessence with Memory: Perturbative Non-Degeneracy and the Unerasable Imprint of Early Tracking"</t>
  </si>
  <si>
    <t>W7163671795</t>
  </si>
  <si>
    <t>https://doi.org/10.5281/zenodo.20562068</t>
  </si>
  <si>
    <t>Toward Verifiable Misinformation Detection: A Multi-Tool LLM Agent Framework</t>
  </si>
  <si>
    <t>Zikun Cui</t>
  </si>
  <si>
    <t>ACM GAIB 2025</t>
  </si>
  <si>
    <t>W4415736465</t>
  </si>
  <si>
    <t>https://doi.org/10.1145/3766918.3766948</t>
  </si>
  <si>
    <t>Think Right, Not More: Test-Time Scaling for Numerical Claim Verification</t>
  </si>
  <si>
    <t>Primakov Chungkham</t>
  </si>
  <si>
    <t>W4416033877</t>
  </si>
  <si>
    <t>https://doi.org/10.18653/v1/2025.findings-emnlp.1322</t>
  </si>
  <si>
    <t>Convergents and limits of a boundary family of polynomial continued fractions, and a census application</t>
  </si>
  <si>
    <t>Papanokechi</t>
  </si>
  <si>
    <t>W7223247270</t>
  </si>
  <si>
    <t>https://doi.org/10.5281/zenodo.23581162</t>
  </si>
  <si>
    <t>FDCL Part XI: Dynamical SU(2) Gauge Fields on FDCL Graphs — Hierarchical Curvature Completion and Local Spectral Bounds</t>
  </si>
  <si>
    <t>Bin Seol</t>
  </si>
  <si>
    <t>W7220996853</t>
  </si>
  <si>
    <t>https://doi.org/10.5281/zenodo.23227355</t>
  </si>
  <si>
    <t>Explicit rates for the EKG sequence</t>
  </si>
  <si>
    <t>Tomer Haver</t>
  </si>
  <si>
    <t>W7214774442</t>
  </si>
  <si>
    <t>https://doi.org/10.5281/zenodo.23035624</t>
  </si>
  <si>
    <t>The Ruler Is Part of the Result: Content-Bound Measurement Identity and Comparability Dispositions for Language-Model Audits</t>
  </si>
  <si>
    <t>Andrew Cousins</t>
  </si>
  <si>
    <t>Off-topic: measurement identity for audits</t>
  </si>
  <si>
    <t>W7214125621</t>
  </si>
  <si>
    <t>https://doi.org/10.5281/zenodo.22919867</t>
  </si>
  <si>
    <t>Spare capacity, narrow surface: the exposure record of a production agent-memory system</t>
  </si>
  <si>
    <t>Luiz Antonio Busnello</t>
  </si>
  <si>
    <t>Off-topic: agent memory systems</t>
  </si>
  <si>
    <t>W7204722346</t>
  </si>
  <si>
    <t>https://doi.org/10.5281/zenodo.22181414</t>
  </si>
  <si>
    <t>Prescribed 2-Adic Spectral Cores and Gate-Controlled Shattering of Carmichael Numbers</t>
  </si>
  <si>
    <t>Suvajit Das</t>
  </si>
  <si>
    <t>W7202141276</t>
  </si>
  <si>
    <t>https://doi.org/10.5281/zenodo.21856040</t>
  </si>
  <si>
    <t>How Many Carmichael Numbers Sound the Same? 2-Adic Korselt Structure and Large Miller–Rabin-Isospectral Families</t>
  </si>
  <si>
    <t>W7201877137</t>
  </si>
  <si>
    <t>https://doi.org/10.5281/zenodo.21827288</t>
  </si>
  <si>
    <t>Distribution-free, Risk-controlling Prediction Sets</t>
  </si>
  <si>
    <t>Stephen Bates</t>
  </si>
  <si>
    <t>Journal of the ACM 68(6)</t>
  </si>
  <si>
    <t>OpenAlex: M1-08</t>
  </si>
  <si>
    <t>W3118640283</t>
  </si>
  <si>
    <t>https://doi.org/10.1145/3478535</t>
  </si>
  <si>
    <t>Fully printable integrated multifunctional sensor arrays for intelligent lithium-ion batteries</t>
  </si>
  <si>
    <t>Nuo Sun</t>
  </si>
  <si>
    <t>Nature Communications</t>
  </si>
  <si>
    <t>Off-topic: battery sensors</t>
  </si>
  <si>
    <t>W4413094348</t>
  </si>
  <si>
    <t>https://doi.org/10.1038/s41467-025-62657-2</t>
  </si>
  <si>
    <t>Conformal Risk Control</t>
  </si>
  <si>
    <t>Anastasios N. Angelopoulos</t>
  </si>
  <si>
    <t>W4290055968</t>
  </si>
  <si>
    <t>https://doi.org/10.48550/arxiv.2208.02814</t>
  </si>
  <si>
    <t>A real-world pharmacovigilance study of FDA Adverse Event Reporting System (FAERS) events for venetoclax</t>
  </si>
  <si>
    <t>Yang Yang</t>
  </si>
  <si>
    <t>PLoS ONE</t>
  </si>
  <si>
    <t>Off-topic: pharmacovigilance</t>
  </si>
  <si>
    <t>W4311579537</t>
  </si>
  <si>
    <t>https://doi.org/10.1371/journal.pone.0278725</t>
  </si>
  <si>
    <t>Heavy metal exposure to a migratory waterfowl, Northern Pintail (Anas acuta), in two peri-urban wetlands</t>
  </si>
  <si>
    <t>Arkajyoti Mukherjee</t>
  </si>
  <si>
    <t>The Science of The Total Environment</t>
  </si>
  <si>
    <t>Off-topic: ecology</t>
  </si>
  <si>
    <t>W4292559702</t>
  </si>
  <si>
    <t>https://doi.org/10.1016/j.scitotenv.2022.158238</t>
  </si>
  <si>
    <t>Forking Uncertainties: Reliable Prediction and Model Predictive Control With Sequence Models via Conformal Risk Control</t>
  </si>
  <si>
    <t>Matteo Zecchin</t>
  </si>
  <si>
    <t>IEEE Journal on Selected Areas in Information Theory</t>
  </si>
  <si>
    <t>Off-topic: model predictive control</t>
  </si>
  <si>
    <t>W4392151733</t>
  </si>
  <si>
    <t>https://doi.org/10.1109/jsait.2024.3368229</t>
  </si>
  <si>
    <t>Fatty liver classification via risk controlled neural networks trained on grouped ultrasound image data</t>
  </si>
  <si>
    <t>Tso-Jung Yen</t>
  </si>
  <si>
    <t>Domain-specific application outside finance: medical imaging</t>
  </si>
  <si>
    <t>W4393272674</t>
  </si>
  <si>
    <t>https://doi.org/10.1038/s41598-024-57386-3</t>
  </si>
  <si>
    <t>Achieving Risk Control in Online Learning Settings</t>
  </si>
  <si>
    <t>Feldman, Shai</t>
  </si>
  <si>
    <t>Online setting; this review covers batch calibration (online methods are reviewed by Member 3)</t>
  </si>
  <si>
    <t>W4281257214</t>
  </si>
  <si>
    <t>https://doi.org/10.48550/arxiv.2205.09095</t>
  </si>
  <si>
    <t>Fast yet Safe: Early-Exiting with Risk Control</t>
  </si>
  <si>
    <t>Metod Jazbec</t>
  </si>
  <si>
    <t>neural information processing systems</t>
  </si>
  <si>
    <t>Off-topic: risk control for early-exit inference, not detector calibration</t>
  </si>
  <si>
    <t>W4415800631</t>
  </si>
  <si>
    <t>https://doi.org/10.52202/079017-4124</t>
  </si>
  <si>
    <t>Sustainable Portfolio Rebalancing Under Uncertainty: A Multi-Objective Framework with Interval Analysis and Behavioral Strategies</t>
  </si>
  <si>
    <t>Florentin Şerban</t>
  </si>
  <si>
    <t>Sustainability</t>
  </si>
  <si>
    <t>Off-topic: portfolio management</t>
  </si>
  <si>
    <t>W4411740365</t>
  </si>
  <si>
    <t>https://doi.org/10.3390/su17135886</t>
  </si>
  <si>
    <t>Cross-Validation Conformal Risk Control</t>
  </si>
  <si>
    <t>Kfir M. Cohen</t>
  </si>
  <si>
    <t>IEEE ISIT 2024</t>
  </si>
  <si>
    <t>W4401692489</t>
  </si>
  <si>
    <t>https://doi.org/10.1109/isit57864.2024.10619172</t>
  </si>
  <si>
    <t>CPSC: Conformal Prediction With Shrunken Centroids for Efficient Prediction Reliability Quantification and Data Augmentation, a Case in Alternative Herbal Medicine Classification With Electronic Nose</t>
  </si>
  <si>
    <t>Li Liu</t>
  </si>
  <si>
    <t>IEEE Transactions on Instrumentation and Measurement</t>
  </si>
  <si>
    <t>Domain-specific application outside finance: electronic nose</t>
  </si>
  <si>
    <t>W3189590337</t>
  </si>
  <si>
    <t>https://doi.org/10.1109/tim.2021.3134321</t>
  </si>
  <si>
    <t>Research on risk propagation mechanism and control strategy of prefabricated building supply chain: based on complex network model and dynamic simulation analysis</t>
  </si>
  <si>
    <t>Wei Liu</t>
  </si>
  <si>
    <t>Engineering Construction &amp; Architectural Management</t>
  </si>
  <si>
    <t>Off-topic: supply chains</t>
  </si>
  <si>
    <t>W4410788331</t>
  </si>
  <si>
    <t>https://doi.org/10.1108/ecam-10-2024-1480</t>
  </si>
  <si>
    <t>Conformal Distributed Remote Inference in Sensor Networks Under Reliability and Communication Constraints</t>
  </si>
  <si>
    <t>Meiyi Zhu</t>
  </si>
  <si>
    <t>IEEE Transactions on Signal Processing</t>
  </si>
  <si>
    <t>Off-topic: sensor networks</t>
  </si>
  <si>
    <t>W4408235809</t>
  </si>
  <si>
    <t>https://doi.org/10.1109/tsp.2025.3549222</t>
  </si>
  <si>
    <t>Conformal Loss-Controlling Prediction</t>
  </si>
  <si>
    <t>Di Wang</t>
  </si>
  <si>
    <t>IEEE TNNLS 36(2)</t>
  </si>
  <si>
    <t>W4391341342</t>
  </si>
  <si>
    <t>https://doi.org/10.1109/tnnls.2024.3356512</t>
  </si>
  <si>
    <t>You Don't Bring Me Flowers: Mitigating Unwanted Recommendations Through Conformal Risk Control</t>
  </si>
  <si>
    <t>Giovanni De Toni</t>
  </si>
  <si>
    <t>Off-topic: recommender systems</t>
  </si>
  <si>
    <t>W4414035058</t>
  </si>
  <si>
    <t>https://doi.org/10.1145/3705328.3748054</t>
  </si>
  <si>
    <t>Conformal Segmentation in Industrial Surface Defect Detection with Statistical Guarantees</t>
  </si>
  <si>
    <t>Cheng Shen</t>
  </si>
  <si>
    <t>Mathematics</t>
  </si>
  <si>
    <t>Non-text modality: industrial images</t>
  </si>
  <si>
    <t>W4412699456</t>
  </si>
  <si>
    <t>https://doi.org/10.3390/math13152430</t>
  </si>
  <si>
    <t>Towards Rationality in Language and Multimodal Agents: A Survey</t>
  </si>
  <si>
    <t>Bowen Jiang</t>
  </si>
  <si>
    <t>Off-topic: agent rationality survey</t>
  </si>
  <si>
    <t>W4399355044</t>
  </si>
  <si>
    <t>https://doi.org/10.48550/arxiv.2406.00252</t>
  </si>
  <si>
    <t>Non-Exchangeable Conformal Risk Control</t>
  </si>
  <si>
    <t>António Farinhas</t>
  </si>
  <si>
    <t>IT University Of Copenhagen (IT University of Copenhagen)</t>
  </si>
  <si>
    <t>Non-exchangeable setting; this review covers batch calibration with exchangeable data</t>
  </si>
  <si>
    <t>W4387322853</t>
  </si>
  <si>
    <t>https://doi.org/10.48550/arxiv.2310.01262</t>
  </si>
  <si>
    <t>Netizens’ risk perception in new coronary pneumonia public health events: an analysis of spatiotemporal distribution and influencing factors</t>
  </si>
  <si>
    <t>Yanling Li</t>
  </si>
  <si>
    <t>BMC Public Health</t>
  </si>
  <si>
    <t>W4288694717</t>
  </si>
  <si>
    <t>https://doi.org/10.1186/s12889-022-13852-z</t>
  </si>
  <si>
    <t>Trustworthy Glucose Forecasting With Physiology-Constrained Neural Dynamics, Conformal Risk Control, and Risk-Sensitive Reinforcement Learning</t>
  </si>
  <si>
    <t>Sarmad Maqsood</t>
  </si>
  <si>
    <t>Domain-specific application outside finance: glucose forecasting</t>
  </si>
  <si>
    <t>W7134930873</t>
  </si>
  <si>
    <t>https://doi.org/10.1109/access.2026.3672553</t>
  </si>
  <si>
    <t>Conformal Selection for Efficient and Accurate Compound Screening in Drug Discovery</t>
  </si>
  <si>
    <t>Tian Bai</t>
  </si>
  <si>
    <t>Journal of Chemical Information and Modeling</t>
  </si>
  <si>
    <t>Domain-specific application outside finance: drug discovery</t>
  </si>
  <si>
    <t>W4417163219</t>
  </si>
  <si>
    <t>https://doi.org/10.1021/acs.jcim.5c01633</t>
  </si>
  <si>
    <t>CRC-SGAD: Conformal Risk Control for Supervised Graph Anomaly Detection</t>
  </si>
  <si>
    <t>Songran Bai</t>
  </si>
  <si>
    <t>IEEE International Conference on Intelligence and Security Informatics (ISI)</t>
  </si>
  <si>
    <t>Off-topic: graph anomaly detection</t>
  </si>
  <si>
    <t>W4415378125</t>
  </si>
  <si>
    <t>https://doi.org/10.1109/isi65680.2025.11201206</t>
  </si>
  <si>
    <t>A Comprehensive Survey on Evidential Deep Learning and Its Applications</t>
  </si>
  <si>
    <t>Badjie, Bakary</t>
  </si>
  <si>
    <t>Off-topic: evidential deep learning survey</t>
  </si>
  <si>
    <t>W4403594115</t>
  </si>
  <si>
    <t>https://doi.org/10.4230/oasics.aeic.2026.1</t>
  </si>
  <si>
    <t>How to Trust Your Diffusion Model: A Convex Optimization Approach to Conformal Risk Control</t>
  </si>
  <si>
    <t>Jacopo Teneggi</t>
  </si>
  <si>
    <t>Non-text modality: diffusion models for images</t>
  </si>
  <si>
    <t>W4319792338</t>
  </si>
  <si>
    <t>https://doi.org/10.48550/arxiv.2302.03791</t>
  </si>
  <si>
    <t>Learn then Test: Calibrating Predictive Algorithms to Achieve Risk Control</t>
  </si>
  <si>
    <t>A. Angelopoulos</t>
  </si>
  <si>
    <t>Annals of Applied Statistics 19(2)</t>
  </si>
  <si>
    <t>Citation chasing; located with OpenAlex title lookup CC-01</t>
  </si>
  <si>
    <t>Citation chasing</t>
  </si>
  <si>
    <t>Backward: cited by CRC, CV-CRC, Wang 2025 (CLCP). Title and abstract judged relevant before retrieval</t>
  </si>
  <si>
    <t>https://doi.org/10.1214/24-AOAS1998</t>
  </si>
  <si>
    <t>FinQA: A Dataset of Numerical Reasoning over Financial Data</t>
  </si>
  <si>
    <t>Z. Chen</t>
  </si>
  <si>
    <t>Backward: cited by Chen 2023, ReasTAP, Table-R1, Shah 2024. Title and abstract judged relevant before retrieval</t>
  </si>
  <si>
    <t>https://doi.org/10.18653/v1/2021.emnlp-main.300</t>
  </si>
  <si>
    <t>On Calibration of Modern Neural Networks</t>
  </si>
  <si>
    <t>C. Guo</t>
  </si>
  <si>
    <t>ICML 2017 (PMLR 70)</t>
  </si>
  <si>
    <t>Backward: cited by RAGTruth, Cheung 2025. Title and abstract judged relevant before retrieval</t>
  </si>
  <si>
    <t>https://proceedings.mlr.press/v70/guo17a/guo17a.pdf</t>
  </si>
  <si>
    <t>Survey of Hallucination in Natural Language Generation</t>
  </si>
  <si>
    <t>Z. Ji</t>
  </si>
  <si>
    <t>ACM Computing Surveys 55(12)</t>
  </si>
  <si>
    <t>Citation chasing; located with OpenAlex title lookup CC-02</t>
  </si>
  <si>
    <t>Backward: cited by Huang 2025, RAGTruth, FAVA, NegHalu. Title and abstract judged relevant before retrieval</t>
  </si>
  <si>
    <t>https://doi.org/10.1145/3571730</t>
  </si>
  <si>
    <t>SummaC: Re-Visiting NLI-based Models for Inconsistency Detection in Summarization</t>
  </si>
  <si>
    <t>P. Laban</t>
  </si>
  <si>
    <t>TACL 10</t>
  </si>
  <si>
    <t>Backward: cited by AlignScore, TRUE, TrueTeacher, WeCheck, QAFactEval. Title and abstract judged relevant before retrieval</t>
  </si>
  <si>
    <t>https://doi.org/10.1162/tacl_a_00453</t>
  </si>
  <si>
    <t>HaluEval: A Large-Scale Hallucination Evaluation Benchmark for Large Language Models</t>
  </si>
  <si>
    <t>J. Li</t>
  </si>
  <si>
    <t>Backward: cited by Huang 2025, RAGTruth, PsiloQA, RL4HS. Title and abstract judged relevant before retrieval</t>
  </si>
  <si>
    <t>https://doi.org/10.18653/v1/2023.emnlp-main.397</t>
  </si>
  <si>
    <t>SelfCheckGPT: Zero-Resource Black-Box Hallucination Detection for Generative Large Language Models</t>
  </si>
  <si>
    <t>P. Manakul</t>
  </si>
  <si>
    <t>Backward: cited by Huang 2025, RAGTruth, FAVA, RL4HS. Title and abstract judged relevant before retrieval</t>
  </si>
  <si>
    <t>https://doi.org/10.18653/v1/2023.emnlp-main.557</t>
  </si>
  <si>
    <t>FActScore: Fine-grained Atomic Evaluation of Factual Precision in Long Form Text Generation</t>
  </si>
  <si>
    <t>S. Min</t>
  </si>
  <si>
    <t>Backward: cited by Huang 2025, FAVA, PsiloQA. Title and abstract judged relevant before retrieval</t>
  </si>
  <si>
    <t>https://doi.org/10.18653/v1/2023.emnlp-main.741</t>
  </si>
  <si>
    <t>Language Models with Conformal Factuality Guarantees</t>
  </si>
  <si>
    <t>C. Mohri</t>
  </si>
  <si>
    <t>ICML 2024 (PMLR 235)</t>
  </si>
  <si>
    <t>Forward: cites CRC (included). Title and abstract judged relevant before retrieval</t>
  </si>
  <si>
    <t>https://arxiv.org/pdf/2402.10978</t>
  </si>
  <si>
    <t>MiniCheck: Efficient Fact-Checking of LLMs on Grounding Documents</t>
  </si>
  <si>
    <t>L. Tang</t>
  </si>
  <si>
    <t>EMNLP 2024 (Main)</t>
  </si>
  <si>
    <t>Backward: cited by RL4HS. Title and abstract judged relevant before retrieval</t>
  </si>
  <si>
    <t>https://doi.org/10.18653/v1/2024.emnlp-main.499</t>
  </si>
  <si>
    <t>FinDVer: Explainable Claim Verification over Long and Hybrid-content Financial Documents</t>
  </si>
  <si>
    <t>Y. Zhao</t>
  </si>
  <si>
    <t>Forward: cites TabFact and FEVEROUS (included). Title and abstract judged relevant before retrieval</t>
  </si>
  <si>
    <t>https://doi.org/10.18653/v1/2024.emnlp-main.818</t>
  </si>
  <si>
    <t>TAT-QA: A Question Answering Benchmark on a Hybrid of Tabular and Textual Content in Finance</t>
  </si>
  <si>
    <t>F. Zhu</t>
  </si>
  <si>
    <t>ACL-IJCNLP 2021 (Long Papers)</t>
  </si>
  <si>
    <t>Backward: cited by Chen 2023, ReasTAP. Title and abstract judged relevant before retrieval</t>
  </si>
  <si>
    <t>https://doi.org/10.18653/v1/2021.acl-long.254</t>
  </si>
  <si>
    <t>03 - Extraction matrix: Detection (included studies)</t>
  </si>
  <si>
    <t>One row per included study, ordered by subtopic. Every figure is taken from the paper itself; 'Limitations / gap' records what the authors state (or 'No limitations section' when they state none). Column O links back to the screening log.</t>
  </si>
  <si>
    <t>Citation (Author, Year)</t>
  </si>
  <si>
    <t>Study type</t>
  </si>
  <si>
    <t>Research focus</t>
  </si>
  <si>
    <t>Data / evaluation setting</t>
  </si>
  <si>
    <t>Method / model</t>
  </si>
  <si>
    <t>Dataset, metrics and key results</t>
  </si>
  <si>
    <t>Limitations / gap stated by authors</t>
  </si>
  <si>
    <t>Member subtopic</t>
  </si>
  <si>
    <t>Free full-text URL</t>
  </si>
  <si>
    <t>Free-access route</t>
  </si>
  <si>
    <t>Screening log #</t>
  </si>
  <si>
    <t>Honovich et al., 2021</t>
  </si>
  <si>
    <t>Evaluation metric and dataset</t>
  </si>
  <si>
    <t>Reference-free factual-consistency metric for knowledge-grounded dialogue</t>
  </si>
  <si>
    <t>Wizard-of-Wikipedia responses annotated for factual consistency; also Topical-Chat and DialogueNLI</t>
  </si>
  <si>
    <t>Q2: generate questions from the response, answer them on the knowledge, compare answer spans with NLI</t>
  </si>
  <si>
    <t>Q2 correlates more strongly with human judgements than token-overlap and other baselines on all three datasets</t>
  </si>
  <si>
    <t>Authors propose mapping response parts (chit-chat, persona, factual) to their own source of truth as future work</t>
  </si>
  <si>
    <t>https://aclanthology.org/2021.emnlp-main.619.pdf</t>
  </si>
  <si>
    <t>ACL Anthology (open access)</t>
  </si>
  <si>
    <t>Fabbri et al., 2022</t>
  </si>
  <si>
    <t>Evaluation metric</t>
  </si>
  <si>
    <t>Whether QA-based or entailment-based metrics are better for summary consistency, under a fair comparison</t>
  </si>
  <si>
    <t>SummaC factual-consistency benchmark (six summarisation datasets)</t>
  </si>
  <si>
    <t>Systematic ablation of QA-metric components (question generation, answerability); optimised QAFactEval; combination with entailment</t>
  </si>
  <si>
    <t>14% average improvement over earlier QA-based metrics on SummaC; beats the best entailment metric; QA and NLI signals are complementary</t>
  </si>
  <si>
    <t>Underlying models are trained on English documents only; question generation and answerability remain the key components to improve</t>
  </si>
  <si>
    <t>https://aclanthology.org/2022.naacl-main.187.pdf</t>
  </si>
  <si>
    <t>ACL Anthology (open access); found as arXiv record, peer-reviewed version assessed</t>
  </si>
  <si>
    <t>Honovich et al., 2022</t>
  </si>
  <si>
    <t>Meta-evaluation</t>
  </si>
  <si>
    <t>Fair, example-level comparison of factual-consistency metrics across tasks</t>
  </si>
  <si>
    <t>11 datasets from summarisation, dialogue, fact verification and paraphrasing in one labelling scheme</t>
  </si>
  <si>
    <t>Example-level ROC AUC for 12 metrics</t>
  </si>
  <si>
    <t>Large NLI and QG-QA methods perform best and are complementary</t>
  </si>
  <si>
    <t>Headroom remains, shown by the complementarity of the best methods</t>
  </si>
  <si>
    <t>https://aclanthology.org/2022.naacl-main.287.pdf</t>
  </si>
  <si>
    <t>Laban et al., 2022</t>
  </si>
  <si>
    <t>Method and benchmark</t>
  </si>
  <si>
    <t>Making NLI models work for summary inconsistency detection</t>
  </si>
  <si>
    <t>SummaC benchmark: six inconsistency-detection datasets</t>
  </si>
  <si>
    <t>Sentence-level NLI scoring (SummaCZS) and a learned aggregation (SummaCConv)</t>
  </si>
  <si>
    <t>Balanced accuracy 74.4%, five points above prior work</t>
  </si>
  <si>
    <t>Granularity mismatch between sentence-level NLI and document-level checking is the core issue addressed</t>
  </si>
  <si>
    <t>https://arxiv.org/pdf/2111.09525</t>
  </si>
  <si>
    <t>arXiv author version (pre-MIT Press TACL version)</t>
  </si>
  <si>
    <t>Lotfi et al., 2022</t>
  </si>
  <si>
    <t>Benchmark and evaluation pipeline</t>
  </si>
  <si>
    <t>Testing whether chatbots stay factually consistent with their persona and the conversation history</t>
  </si>
  <si>
    <t>ConsisTest: WH and yes/no questions built on PersonaChat; BART-family generators</t>
  </si>
  <si>
    <t>Hybrid evaluation pipeline that combines symbolic matching with neural (sub-symbolic) scoring</t>
  </si>
  <si>
    <t>Pipeline correlates well with human judgement; staying consistent with history is harder than with persona</t>
  </si>
  <si>
    <t>Only short, clear question-answer pairs; consistency is not only factual; the benchmark needs more and better-balanced instances</t>
  </si>
  <si>
    <t>https://aclanthology.org/2022.gem-1.47.pdf</t>
  </si>
  <si>
    <t>Fu et al., 2023</t>
  </si>
  <si>
    <t>Empirical evaluation</t>
  </si>
  <si>
    <t>Whether LLMs can be trusted to judge the factual consistency of summaries</t>
  </si>
  <si>
    <t>Standard summary-factuality benchmarks with human labels; GPT-3.5, GPT-4, PaLM-2</t>
  </si>
  <si>
    <t>Single-LLM QA-based factuality pipeline and direct LLM scoring, compared by correlation with humans</t>
  </si>
  <si>
    <t>No approach reached a correlation above 0.3 with human factuality judgements for GPT-4 or PaLM-2 (GPT-3.5 only in two error types)</t>
  </si>
  <si>
    <t>Closed models are continuously updated, so results may not replicate</t>
  </si>
  <si>
    <t>https://arxiv.org/pdf/2311.00681</t>
  </si>
  <si>
    <t>arXiv author version of the GEM 2023 paper</t>
  </si>
  <si>
    <t>Gekhman et al., 2023</t>
  </si>
  <si>
    <t>Method (synthetic training data)</t>
  </si>
  <si>
    <t>Training consistency checkers on LLM-labelled real model summaries</t>
  </si>
  <si>
    <t>1.4M model-generated summaries labelled by a 540B LLM; TRUE benchmark and a multilingual setting</t>
  </si>
  <si>
    <t>TrueTeacher: generate diverse summaries, label them with an LLM, train a T5 checker</t>
  </si>
  <si>
    <t>ROC-AUC improves from 82.7 to 87.8 over the same model trained on prior synthetic data</t>
  </si>
  <si>
    <t>LLM labels are noisy; relies on a very large labelling LLM</t>
  </si>
  <si>
    <t>https://aclanthology.org/2023.emnlp-main.127.pdf</t>
  </si>
  <si>
    <t>Ji et al., 2023</t>
  </si>
  <si>
    <t>Survey</t>
  </si>
  <si>
    <t>Hallucination across natural language generation tasks</t>
  </si>
  <si>
    <t>Review covering summarisation, dialogue, QA, data-to-text, translation and more</t>
  </si>
  <si>
    <t>Defines intrinsic vs extrinsic hallucination; reviews causes, metrics and mitigation per task</t>
  </si>
  <si>
    <t>Common vocabulary and metric families (statistical, model-based) for hallucination</t>
  </si>
  <si>
    <t>Calls for fine-grained metrics that separate intrinsic from extrinsic errors and locate the hallucinated sub-strings</t>
  </si>
  <si>
    <t>https://arxiv.org/pdf/2202.03629</t>
  </si>
  <si>
    <t>arXiv author version of the journal article</t>
  </si>
  <si>
    <t>Li et al., 2023</t>
  </si>
  <si>
    <t>Benchmark</t>
  </si>
  <si>
    <t>How often LLMs hallucinate and whether they can recognise hallucinations</t>
  </si>
  <si>
    <t>Generated and human-annotated hallucinated samples for QA, dialogue, summarisation and general queries</t>
  </si>
  <si>
    <t>Sampling-then-filtering generation of hallucinated samples; human labelling</t>
  </si>
  <si>
    <t>About 19.5% of ChatGPT responses contain hallucinations; LLMs struggle to recognise them</t>
  </si>
  <si>
    <t>Sample quality is bounded by ChatGPT; causes of hallucination not studied</t>
  </si>
  <si>
    <t>https://aclanthology.org/2023.emnlp-main.397.pdf</t>
  </si>
  <si>
    <t>Manakul et al., 2023</t>
  </si>
  <si>
    <t>Method (detector)</t>
  </si>
  <si>
    <t>Detecting hallucinations in black-box LLM output without external resources</t>
  </si>
  <si>
    <t>238 GPT-3 WikiBio passages with sentence-level factuality labels</t>
  </si>
  <si>
    <t>SelfCheckGPT: compare the response with stochastically sampled responses (BERTScore, QA, n-gram, NLI, prompt variants)</t>
  </si>
  <si>
    <t>Beats grey-box and black-box baselines at sentence and passage level; grey-box token probabilities lift NonFact AUC-PR from 72.96 (random) to 83.21</t>
  </si>
  <si>
    <t>Tested on biographies of individuals; sentence-level only; prompt variant is computationally heavy</t>
  </si>
  <si>
    <t>https://aclanthology.org/2023.emnlp-main.557.pdf</t>
  </si>
  <si>
    <t>Min et al., 2023</t>
  </si>
  <si>
    <t>Scoring long-form factual precision by atomic facts</t>
  </si>
  <si>
    <t>People biographies checked against Wikipedia; 6,500 generations from 13 LMs</t>
  </si>
  <si>
    <t>FActScore: split output into atomic facts, check each against a knowledge source; automated estimator</t>
  </si>
  <si>
    <t>ChatGPT reaches only 58%; the automated estimator is within 2% error of human scores</t>
  </si>
  <si>
    <t>Biographies and Wikipedia only; not suited to nuanced, debatable or conflicting facts</t>
  </si>
  <si>
    <t>https://aclanthology.org/2023.emnlp-main.741.pdf</t>
  </si>
  <si>
    <t>Wu et al., 2023</t>
  </si>
  <si>
    <t>Method (factual-consistency checker)</t>
  </si>
  <si>
    <t>Training a factual-consistency checker on real model outputs instead of synthetic data</t>
  </si>
  <si>
    <t>TRUE benchmark (summarisation, dialogue, paraphrase, fact verification)</t>
  </si>
  <si>
    <t>Weak labels from several metrics aggregated by a generative labelling model, then noise-aware fine-tuning of a 435M classifier</t>
  </si>
  <si>
    <t>+3.3% average absolute over 11B state-of-the-art checkers on TRUE with 435M parameters; up to 30x faster</t>
  </si>
  <si>
    <t>Hyper-parameters need careful per-task selection; noise from the weak-labelling step carries into training (end-to-end training suggested)</t>
  </si>
  <si>
    <t>https://aclanthology.org/2023.acl-long.18.pdf</t>
  </si>
  <si>
    <t>Zha et al., 2023a</t>
  </si>
  <si>
    <t>One alignment function for factual consistency across tasks</t>
  </si>
  <si>
    <t>4.7M training examples from 7 tasks; 22 evaluation datasets (19 unseen)</t>
  </si>
  <si>
    <t>AlignScore: RoBERTa alignment model with chunk-and-sentence splitting</t>
  </si>
  <si>
    <t>State of the art on SummaC and TRUE; a 355M model matches or beats ChatGPT and GPT-4 based metrics</t>
  </si>
  <si>
    <t>No span-level localisation of errors; noisy synthetic training data; English only</t>
  </si>
  <si>
    <t>https://aclanthology.org/2023.acl-long.634.pdf</t>
  </si>
  <si>
    <t>Zha et al., 2023b</t>
  </si>
  <si>
    <t>Method (unified alignment model)</t>
  </si>
  <si>
    <t>One small text-alignment model for entailment, QA answerability and factual consistency</t>
  </si>
  <si>
    <t>5.9M examples from 28 datasets for training; 20+ NLU datasets and 23 factual-consistency datasets for testing</t>
  </si>
  <si>
    <t>ALIGN: RoBERTa (355M) fine-tuned to score how well one text's information aligns with another's</t>
  </si>
  <si>
    <t>Matches or beats FLAN-T5 models with 2-10x more parameters; on factual consistency beats baselines including GPT-3.5 and sometimes GPT-4; flags unanswerable questions for LLM QA</t>
  </si>
  <si>
    <t>Splitting long text into sentences assumes they are self-contained, losing document-level meaning and slowing long inputs; dataset and synthetic-data biases</t>
  </si>
  <si>
    <t>https://arxiv.org/pdf/2307.02729</t>
  </si>
  <si>
    <t>arXiv author version of the NeurIPS paper</t>
  </si>
  <si>
    <t>Ramprasad et al., 2024</t>
  </si>
  <si>
    <t>Benchmark and empirical analysis</t>
  </si>
  <si>
    <t>How faithful LLM dialogue summaries are, at span level, and whether existing detectors catch the errors</t>
  </si>
  <si>
    <t>Dialogue summaries from GPT-4 and Alpaca-13B with human span-level annotations</t>
  </si>
  <si>
    <t>Human annotation with a refined error taxonomy; evaluation of automatic detectors; two prompt-based fine-grained detectors</t>
  </si>
  <si>
    <t>LLMs often make 'circumstantial inferences' (plausible but unsupported); existing automatic detectors struggle to find them; the prompt-based detectors show progress</t>
  </si>
  <si>
    <t>Annotation is costly, so only two LLMs were studied; the GPT-4-based detectors are closed and expensive, which limits reproducibility</t>
  </si>
  <si>
    <t>https://aclanthology.org/2024.acl-long.677.pdf</t>
  </si>
  <si>
    <t>Tang et al., 2024</t>
  </si>
  <si>
    <t>Method (fact-checker)</t>
  </si>
  <si>
    <t>Small grounding fact-checkers with GPT-4-level accuracy</t>
  </si>
  <si>
    <t>LLM-AggreFact benchmark of grounded generation</t>
  </si>
  <si>
    <t>MiniCheck models trained on GPT-4-generated synthetic claims that need multi-sentence reasoning</t>
  </si>
  <si>
    <t>A 770M model reaches GPT-4 level at about 400 times lower cost</t>
  </si>
  <si>
    <t>Gives a sentence-level label; cannot localise errors to spans</t>
  </si>
  <si>
    <t>https://aclanthology.org/2024.emnlp-main.499.pdf</t>
  </si>
  <si>
    <t>Cheung, 2025</t>
  </si>
  <si>
    <t>Verifying RAG answers with several small language models</t>
  </si>
  <si>
    <t>Over 100 question-answer-context sets with fully and partially correct answers</t>
  </si>
  <si>
    <t>Split the answer into sentences; multiple small LMs check each against the retrieved context</t>
  </si>
  <si>
    <t>F1 for separating correct responses from hallucinations improves by 10%</t>
  </si>
  <si>
    <t>No limitations section; small evaluation set</t>
  </si>
  <si>
    <t>https://arxiv.org/pdf/2506.22486</t>
  </si>
  <si>
    <t>arXiv author version of the IEEE paper</t>
  </si>
  <si>
    <t>Huang et al., 2025</t>
  </si>
  <si>
    <t>Taxonomy, causes, detection, benchmarks and mitigation of LLM hallucination</t>
  </si>
  <si>
    <t>Review of LLM hallucination literature, incl. retrieval-augmented systems</t>
  </si>
  <si>
    <t>Structured survey: factuality vs faithfulness hallucinations; data, training and inference causes; detection methods and benchmarks</t>
  </si>
  <si>
    <t>Organises detectors (fact-checking, uncertainty, faithfulness metrics) and benchmarks; shows retrieval alone does not remove hallucination</t>
  </si>
  <si>
    <t>Retrieval-augmented LLMs still hallucinate; future work on vision-language hallucination and on LLM knowledge boundaries</t>
  </si>
  <si>
    <t>https://arxiv.org/pdf/2311.05232</t>
  </si>
  <si>
    <t>Seo et al., 2025</t>
  </si>
  <si>
    <t>Whether LLMs can still detect hallucinations when the text contains negation</t>
  </si>
  <si>
    <t>NegHalu: existing hallucination-detection sets (HaluEval subset, BamBoo) rewritten with negated expressions</t>
  </si>
  <si>
    <t>Pre- vs post-negation detection experiments across LLMs; token-level tracing of internal states</t>
  </si>
  <si>
    <t>LLMs struggle to detect hallucinations in negated text, often giving logically inconsistent or unfaithful judgements</t>
  </si>
  <si>
    <t>Only a subset of HaluEval; slight label imbalance; larger models not tested for compute reasons; GPT-4 used as both generator and judge may add bias</t>
  </si>
  <si>
    <t>https://aclanthology.org/2025.emnlp-main.684.pdf</t>
  </si>
  <si>
    <t>Liu et al., 2022</t>
  </si>
  <si>
    <t>Token-level hallucination detection without a reference text</t>
  </si>
  <si>
    <t>HADES: perturbed Wikipedia text with token-level labels</t>
  </si>
  <si>
    <t>Model-in-the-loop iterative annotation; feature-based and pretrained (BERT, RoBERTa) detectors</t>
  </si>
  <si>
    <t>Accuracy 71.92 (BERT) and 72.83 (RoBERTa) on token-level detection</t>
  </si>
  <si>
    <t>Hallucinations are simulated by perturbation rather than produced by real generators</t>
  </si>
  <si>
    <t>https://aclanthology.org/2022.acl-long.464.pdf</t>
  </si>
  <si>
    <t>Mishra et al., 2024</t>
  </si>
  <si>
    <t>Benchmark and method</t>
  </si>
  <si>
    <t>Fine-grained hallucination detection and editing by error type</t>
  </si>
  <si>
    <t>FavaBench: about 1,000 fine-grained human judgements on outputs of three LMs</t>
  </si>
  <si>
    <t>Six-type hallucination taxonomy; FAVA, a retrieval-augmented LM trained on synthetic data to detect and edit</t>
  </si>
  <si>
    <t>FAVA beats ChatGPT by 23.7% on fine-grained detection and improves factuality through edits</t>
  </si>
  <si>
    <t>Large room for improvement remains in fine-grained detection</t>
  </si>
  <si>
    <t>https://arxiv.org/pdf/2401.06855</t>
  </si>
  <si>
    <t>arXiv author version of the COLM paper</t>
  </si>
  <si>
    <t>Niu et al., 2024</t>
  </si>
  <si>
    <t>Benchmark and detector evaluation</t>
  </si>
  <si>
    <t>Word-level hallucinations in real retrieval-augmented outputs</t>
  </si>
  <si>
    <t>Nearly 18,000 RAG responses from several LLMs across QA, data-to-text and summarisation</t>
  </si>
  <si>
    <t>Human word-level annotation; benchmark of prompt-based and fine-tuned detectors</t>
  </si>
  <si>
    <t>A modest fine-tuned Llama detector is competitive with GPT-4 prompting at response and span level</t>
  </si>
  <si>
    <t>Detector generality across datasets untested; trade-off between manual and synthetic annotation</t>
  </si>
  <si>
    <t>https://aclanthology.org/2024.acl-long.585.pdf</t>
  </si>
  <si>
    <t>Rykov et al., 2025</t>
  </si>
  <si>
    <t>Multilingual span-level hallucination detection</t>
  </si>
  <si>
    <t>PsiloQA: span-annotated QA hallucinations in 14 languages</t>
  </si>
  <si>
    <t>Automated pipeline: GPT-4o QA generation, hallucination elicitation, GPT-4o span annotation; encoder and LLM detectors compared</t>
  </si>
  <si>
    <t>Encoder models (e.g. mmBERT, ModernBERT) perform best; best AP 80.1% and IoU 76.8%</t>
  </si>
  <si>
    <t>GPT-4o annotation may be biased; QA only; hallucination types not controlled</t>
  </si>
  <si>
    <t>https://aclanthology.org/2025.findings-emnlp.626.pdf</t>
  </si>
  <si>
    <t>Taş et al., 2025</t>
  </si>
  <si>
    <t>Method (encoder span detector)</t>
  </si>
  <si>
    <t>Token-level hallucination detection for RAG in a morphologically rich, low-resource language</t>
  </si>
  <si>
    <t>Machine-translated RAGTruth (17,790 instances: QA, data-to-text, summarisation) in Turkish</t>
  </si>
  <si>
    <t>LettuceDetect-style token classification with Turkish ModernBERT, TurkEmbed4STS and EuroBERT encoders (8,192-token context)</t>
  </si>
  <si>
    <t>ModernBERT model reaches token F1 0.7266 on the full test set, strongest on structured (data-to-text) tasks</t>
  </si>
  <si>
    <t>Training data are machine-translated from English; the most stable encoder is not always the top performer</t>
  </si>
  <si>
    <t>https://arxiv.org/pdf/2509.17671</t>
  </si>
  <si>
    <t>Su et al., 2026</t>
  </si>
  <si>
    <t>Method (RL-trained span detector)</t>
  </si>
  <si>
    <t>Whether explicit reasoning, trained with reinforcement learning, improves hallucination span detection</t>
  </si>
  <si>
    <t>RAGTruth (summarisation, QA, data-to-text)</t>
  </si>
  <si>
    <t>RL4HS: GRPO with a span-level reward plus Class-Aware Policy Optimisation against reward imbalance</t>
  </si>
  <si>
    <t>Beats pretrained reasoning models and supervised fine-tuning on RAGTruth span detection</t>
  </si>
  <si>
    <t>Plain GRPO is reward-hacked by predicting no spans (high precision, low recall), which CAPO is designed to fix</t>
  </si>
  <si>
    <t>https://arxiv.org/pdf/2510.02173</t>
  </si>
  <si>
    <t>arXiv author version of the ICLR paper</t>
  </si>
  <si>
    <t>Thorne &amp; Vlachos, 2017</t>
  </si>
  <si>
    <t>System demonstration</t>
  </si>
  <si>
    <t>Verifying simple numerical claims against knowledge-base tables</t>
  </si>
  <si>
    <t>Fast and Furious Fact Check challenge (numerical claims such as population figures)</t>
  </si>
  <si>
    <t>Semantic parsing and claim identification over multiple tables, trained on automatically generated data</t>
  </si>
  <si>
    <t>68% accuracy on the numerical claims (a quarter of the challenge)</t>
  </si>
  <si>
    <t>Handles a limited range of simple claim types</t>
  </si>
  <si>
    <t>https://aclanthology.org/E17-3010.pdf</t>
  </si>
  <si>
    <t>Chen et al., 2020</t>
  </si>
  <si>
    <t>Fact verification against semi-structured tables</t>
  </si>
  <si>
    <t>TabFact: 16k Wikipedia tables and 118k statements</t>
  </si>
  <si>
    <t>Two baselines: Table-BERT and the program-based Latent Program Algorithm (LPA)</t>
  </si>
  <si>
    <t>Both baselines reach similar accuracy but lag far behind humans (92.1%)</t>
  </si>
  <si>
    <t>Authors highlight the large gap to human performance as future opportunity</t>
  </si>
  <si>
    <t>https://arxiv.org/pdf/1909.02164</t>
  </si>
  <si>
    <t>Shi et al., 2020</t>
  </si>
  <si>
    <t>Method (table verifier)</t>
  </si>
  <si>
    <t>Combining linguistic evidence with symbolic programs for table fact verification</t>
  </si>
  <si>
    <t>TabFact</t>
  </si>
  <si>
    <t>HeterTFV: program graph of LISP-like logical forms joined with statement and table nodes in a heterogeneous graph network</t>
  </si>
  <si>
    <t>72.3% test accuracy on TabFact; +7.2% over Table-BERT</t>
  </si>
  <si>
    <t>Evaluated on TabFact only; authors plan to carry the linguistic-symbolic combination to knowledge-graph and text reasoning</t>
  </si>
  <si>
    <t>https://aclanthology.org/2020.coling-main.466.pdf</t>
  </si>
  <si>
    <t>Yang et al., 2020</t>
  </si>
  <si>
    <t>Method (program-based verifier)</t>
  </si>
  <si>
    <t>Using executed programs as evidence for table verification</t>
  </si>
  <si>
    <t>ProgVGAT: verbalised program execution results fused with a graph attention network</t>
  </si>
  <si>
    <t>74.4% accuracy on TabFact, state of the art at publication</t>
  </si>
  <si>
    <t>No limitations section; relies on programs from a weakly supervised semantic parser</t>
  </si>
  <si>
    <t>https://aclanthology.org/2020.emnlp-main.628.pdf</t>
  </si>
  <si>
    <t>Zhang et al., 2020</t>
  </si>
  <si>
    <t>Encoding table structure inside a pre-trained transformer for fact verification</t>
  </si>
  <si>
    <t>Structure-Aware Transformer: table structure injected into the self-attention mask, plus a summary row carrying symbolic results</t>
  </si>
  <si>
    <t>+4.93% accuracy over the previous state of the art on TabFact</t>
  </si>
  <si>
    <t>Authors state that plenty of potential remains for future work; method could extend to other semi-structured tasks</t>
  </si>
  <si>
    <t>https://aclanthology.org/2020.emnlp-main.126.pdf</t>
  </si>
  <si>
    <t>Aly et al., 2021</t>
  </si>
  <si>
    <t>Claim verification using both text and table evidence</t>
  </si>
  <si>
    <t>FEVEROUS: 87,026 claims with sentence and table-cell evidence from Wikipedia</t>
  </si>
  <si>
    <t>Retrieval plus verdict-prediction baseline</t>
  </si>
  <si>
    <t>Baseline FEVEROUS score is only 0.18</t>
  </si>
  <si>
    <t>Does not cover cherry-picking, where true facts are used out of context</t>
  </si>
  <si>
    <t>https://arxiv.org/pdf/2106.05707</t>
  </si>
  <si>
    <t>Dong &amp; Smith, 2021</t>
  </si>
  <si>
    <t>Adapting TAPAS with table-structure and numerical-rank information for verification</t>
  </si>
  <si>
    <t>TabFact; analysis by numerical reasoning type</t>
  </si>
  <si>
    <t>TAPAS-Row-Col and TAPAS-Row-Col-Rank with pre-training on Wikipedia tables and on QA</t>
  </si>
  <si>
    <t>73.9% without numeric features (vs 72.2% for GNN-TabFact); 76% with cell ranks and QA pre-training</t>
  </si>
  <si>
    <t>No limitations section; the best results depend on extra pre-training on Wikipedia tables and a QA task</t>
  </si>
  <si>
    <t>https://aclanthology.org/2021.eacl-main.201.pdf</t>
  </si>
  <si>
    <t>Rezgui et al., 2021</t>
  </si>
  <si>
    <t>Method (numeric claim verification)</t>
  </si>
  <si>
    <t>Checking numerical claims in generated data summaries against the source data</t>
  </si>
  <si>
    <t>Basketball game summaries from the INLG 2021 Accuracy Shared Task</t>
  </si>
  <si>
    <t>Claim identification, query construction over the source tables, and computational verification</t>
  </si>
  <si>
    <t>Flags incorrect statistical claims with limited human supervision</t>
  </si>
  <si>
    <t>Claims with unusual wording (e.g. 'double-double', '6-for-13') defeat the extractors; some claims need data beyond the retrieval modules</t>
  </si>
  <si>
    <t>https://aclanthology.org/2021.inlg-1.27.pdf</t>
  </si>
  <si>
    <t>Shi et al., 2021</t>
  </si>
  <si>
    <t>Avoiding spurious programs in program-based table verification</t>
  </si>
  <si>
    <t>LERGV: rule-based retrieval of logic-level, program-like evidence, then a graph-based verification network</t>
  </si>
  <si>
    <t>75.5% test accuracy on TabFact, above all baselines including LPA</t>
  </si>
  <si>
    <t>Gap stated: weakly supervised program generation yields spurious programs that mislead program-based verifiers</t>
  </si>
  <si>
    <t>https://aclanthology.org/2021.emnlp-main.16.pdf</t>
  </si>
  <si>
    <t>Wang et al., 2021a</t>
  </si>
  <si>
    <t>Finding which statement tokens matter for table verification and using them for training</t>
  </si>
  <si>
    <t>Probing-based token salience; masked salient-token prediction and salience-aware data augmentation on a TAPAS backbone</t>
  </si>
  <si>
    <t>82.1% test accuracy (76.7% on the complex set); gap to humans on the small test set cut to 7.8 points</t>
  </si>
  <si>
    <t>Authors plan to extend the approach beyond TabFact to NLI and table QA</t>
  </si>
  <si>
    <t>https://aclanthology.org/2021.findings-emnlp.338.pdf</t>
  </si>
  <si>
    <t>Wang et al., 2021b</t>
  </si>
  <si>
    <t>Shared task and dataset</t>
  </si>
  <si>
    <t>Verifying statements against tables in scientific papers and finding the evidence cells</t>
  </si>
  <si>
    <t>981 manually built and 1,980 auto-generated tables; 180K+ statements; 16M+ evidence annotations</t>
  </si>
  <si>
    <t>Two sub-tasks: (A) supported / refuted / unknown, (B) evidence-cell identification; Table-BERT baseline</t>
  </si>
  <si>
    <t>19 systems submitted to sub-task A and 12 to sub-task B; evidence-finding scores remain low</t>
  </si>
  <si>
    <t>Evidence finding has large room for improvement; the test set should add natural and automated statements</t>
  </si>
  <si>
    <t>https://aclanthology.org/2021.semeval-1.39.pdf</t>
  </si>
  <si>
    <t>Yang &amp; Zhu, 2021</t>
  </si>
  <si>
    <t>Verifying complex table statements by breaking them into simpler sub-problems</t>
  </si>
  <si>
    <t>Program-guided pseudo decompositions train a GPT-2 decomposer; sub-problem answers become intermediate evidence for the verifier</t>
  </si>
  <si>
    <t>82.7% accuracy on TabFact, a new state of the art at publication</t>
  </si>
  <si>
    <t>Pseudo decompositions come from a weakly supervised parser; finer-grained, iterative decomposition is left to future work</t>
  </si>
  <si>
    <t>https://aclanthology.org/2021.findings-emnlp.90.pdf</t>
  </si>
  <si>
    <t>Gu et al., 2022</t>
  </si>
  <si>
    <t>Method (pre-training)</t>
  </si>
  <si>
    <t>Making language models aware of table operations through pre-training</t>
  </si>
  <si>
    <t>TabFact and SEM-TAB-FACTS</t>
  </si>
  <si>
    <t>PASTA: 1.2M synthesised sentence-table cloze questions over six operations (filter, aggregation, superlative, comparative, ordinal, unique)</t>
  </si>
  <si>
    <t>New state of the art on both benchmarks; on TabFact's complex set 85.6% vs 80.9% previous best (+4.7 points)</t>
  </si>
  <si>
    <t>Template-generated corpus may lack diversity; verifies against a single table only, while real claims may need several tables and longer inputs</t>
  </si>
  <si>
    <t>https://aclanthology.org/2022.emnlp-main.331.pdf</t>
  </si>
  <si>
    <t>Hu et al., 2022</t>
  </si>
  <si>
    <t>Method (claim verifier)</t>
  </si>
  <si>
    <t>Verifying claims whose evidence mixes sentences and table cells</t>
  </si>
  <si>
    <t>FEVEROUS</t>
  </si>
  <si>
    <t>DCUF: evidence converted into two parallel streams (unified text and a global evidence table) for pre-trained language and table models</t>
  </si>
  <si>
    <t>Outperforms previous FEVEROUS systems by a large margin; with 10% of training data reaches a FEVEROUS score of 33.9%</t>
  </si>
  <si>
    <t>Error analysis: rule-based cell-to-text conversion adds noise and disfluent sentences; latent header cells cause errors</t>
  </si>
  <si>
    <t>https://aclanthology.org/2022.naacl-main.384.pdf</t>
  </si>
  <si>
    <t>Ou &amp; Liu, 2022</t>
  </si>
  <si>
    <t>Generating correct latent programs from statements so that verification is explainable</t>
  </si>
  <si>
    <t>TabFact and Logic2Text</t>
  </si>
  <si>
    <t>Structure-Aware Semantic Parsing over an operation-oriented tree, with an objective that penalises spurious programs</t>
  </si>
  <si>
    <t>Generates programs more accurately than earlier parsers; verification accuracy comparable with the state of the art</t>
  </si>
  <si>
    <t>Spurious programs remain a core difficulty; future work is to collect more precise evidence</t>
  </si>
  <si>
    <t>https://aclanthology.org/2022.acl-long.525.pdf</t>
  </si>
  <si>
    <t>Zhao et al., 2022</t>
  </si>
  <si>
    <t>Injecting table reasoning skills, including numerical operations, during pre-training</t>
  </si>
  <si>
    <t>WikiSQL-Weak, WikiTQ, TabFact, LogicNLG</t>
  </si>
  <si>
    <t>REASTAP: seven skill-specific generators of synthetic questions; sequence-to-sequence pre-training</t>
  </si>
  <si>
    <t>TabFact accuracy 84.7% (+0.7); WikiTQ 58.6% (+1.4); state of the art on all four benchmarks</t>
  </si>
  <si>
    <t>Templates limit question diversity; future work should add finance-style numerical reasoning and hierarchical tables</t>
  </si>
  <si>
    <t>https://aclanthology.org/2022.emnlp-main.615.pdf</t>
  </si>
  <si>
    <t>Zhou et al., 2022</t>
  </si>
  <si>
    <t>Handling the different numerical and logical reasoning types (count, superlative, comparative) in table verification</t>
  </si>
  <si>
    <t>Self-adaptive Mixture-of-Experts: reasoning-type experts combined by a management module trained without prior task knowledge</t>
  </si>
  <si>
    <t>85.1% accuracy on TabFact, comparable with or above previous state of the art</t>
  </si>
  <si>
    <t>Gap stated: pre-training-based verifiers may fail on reasoning types unseen in pre-training; table pruning can miss critical columns</t>
  </si>
  <si>
    <t>https://aclanthology.org/2022.findings-acl.13.pdf</t>
  </si>
  <si>
    <t>Chen, 2023</t>
  </si>
  <si>
    <t>How well few-shot LLMs reason over tables, including table fact verification</t>
  </si>
  <si>
    <t>WikiTableQuestions, FetaQA, TabFact, FEVEROUS</t>
  </si>
  <si>
    <t>GPT-3 with 1-shot chain-of-thought prompting over linearised tables</t>
  </si>
  <si>
    <t>With 1-shot chain-of-thought, LLMs are competitive with some fine-tuned systems on TabFact and FEVEROUS; reasoning chains match the underlying semantic form</t>
  </si>
  <si>
    <t>Still short of the state of the art; costly, and only large models do well, so smaller models remain weak at table reasoning</t>
  </si>
  <si>
    <t>https://aclanthology.org/2023.findings-eacl.83.pdf</t>
  </si>
  <si>
    <t>V et al., 2024</t>
  </si>
  <si>
    <t>Real-world numerical claims (comparative, statistical, interval, temporal)</t>
  </si>
  <si>
    <t>QuanTemp: multi-domain numerical claims with an evidence collection</t>
  </si>
  <si>
    <t>Evaluation of claim-decomposition and NLI-based verification pipelines</t>
  </si>
  <si>
    <t>Best macro-F1 is 58.32, showing how hard numerical claims are</t>
  </si>
  <si>
    <t>Numerical claims remain challenging for current verifiers</t>
  </si>
  <si>
    <t>https://arxiv.org/pdf/2403.17169</t>
  </si>
  <si>
    <t>arXiv author version of the ACM paper</t>
  </si>
  <si>
    <t>Wang et al., 2024</t>
  </si>
  <si>
    <t>Method (LLM prompting)</t>
  </si>
  <si>
    <t>Using evolving tables, not text, as the intermediate reasoning steps of an LLM</t>
  </si>
  <si>
    <t>WikiTQ, FeTaQA, TabFact with PaLM 2, GPT-3.5 and LLaMA 2</t>
  </si>
  <si>
    <t>Chain-of-Table: the LLM plans table operations step by step and updates the table after each</t>
  </si>
  <si>
    <t>State of the art on WikiTQ, FeTaQA and TabFact across LLMs; more than 10% better than the next method on large tables</t>
  </si>
  <si>
    <t>Performance still falls as tables grow larger (although more gracefully than other methods)</t>
  </si>
  <si>
    <t>https://arxiv.org/pdf/2401.04398</t>
  </si>
  <si>
    <t>Zhang et al., 2024</t>
  </si>
  <si>
    <t>Whether LLMs can act as table fact-checkers with prompting or instruction tuning</t>
  </si>
  <si>
    <t>Table fact verification benchmarks (TabFact) in zero-shot, few-shot and instruction-tuned settings</t>
  </si>
  <si>
    <t>Prompt designs for zero- and few-shot verification; TFV instruction data to tune LLaMA</t>
  </si>
  <si>
    <t>LLMs reach acceptable zero- and few-shot accuracy with prompt engineering; instruction tuning raises TFV ability significantly</t>
  </si>
  <si>
    <t>Presented as a preliminary study; prompt format and number of examples strongly affect accuracy</t>
  </si>
  <si>
    <t>https://arxiv.org/pdf/2402.02549</t>
  </si>
  <si>
    <t>Chungkham et al., 2025</t>
  </si>
  <si>
    <t>Method (test-time scaling)</t>
  </si>
  <si>
    <t>Whether spending more inference compute helps LLMs verify complex numerical claims</t>
  </si>
  <si>
    <t>Real-world numerical claims (QuanTemp-style) with retrieved evidence</t>
  </si>
  <si>
    <t>Best-of-N reasoning paths ranked by a trained verifier (VerifierFC); adaptive scaling by claim complexity</t>
  </si>
  <si>
    <t>Adaptive test-time scaling is 1.8x more efficient than standard scaling and 18.8% better than single-shot verification</t>
  </si>
  <si>
    <t>Clear gap remains to the upper bound; noisy retrieved evidence can bias results; stronger verifiers and human-annotated data needed</t>
  </si>
  <si>
    <t>https://aclanthology.org/2025.findings-emnlp.1322.pdf</t>
  </si>
  <si>
    <t>Cui et al., 2025</t>
  </si>
  <si>
    <t>Method (LLM agent)</t>
  </si>
  <si>
    <t>Verifiable misinformation detection with an LLM agent that includes a numerical-claim tool</t>
  </si>
  <si>
    <t>FakeNewsNet, LIAR and a COVID-19 misinformation set</t>
  </si>
  <si>
    <t>Plan-act-reflect agent with web search, source-credibility and numerical-claim verification tools and an evidence log</t>
  </si>
  <si>
    <t>Outperforms machine-learning and plain-LLM baselines on accuracy, reasoning quality and robustness to rewritten content</t>
  </si>
  <si>
    <t>No limitations section; evaluated only on news misinformation sets (FakeNewsNet, LIAR, COVID-19)</t>
  </si>
  <si>
    <t>https://arxiv.org/pdf/2508.03092</t>
  </si>
  <si>
    <t>Wu et al., 2025</t>
  </si>
  <si>
    <t>Making claim, table and program subgraphs connect tightly for table verification</t>
  </si>
  <si>
    <t>TabFact and FEVEROUS (structured); FEVER (unstructured, for extensibility)</t>
  </si>
  <si>
    <t>TFGIN: tight-fitting graphs join claim, table and program subgraphs; inter- and intra-graph inference finds consistent evidence</t>
  </si>
  <si>
    <t>State of the art on TabFact and FEVEROUS at publication; at least 4.9% better than the three-stage FaBULOUS model on all metrics</t>
  </si>
  <si>
    <t>Much of the structural information in table subgraphs is still unexplored; authors plan structure-similarity graph construction</t>
  </si>
  <si>
    <t>https://dl.acm.org/doi/full/10.1145/3734520</t>
  </si>
  <si>
    <t>ACM Digital Library (free access)</t>
  </si>
  <si>
    <t>Yang et al., 2025</t>
  </si>
  <si>
    <t>Method (post-training)</t>
  </si>
  <si>
    <t>Inference-time scaling (long reasoning) for table reasoning, including fact verification</t>
  </si>
  <si>
    <t>13 table benchmarks: short-form QA, fact verification, free-form QA</t>
  </si>
  <si>
    <t>Table-R1-SFT (distilled DeepSeek-R1 traces) and Table-R1-Zero (RL with verifiable rewards, GRPO)</t>
  </si>
  <si>
    <t>Table-R1-Zero (7B) matches or exceeds GPT-4.1 and DeepSeek-R1 and generalises out of domain</t>
  </si>
  <si>
    <t>SFT data come only from DeepSeek-R1; filtering may drop hard examples; RL on LLaMA-3.1-8B was unstable</t>
  </si>
  <si>
    <t>https://aclanthology.org/2025.emnlp-main.1040.pdf</t>
  </si>
  <si>
    <t>Chen et al., 2021</t>
  </si>
  <si>
    <t>Numerical reasoning over financial reports with gold programs</t>
  </si>
  <si>
    <t>8,281 QA pairs from S&amp;P 500 earnings reports, written by 11 finance professionals</t>
  </si>
  <si>
    <t>Retriever-generator framework: retrieve supporting facts, then generate executable reasoning programs</t>
  </si>
  <si>
    <t>65.05% execution accuracy versus 91.16% for experts</t>
  </si>
  <si>
    <t>Large gap to experts; models lack domain knowledge and multi-step reasoning</t>
  </si>
  <si>
    <t>https://aclanthology.org/2021.emnlp-main.300.pdf</t>
  </si>
  <si>
    <t>Zhu et al., 2021</t>
  </si>
  <si>
    <t>QA over hybrid tables and text in financial reports</t>
  </si>
  <si>
    <t>TAT-QA: 16,552 questions from real financial reports</t>
  </si>
  <si>
    <t>TAGOP: sequence tagging of evidence plus symbolic aggregation operators</t>
  </si>
  <si>
    <t>TAGOP F1 58.0% versus 90.8% for humans</t>
  </si>
  <si>
    <t>Large gap to humans in numerical reasoning over hybrid data</t>
  </si>
  <si>
    <t>https://aclanthology.org/2021.acl-long.254.pdf</t>
  </si>
  <si>
    <t>Das et al., 2023</t>
  </si>
  <si>
    <t>What NLP fact-checking can do today and how it should be designed around human fact-checkers</t>
  </si>
  <si>
    <t>Review of task formulations, datasets, models and human-in-the-loop tools for fact-checking</t>
  </si>
  <si>
    <t>Narrative review organised by fact-checking pipeline stage and human-centred design strategies (explainability, HITL)</t>
  </si>
  <si>
    <t>Despite rapid research growth, practical adoption of NLP fact-checking tools remains in its infancy</t>
  </si>
  <si>
    <t>Authors argue tools must be refined to meet human fact-checkers' needs, through explainable models and human-in-the-loop designs</t>
  </si>
  <si>
    <t>https://arxiv.org/pdf/2301.03056</t>
  </si>
  <si>
    <t>Shah et al., 2024</t>
  </si>
  <si>
    <t>Dataset and method</t>
  </si>
  <si>
    <t>Detecting numerical claims in financial text</t>
  </si>
  <si>
    <t>Analyst reports and earnings-call transcripts</t>
  </si>
  <si>
    <t>Weak-supervision model built on labelling functions; compared with zero/few-shot LLMs and fine-tuned encoders</t>
  </si>
  <si>
    <t>Weak-supervision F1 0.927 (analyst reports) and 0.938 (earnings calls), close to fine-tuned encoders (~0.96)</t>
  </si>
  <si>
    <t>Limited text sources; audio and video not considered</t>
  </si>
  <si>
    <t>https://aclanthology.org/2024.fever-1.21.pdf</t>
  </si>
  <si>
    <t>Zhao et al., 2024</t>
  </si>
  <si>
    <t>Explainable claim verification over long financial documents with tables</t>
  </si>
  <si>
    <t>FinDVer: claims over long hybrid-content financial reports, expert annotated</t>
  </si>
  <si>
    <t>Evaluates LLMs (with retrieval) on verdicts and explanations</t>
  </si>
  <si>
    <t>Best model, Claude-3.5-Sonnet, reaches 77.2% versus 93.3% for human experts</t>
  </si>
  <si>
    <t>No finance-specific LLMs and no fine-tuning were evaluated</t>
  </si>
  <si>
    <t>https://aclanthology.org/2024.emnlp-main.818.pdf</t>
  </si>
  <si>
    <t>Loukas et al., 2022</t>
  </si>
  <si>
    <t>Tagging numeric facts in filings with XBRL concepts</t>
  </si>
  <si>
    <t>FiNER-139: 1.1M sentences from SEC filings with 139 XBRL tags</t>
  </si>
  <si>
    <t>Sequence labelling with BERT variants; numeric pseudo-tokens to handle number fragmentation</t>
  </si>
  <si>
    <t>Numeric pseudo-tokens and domain pre-training help; FiNER-139 released as a benchmark</t>
  </si>
  <si>
    <t>Gold XBRL tags are inconsistent; authors suggest classifiers to find wrong or missing gold tags</t>
  </si>
  <si>
    <t>https://aclanthology.org/2022.acl-long.303.pdf</t>
  </si>
  <si>
    <t>Han et al., 2024</t>
  </si>
  <si>
    <t>Empirical evaluation and method (LLM agent)</t>
  </si>
  <si>
    <t>How well LLMs answer domain and numeric questions over XBRL filings, and whether tools help</t>
  </si>
  <si>
    <t>Llama3-8B, Qwen2-7B, Gemma2-9B; 500 XBRL terms, 50 domain and 50 numeric FinanceBench queries, 1,000 financial-maths items</t>
  </si>
  <si>
    <t>ReAct agent with a retriever (RAG over XBRL filings) and a financial calculator; scored with FActScore and accuracy</t>
  </si>
  <si>
    <t>Without tools the best model reached 51% on domain queries and 24% on numeric queries; retriever plus calculator raised numeric queries to 46-53% (gains up to 17% domain, 42% numeric)</t>
  </si>
  <si>
    <t>Calculations remain a major weakness; accounting rules differ across jurisdictions, needing richer financial knowledge graphs</t>
  </si>
  <si>
    <t>https://dl.acm.org/doi/fullHtml/10.1145/3677052.3698614</t>
  </si>
  <si>
    <t>Guo et al., 2017</t>
  </si>
  <si>
    <t>Empirical analysis and method</t>
  </si>
  <si>
    <t>Whether modern neural networks are calibrated, and how to fix it</t>
  </si>
  <si>
    <t>Image and text classification benchmarks</t>
  </si>
  <si>
    <t>Analysis of calibration versus depth, width and regularisation; post-hoc calibration methods compared</t>
  </si>
  <si>
    <t>Modern networks are poorly calibrated; temperature scaling is surprisingly effective on most datasets</t>
  </si>
  <si>
    <t>No limitations section; calibration is studied on in-distribution test sets</t>
  </si>
  <si>
    <t>PMLR (open access)</t>
  </si>
  <si>
    <t>Bates et al., 2021</t>
  </si>
  <si>
    <t>Method (statistical guarantee)</t>
  </si>
  <si>
    <t>Set-valued predictions with a guaranteed bound on expected loss</t>
  </si>
  <si>
    <t>Classification, segmentation and other vision tasks</t>
  </si>
  <si>
    <t>RCPS: calibrate a threshold on held-out data with concentration bounds (UCB-based)</t>
  </si>
  <si>
    <t>Finite-sample guarantee that risk stays below a chosen level with high probability, for any black-box model</t>
  </si>
  <si>
    <t>Calibration and test data must share a distribution; losses must be bounded; roughly 1,000-10,000 calibration points suggested</t>
  </si>
  <si>
    <t>https://arxiv.org/pdf/2101.02703</t>
  </si>
  <si>
    <t>Angelopoulos et al., 2024</t>
  </si>
  <si>
    <t>Controlling the expected value of any monotone loss, not just miscoverage</t>
  </si>
  <si>
    <t>Worked examples in vision and NLP (false negative rate, graph distance, token-level F1)</t>
  </si>
  <si>
    <t>Conformal risk control: split-conformal style threshold for bounded, monotone losses</t>
  </si>
  <si>
    <t>Guarantee tight up to O(1/n); extensions to distribution shift, quantile and multiple risks</t>
  </si>
  <si>
    <t>Requires exchangeable data and a bounded loss that is monotone in the threshold</t>
  </si>
  <si>
    <t>https://arxiv.org/pdf/2208.02814</t>
  </si>
  <si>
    <t>Cohen et al., 2024</t>
  </si>
  <si>
    <t>Method (statistical calibration)</t>
  </si>
  <si>
    <t>Risk-controlled set prediction when data are too scarce for a separate calibration split</t>
  </si>
  <si>
    <t>Synthetic and temporal point-process prediction tasks with a target risk of 0.1</t>
  </si>
  <si>
    <t>Cross-validation conformal risk control (CV-CRC), extending jackknife-minmax to general risk functions</t>
  </si>
  <si>
    <t>Proven average-risk guarantee; smaller average set size than split CRC when data are limited</t>
  </si>
  <si>
    <t>No limitations section; the guarantee holds for the average risk of the set predictor</t>
  </si>
  <si>
    <t>https://arxiv.org/pdf/2401.11974</t>
  </si>
  <si>
    <t>Mohri &amp; Hashimoto, 2024</t>
  </si>
  <si>
    <t>Method (conformal for LMs)</t>
  </si>
  <si>
    <t>Correctness guarantees for LM outputs by removing uncertain sub-claims</t>
  </si>
  <si>
    <t>Question-answering and reasoning datasets</t>
  </si>
  <si>
    <t>Conformal factuality: score sub-claims and back off to a guaranteed-correct subset</t>
  </si>
  <si>
    <t>80-90% correctness guarantees while keeping most of the useful content</t>
  </si>
  <si>
    <t>Coverage is marginal over calibration and test draws; guarantee holds only for the calibration distribution</t>
  </si>
  <si>
    <t>arXiv author version of the ICML paper</t>
  </si>
  <si>
    <t>Angelopoulos et al., 2025</t>
  </si>
  <si>
    <t>Choosing model parameters so that any risk is controlled, via multiple testing</t>
  </si>
  <si>
    <t>Multi-label classification, selective classification, detection and other tasks</t>
  </si>
  <si>
    <t>Learn then Test: each candidate threshold is a hypothesis; p-values from concentration bounds; family-wise error control</t>
  </si>
  <si>
    <t>Finite-sample, distribution-free control of general (incl. non-monotone) risks</t>
  </si>
  <si>
    <t>Assumes i.i.d. calibration and test data</t>
  </si>
  <si>
    <t>https://arxiv.org/pdf/2110.01052</t>
  </si>
  <si>
    <t>Wang et al., 2025</t>
  </si>
  <si>
    <t>Controlling the loss of each individual prediction, not just its expected value</t>
  </si>
  <si>
    <t>Classification with a class-varying loss; weather-forecast post-processing (point-wise regression)</t>
  </si>
  <si>
    <t>Conformal loss-controlling prediction: extends conformal prediction from miscoverage to general losses</t>
  </si>
  <si>
    <t>Finite-sample loss-controlling guarantee under exchangeability, confirmed empirically</t>
  </si>
  <si>
    <t>How to build informationally efficient set predictors optimally is left open; relies on exchangeable data</t>
  </si>
  <si>
    <t>https://arxiv.org/pdf/2301.02424</t>
  </si>
  <si>
    <t>04 - PRISMA counts: Detection</t>
  </si>
  <si>
    <t>Every count is a formula over sheets 01 and 02, so it updates when a decision changes.</t>
  </si>
  <si>
    <t>Stage</t>
  </si>
  <si>
    <t>Count</t>
  </si>
  <si>
    <t>Where it comes from</t>
  </si>
  <si>
    <t>Identification (databases)</t>
  </si>
  <si>
    <t>Records identified from database searches (all hits)</t>
  </si>
  <si>
    <t>Sum of total hits, sheet 01</t>
  </si>
  <si>
    <t>Records not exported (beyond the 25 most-cited per search)</t>
  </si>
  <si>
    <t>Hits minus exported records</t>
  </si>
  <si>
    <t>Sum of exported records, sheet 01</t>
  </si>
  <si>
    <t>Duplicate records removed (same record found by more than one search)</t>
  </si>
  <si>
    <t>Exported minus unique records</t>
  </si>
  <si>
    <t>Records screened (unique)</t>
  </si>
  <si>
    <t>Database rows in sheet 02</t>
  </si>
  <si>
    <t>Records excluded at title (P1)</t>
  </si>
  <si>
    <t>P1 = DROP</t>
  </si>
  <si>
    <t>Records excluded at abstract (P2)</t>
  </si>
  <si>
    <t>P2 = DROP</t>
  </si>
  <si>
    <t>Full texts assessed for eligibility</t>
  </si>
  <si>
    <t>Screened minus P1 and P2 exclusions</t>
  </si>
  <si>
    <t>Full texts excluded (P3)</t>
  </si>
  <si>
    <t>P3 = DROP; reasons below</t>
  </si>
  <si>
    <t>Studies included from databases</t>
  </si>
  <si>
    <t>Assessed minus excluded</t>
  </si>
  <si>
    <t>Identification (other methods)</t>
  </si>
  <si>
    <t>Records identified by citation chasing</t>
  </si>
  <si>
    <t>Citation-chasing rows in sheet 02</t>
  </si>
  <si>
    <t>P3 = DROP</t>
  </si>
  <si>
    <t>Studies included by citation chasing</t>
  </si>
  <si>
    <t>Identified minus excluded</t>
  </si>
  <si>
    <t>Total studies included</t>
  </si>
  <si>
    <t>Databases plus citation chasing</t>
  </si>
  <si>
    <t>Check: INCLUDED = YES in sheet 02</t>
  </si>
  <si>
    <t>Must equal the total above</t>
  </si>
  <si>
    <t>Full-text exclusion reasons (all routes)</t>
  </si>
  <si>
    <t>Reason</t>
  </si>
  <si>
    <t>Definition</t>
  </si>
  <si>
    <t>preprints and technical reports with no archival version found, non-archival workshop papers, and journals whose peer review cannot be verified (open-access journals not listed in DOAJ).</t>
  </si>
  <si>
    <t>Outside date range</t>
  </si>
  <si>
    <t>published before 2017.</t>
  </si>
  <si>
    <t>Outside scope</t>
  </si>
  <si>
    <t>fails the member's scope at full-text stage.</t>
  </si>
  <si>
    <t>subscription-only and no author version found (arXiv searched by title).</t>
  </si>
  <si>
    <t>another version (e.g. arXiv copy) of a paper already in the log.</t>
  </si>
  <si>
    <t>Total</t>
  </si>
  <si>
    <t>Must equal P3 exclusions from both routes</t>
  </si>
  <si>
    <t>Included studies by subtopic</t>
  </si>
  <si>
    <t>Subtopic</t>
  </si>
  <si>
    <t>Label</t>
  </si>
  <si>
    <t>A</t>
  </si>
  <si>
    <t>Hallucination and faithfulness detection</t>
  </si>
  <si>
    <t>B</t>
  </si>
  <si>
    <t>Span- and token-level detection</t>
  </si>
  <si>
    <t>C</t>
  </si>
  <si>
    <t>Claim verification over tables and numbers</t>
  </si>
  <si>
    <t>D</t>
  </si>
  <si>
    <t>Financial QA and document verification</t>
  </si>
  <si>
    <t>E</t>
  </si>
  <si>
    <t>XBRL and financial numeric tagging</t>
  </si>
  <si>
    <t>F</t>
  </si>
  <si>
    <t>Calibration and certified thresholds</t>
  </si>
  <si>
    <t>05 - Gaps register: Detection</t>
  </si>
  <si>
    <t>Gaps as the authors state them (see sheet 03), and whether FaithGuard closes them. 'Not addressed' marks honest future work.</t>
  </si>
  <si>
    <t>Gap as stated by the authors</t>
  </si>
  <si>
    <t>Source (Author, Year)</t>
  </si>
  <si>
    <t>Theme</t>
  </si>
  <si>
    <t>Your note / how it would be closed</t>
  </si>
  <si>
    <t>Alignment-based consistency metrics give one label per claim and cannot point to the unsupported span.</t>
  </si>
  <si>
    <t>Localising errors</t>
  </si>
  <si>
    <t>Channel A predicts token spans with slot labels, and the repairer is told which claims were flagged.</t>
  </si>
  <si>
    <t>Small fact-checkers reach GPT-4 level but cannot localise errors to spans.</t>
  </si>
  <si>
    <t>Same as above: span head plus slot head.</t>
  </si>
  <si>
    <t>Detector generality across datasets is untested; manual versus synthetic labels is an open trade-off.</t>
  </si>
  <si>
    <t>Generalisation</t>
  </si>
  <si>
    <t>Splits are issuer-disjoint (a company appears in one split only), so results are on unseen companies.</t>
  </si>
  <si>
    <t>Hallucinations in the benchmark are simulated by perturbation, not produced by real generators.</t>
  </si>
  <si>
    <t>Realistic data</t>
  </si>
  <si>
    <t>The controlled track (planted errors) is kept separate from the benchmark of real generator answers.</t>
  </si>
  <si>
    <t>Span labels produced by GPT-4o may be biased; QA only; hallucination types not controlled.</t>
  </si>
  <si>
    <t>Label quality</t>
  </si>
  <si>
    <t>Benchmark items record a second human reader (checked_by) before use.</t>
  </si>
  <si>
    <t>Fact-verification benchmarks ignore cherry-picking, where true facts are used out of context.</t>
  </si>
  <si>
    <t>Error coverage</t>
  </si>
  <si>
    <t>Not addressed: FaithGuard checks numbers against the filing, not selective framing. Logged as future work.</t>
  </si>
  <si>
    <t>Real-world numerical claims remain hard: the best system reaches macro-F1 58.32.</t>
  </si>
  <si>
    <t>Numeric claims</t>
  </si>
  <si>
    <t>Channel B recomputes figures from the filing with exact Decimal arithmetic.</t>
  </si>
  <si>
    <t>No finance-specific or fine-tuned models were evaluated on financial claim verification.</t>
  </si>
  <si>
    <t>Domain models</t>
  </si>
  <si>
    <t>FaithGuard fine-tunes a compact encoder on financial answers.</t>
  </si>
  <si>
    <t>Gold XBRL tags contain inconsistencies; classifiers could flag wrong or missing tags.</t>
  </si>
  <si>
    <t>Source data quality</t>
  </si>
  <si>
    <t>XBRL facts are mined for Channel A training examples, so tag errors are reported as a threat to validity.</t>
  </si>
  <si>
    <t>Even with retrieval and a calculator, LLMs answer only about half of numeric XBRL queries correctly.</t>
  </si>
  <si>
    <t>Arithmetic</t>
  </si>
  <si>
    <t>Arithmetic is done by a deterministic executor, not by the language model.</t>
  </si>
  <si>
    <t>Conformal factuality guarantees are marginal and hold only for the calibration distribution.</t>
  </si>
  <si>
    <t>Guarantees</t>
  </si>
  <si>
    <t>FaithGuard certifies with Learn-then-Test on a held-out split and claims marginal guarantees only; shift is handled by Member 3.</t>
  </si>
  <si>
    <t>Risk control needs calibration and test data from the same distribution and bounded losses.</t>
  </si>
  <si>
    <t>Certification uses an issuer-disjoint calibration split; the per-item loss is bounded by construction.</t>
  </si>
  <si>
    <t>LLMs struggle to detect hallucinations in negated text.</t>
  </si>
  <si>
    <t>Robustness</t>
  </si>
  <si>
    <t>Not yet tested: add negated claims to the stress set.</t>
  </si>
  <si>
    <t>Existing detectors miss 'circumstantial inference' errors in LLM summaries.</t>
  </si>
  <si>
    <t>Not addressed specifically: claims are labelled supported, unsupported or unverifiable against the evidence.</t>
  </si>
  <si>
    <t>06 - Technology comparison evidence</t>
  </si>
  <si>
    <t>Alternatives compared for each design choice, the criteria used, and the provisional decision recorded in the FaithGuard architecture and decision log. Preprints appear here only as background; they are excluded from the review.</t>
  </si>
  <si>
    <t>Research / technology area</t>
  </si>
  <si>
    <t>Alternatives compared</t>
  </si>
  <si>
    <t>Selection criteria and provisional decision</t>
  </si>
  <si>
    <t>Source (citation or URL)</t>
  </si>
  <si>
    <t>Span-level detector</t>
  </si>
  <si>
    <t>LLM judge (GPT-4, Lynx); NLI or alignment classifier (AlignScore, MiniCheck); sampling-based (SelfCheckGPT); token-classification encoder (LettuceDetect-style, PsiloQA encoders)</t>
  </si>
  <si>
    <t>Need spans, low cost on a T4 and no access to the generator. Decision: token-classification encoder warm-started from LettuceDetect v2 mmBERT-base, up to 2,048 tokens, with a span head and a slot head.</t>
  </si>
  <si>
    <t>Niu et al., 2024; Rykov et al., 2025; Zha et al., 2023a; Tang et al., 2024; Manakul et al., 2023; LettuceDetect (arXiv 2502.17125, preprint, background only)</t>
  </si>
  <si>
    <t>Numeric and table checking</t>
  </si>
  <si>
    <t>Neural table verifiers (SAT, TAPAS variants); program-based verifiers (LPA, ProgVGAT, SASP); LLM table reasoning (Chain-of-Table, Table-R1); rule-based recomputation</t>
  </si>
  <si>
    <t>Need exact, explainable checks of figures in filings. Decision: deterministic rule checker over XBRL facts and tables (Channel B) alongside the learned detector.</t>
  </si>
  <si>
    <t>Chen et al., 2020; Yang et al., 2020; Ou &amp; Liu, 2022; Wang et al., 2024; Thorne &amp; Vlachos, 2017</t>
  </si>
  <si>
    <t>Fusing the two channels and calibrating</t>
  </si>
  <si>
    <t>Temperature scaling; Platt scaling; isotonic regression; learned fusion</t>
  </si>
  <si>
    <t>Need a calibrated probability per claim from two channels. Decision: per-claim logistic-regression fusion followed by isotonic calibration.</t>
  </si>
  <si>
    <t>Certifying the decision threshold</t>
  </si>
  <si>
    <t>RCPS (upper-confidence bound); conformal risk control (expected loss); Learn-then-Test (multiple testing, any risk); conformal factuality</t>
  </si>
  <si>
    <t>Need a finite-sample guarantee on the error rate of sent answers. Decision: Learn-then-Test with Hoeffding-Bentkus p-values and fixed-sequence testing, alpha = 0.10, delta = 0.05.</t>
  </si>
  <si>
    <t>Bates et al., 2021; Angelopoulos et al., 2024; Angelopoulos et al., 2025; Mohri &amp; Hashimoto, 2024</t>
  </si>
  <si>
    <t>Detector training data</t>
  </si>
  <si>
    <t>RAGTruth (natural RAG outputs); PsiloQA (multilingual, LLM-labelled); HADES (perturbation); TrueTeacher-style LLM labels</t>
  </si>
  <si>
    <t>Need realistic 'right number, wrong context' errors. Decision: 34,229 training examples from the controlled track (planted errors), XBRL-mined wrong-context negatives and RAGTruth.</t>
  </si>
  <si>
    <t>Niu et al., 2024; Rykov et al., 2025; Liu et al., 2022; Gekhman et al., 2023</t>
  </si>
  <si>
    <t>Financial evidence source</t>
  </si>
  <si>
    <t>FinQA and TAT-QA reports; FinDVer documents; XBRL facts (FiNER)</t>
  </si>
  <si>
    <t>Need machine-checkable evidence. Decision: the filings' own tables as evidence (US and Sri Lankan reports); XBRL facts mined only for training examples.</t>
  </si>
  <si>
    <t>Chen et al., 2021; Zhu et al., 2021; Zhao et al., 2024; Loukas et al., 2022</t>
  </si>
  <si>
    <t>Background preprints (not included)</t>
  </si>
  <si>
    <t>LettuceDetect (arXiv 2502.17125); Lynx (arXiv 2407.08488); ChainPoll (arXiv 2310.18344)</t>
  </si>
  <si>
    <t>Used only as engineering references; they fail the peer-review criterion and are excluded in sheet 02.</t>
  </si>
  <si>
    <t>arXiv preprints</t>
  </si>
  <si>
    <t>07 - Reference list: Detection (64 included studies)</t>
  </si>
  <si>
    <t>APA 7 style, alphabetical. Venue, volume and pages checked against Crossref or the proceedings page; free full-text link given for each.</t>
  </si>
  <si>
    <t>Citation</t>
  </si>
  <si>
    <t>Full reference</t>
  </si>
  <si>
    <t>Aly, R., Guo, Z., Schlichtkrull, M., Thorne, J., Vlachos, A., Christodoulopoulos, C., Cocarascu, O., &amp; Mittal, A. (2021). FEVEROUS: Fact extraction and VERification over unstructured and structured information. In Proceedings of the Neural Information Processing Systems Track on Datasets and Benchmarks 1 (NeurIPS 2021).</t>
  </si>
  <si>
    <t>Angelopoulos, A. N., Bates, S., Candès, E. J., Jordan, M. I., &amp; Lei, L. (2025). Learn then test: Calibrating predictive algorithms to achieve risk control. The Annals of Applied Statistics, 19(2), 1641-1662. https://doi.org/10.1214/24-AOAS1998</t>
  </si>
  <si>
    <t>Angelopoulos, A. N., Bates, S., Fisch, A., Lei, L., &amp; Schuster, T. (2024). Conformal risk control. In International Conference on Learning Representations (ICLR 2024).</t>
  </si>
  <si>
    <t>Bates, S., Angelopoulos, A., Lei, L., Malik, J., &amp; Jordan, M. (2021). Distribution-free, risk-controlling prediction sets. Journal of the ACM, 68(6), 1-34. https://doi.org/10.1145/3478535</t>
  </si>
  <si>
    <t>Chen, W. (2023). Large language models are few(1)-shot table reasoners. In Findings of the Association for Computational Linguistics: EACL 2023 (pp. 1120-1130). ACL. https://doi.org/10.18653/v1/2023.findings-eacl.83</t>
  </si>
  <si>
    <t>Chen, W., Wang, H., Chen, J., Zhang, Y., Wang, H., Li, S., Zhou, X., &amp; Wang, W. Y. (2020). TabFact: A large-scale dataset for table-based fact verification. In International Conference on Learning Representations (ICLR 2020).</t>
  </si>
  <si>
    <t>Chen, Z., Chen, W., Smiley, C., Shah, S., Borova, I., Langdon, D., Moussa, R., Beane, M., Huang, T.-H., Routledge, B., &amp; Wang, W. Y. (2021). FinQA: A dataset of numerical reasoning over financial data. In Proceedings of the 2021 Conference on Empirical Methods in Natural Language Processing (pp. 3697-3711). ACL. https://doi.org/10.18653/v1/2021.emnlp-main.300</t>
  </si>
  <si>
    <t>Cheung, M. (2025). Hallucination detection with small language models. In 2025 IEEE 41st International Conference on Data Engineering Workshops (ICDEW) (pp. 230-238). IEEE. https://doi.org/10.1109/ICDEW67478.2025.00033</t>
  </si>
  <si>
    <t>Chungkham, P., V, V., Setty, V., &amp; Anand, A. (2025). Think right, not more: Test-time scaling for numerical claim verification. In Findings of the Association for Computational Linguistics: EMNLP 2025 (pp. 24345-24363). ACL. https://doi.org/10.18653/v1/2025.findings-emnlp.1322</t>
  </si>
  <si>
    <t>Cohen, K. M., Park, S., Simeone, O., &amp; Shamai, S. (2024). Cross-validation conformal risk control. In 2024 IEEE International Symposium on Information Theory (ISIT) (pp. 250-255). IEEE. https://doi.org/10.1109/ISIT57864.2024.10619172</t>
  </si>
  <si>
    <t>Cui, Z., Huang, T., Chiang, C.-E., &amp; Du, C. (2025). Toward verifiable misinformation detection: A multi-tool LLM agent framework. In Proceedings of the 2025 International Conference on Generative Artificial Intelligence for Business (pp. 179-185). ACM. https://doi.org/10.1145/3766918.3766948</t>
  </si>
  <si>
    <t>Das, A., Liu, H., Kovatchev, V., &amp; Lease, M. (2023). The state of human-centered NLP technology for fact-checking. Information Processing &amp; Management, 60(2), 103219. https://doi.org/10.1016/j.ipm.2022.103219</t>
  </si>
  <si>
    <t>Dong, R., &amp; Smith, D. A. (2021). Structural encoding and pre-training matter: Adapting BERT for table-based fact verification. In Proceedings of the 16th Conference of the European Chapter of the Association for Computational Linguistics: Main Volume (pp. 2366-2375). ACL. https://doi.org/10.18653/v1/2021.eacl-main.201</t>
  </si>
  <si>
    <t>Fabbri, A. R., Wu, C.-S., Liu, W., &amp; Xiong, C. (2022). QAFactEval: Improved QA-based factual consistency evaluation for summarization. In Proceedings of the 2022 Conference of the North American Chapter of the Association for Computational Linguistics: Human Language Technologies (pp. 2587-2601). ACL. https://doi.org/10.18653/v1/2022.naacl-main.187</t>
  </si>
  <si>
    <t>Fu, X.-Y., Laskar, M. T. R., Chen, C., &amp; TN, S. B. (2023). Are large language models reliable judges? A study on the factuality evaluation capabilities of LLMs. In Proceedings of the Third Workshop on Natural Language Generation, Evaluation, and Metrics (GEM). ACL.</t>
  </si>
  <si>
    <t>Gekhman, Z., Herzig, J., Aharoni, R., Elkind, C., &amp; Szpektor, I. (2023). TrueTeacher: Learning factual consistency evaluation with large language models. In Proceedings of the 2023 Conference on Empirical Methods in Natural Language Processing (pp. 2053-2070). ACL. https://doi.org/10.18653/v1/2023.emnlp-main.127</t>
  </si>
  <si>
    <t>Gu, Z., Fan, J., Tang, N., Nakov, P., Zhao, X., &amp; Du, X. (2022). PASTA: Table-operations aware fact verification via sentence-table cloze pre-training. In Proceedings of the 2022 Conference on Empirical Methods in Natural Language Processing (pp. 4971-4983). ACL. https://doi.org/10.18653/v1/2022.emnlp-main.331</t>
  </si>
  <si>
    <t>Guo, C., Pleiss, G., Sun, Y., &amp; Weinberger, K. Q. (2017). On calibration of modern neural networks. In Proceedings of the 34th International Conference on Machine Learning (PMLR 70, pp. 1321-1330).</t>
  </si>
  <si>
    <t>Han, S., Kang, H., Jin, B., Liu, X.-Y., &amp; Yang, S. Y. (2024). XBRL Agent: Leveraging large language models for financial report analysis. In Proceedings of the 5th ACM International Conference on AI in Finance (ICAIF '24) (pp. 856-864). ACM. https://doi.org/10.1145/3677052.3698614</t>
  </si>
  <si>
    <t>Honovich, O., Aharoni, R., Herzig, J., Taitelbaum, H., Kukliansy, D., Cohen, V., Scialom, T., Szpektor, I., Hassidim, A., &amp; Matias, Y. (2022). TRUE: Re-evaluating factual consistency evaluation. In Proceedings of the 2022 Conference of the North American Chapter of the Association for Computational Linguistics: Human Language Technologies (pp. 3905-3920). ACL. https://doi.org/10.18653/v1/2022.naacl-main.287</t>
  </si>
  <si>
    <t>Honovich, O., Choshen, L., Aharoni, R., Neeman, E., Szpektor, I., &amp; Abend, O. (2021). Q2: Evaluating factual consistency in knowledge-grounded dialogues via question generation and question answering. In Proceedings of the 2021 Conference on Empirical Methods in Natural Language Processing (pp. 7856-7870). ACL. https://doi.org/10.18653/v1/2021.emnlp-main.619</t>
  </si>
  <si>
    <t>Hu, N., Wu, Z., Lai, Y., Liu, X., &amp; Feng, Y. (2022). Dual-channel evidence fusion for fact verification over texts and tables. In Proceedings of the 2022 Conference of the North American Chapter of the Association for Computational Linguistics: Human Language Technologies (pp. 5232-5242). ACL. https://doi.org/10.18653/v1/2022.naacl-main.384</t>
  </si>
  <si>
    <t>Huang, L., Yu, W., Ma, W., Zhong, W., Feng, Z., Wang, H., Chen, Q., Peng, W., Feng, X., Qin, B., &amp; Liu, T. (2025). A survey on hallucination in large language models: Principles, taxonomy, challenges, and open questions. ACM Transactions on Information Systems, 43(2), 1-55. https://doi.org/10.1145/3703155</t>
  </si>
  <si>
    <t>Ji, Z., Lee, N., Frieske, R., Yu, T., Su, D., Xu, Y., Ishii, E., Bang, Y., Madotto, A., &amp; Fung, P. (2023). Survey of hallucination in natural language generation. ACM Computing Surveys, 55(12), 1-38. https://doi.org/10.1145/3571730</t>
  </si>
  <si>
    <t>Laban, P., Schnabel, T., Bennett, P. N., &amp; Hearst, M. A. (2022). SummaC: Re-visiting NLI-based models for inconsistency detection in summarization. Transactions of the Association for Computational Linguistics, 10, 163-177. https://doi.org/10.1162/tacl_a_00453</t>
  </si>
  <si>
    <t>Li, J., Cheng, X., Zhao, W. X., Nie, J.-Y., &amp; Wen, J.-R. (2023). HaluEval: A large-scale hallucination evaluation benchmark for large language models. In Proceedings of the 2023 Conference on Empirical Methods in Natural Language Processing (pp. 6449-6464). ACL. https://doi.org/10.18653/v1/2023.emnlp-main.397</t>
  </si>
  <si>
    <t>Liu, T., Zhang, Y., Brockett, C., Mao, Y., Sui, Z., Chen, W., &amp; Dolan, B. (2022). A token-level reference-free hallucination detection benchmark for free-form text generation. In Proceedings of the 60th Annual Meeting of the Association for Computational Linguistics (Volume 1: Long Papers) (pp. 6723-6737). ACL. https://doi.org/10.18653/v1/2022.acl-long.464</t>
  </si>
  <si>
    <t>Lotfi, E., De Bruyn, M., Buhmann, J., &amp; Daelemans, W. (2022). What was your name again? Interrogating generative conversational models for factual consistency evaluation. In Proceedings of the 2nd Workshop on Natural Language Generation, Evaluation, and Metrics (GEM) (pp. 509-519). ACL. https://doi.org/10.18653/v1/2022.gem-1.47</t>
  </si>
  <si>
    <t>Loukas, L., Fergadiotis, M., Chalkidis, I., Spyropoulou, E., Malakasiotis, P., Androutsopoulos, I., &amp; Paliouras, G. (2022). FiNER: Financial numeric entity recognition for XBRL tagging. In Proceedings of the 60th Annual Meeting of the Association for Computational Linguistics (Volume 1: Long Papers) (pp. 4419-4431). ACL. https://doi.org/10.18653/v1/2022.acl-long.303</t>
  </si>
  <si>
    <t>Manakul, P., Liusie, A., &amp; Gales, M. (2023). SelfCheckGPT: Zero-resource black-box hallucination detection for generative large language models. In Proceedings of the 2023 Conference on Empirical Methods in Natural Language Processing (pp. 9004-9017). ACL. https://doi.org/10.18653/v1/2023.emnlp-main.557</t>
  </si>
  <si>
    <t>Min, S., Krishna, K., Lyu, X., Lewis, M., Yih, W.-t., Koh, P. W., Iyyer, M., Zettlemoyer, L., &amp; Hajishirzi, H. (2023). FActScore: Fine-grained atomic evaluation of factual precision in long form text generation. In Proceedings of the 2023 Conference on Empirical Methods in Natural Language Processing (pp. 12076-12100). ACL. https://doi.org/10.18653/v1/2023.emnlp-main.741</t>
  </si>
  <si>
    <t>Mishra, A., Asai, A., Balachandran, V., Wang, Y., Tsvetkov, Y., Neubig, G., &amp; Hajishirzi, H. (2024). Fine-grained hallucination detection and editing for language models. In Proceedings of the First Conference on Language Modeling (COLM 2024).</t>
  </si>
  <si>
    <t>Mohri, C., &amp; Hashimoto, T. (2024). Language models with conformal factuality guarantees. In Proceedings of the 41st International Conference on Machine Learning (PMLR 235, pp. 36029-36047).</t>
  </si>
  <si>
    <t>Niu, C., Wu, Y., Zhu, J., Xu, S., Shum, K., Zhong, R., Song, J., &amp; Zhang, T. (2024). RAGTruth: A hallucination corpus for developing trustworthy retrieval-augmented language models. In Proceedings of the 62nd Annual Meeting of the Association for Computational Linguistics (Volume 1: Long Papers) (pp. 10862-10878). ACL. https://doi.org/10.18653/v1/2024.acl-long.585</t>
  </si>
  <si>
    <t>Ou, S., &amp; Liu, Y. (2022). Learning to generate programs for table fact verification via structure-aware semantic parsing. In Proceedings of the 60th Annual Meeting of the Association for Computational Linguistics (Volume 1: Long Papers) (pp. 7624-7638). ACL. https://doi.org/10.18653/v1/2022.acl-long.525</t>
  </si>
  <si>
    <t>Ramprasad, S., Ferracane, E., &amp; Lipton, Z. C. (2024). Analyzing LLM behavior in dialogue summarization: Unveiling circumstantial hallucination trends. In Proceedings of the 62nd Annual Meeting of the Association for Computational Linguistics (Volume 1: Long Papers) (pp. 12549-12561). ACL. https://doi.org/10.18653/v1/2024.acl-long.677</t>
  </si>
  <si>
    <t>Rezgui, R., Saeed, M., &amp; Papotti, P. (2021). Automatic verification of data summaries. In Proceedings of the 14th International Conference on Natural Language Generation (pp. 271-275). ACL. https://doi.org/10.18653/v1/2021.inlg-1.27</t>
  </si>
  <si>
    <t>Rykov, E., Petrushina, K., Savkin, M., Olisov, V., Vazhentsev, A., Titova, K., Panchenko, A., Konovalov, V., &amp; Belikova, J. (2025). When models lie, we learn: Multilingual span-level hallucination detection with PsiloQA. In Findings of the Association for Computational Linguistics: EMNLP 2025 (pp. 11663-11682). ACL. https://doi.org/10.18653/v1/2025.findings-emnlp.626</t>
  </si>
  <si>
    <t>Seo, J., Moon, H., &amp; Lim, H. (2025). The impact of negated text on hallucination with large language models. In Proceedings of the 2025 Conference on Empirical Methods in Natural Language Processing (pp. 13554-13572). ACL. https://doi.org/10.18653/v1/2025.emnlp-main.684</t>
  </si>
  <si>
    <t>Shah, A., Hiray, A., Shah, P., Banerjee, A., Singh, A., Eidnani, D. D., Chava, S., Chaudhury, B., &amp; Chava, S. (2024). Numerical claim detection in finance: A new financial dataset, weak-supervision model, and market analysis. In Proceedings of the Seventh Fact Extraction and VERification Workshop (FEVER) (pp. 170-185). ACL. https://doi.org/10.18653/v1/2024.fever-1.21</t>
  </si>
  <si>
    <t>Shi, Q., Zhang, Y., Yin, Q., &amp; Liu, T. (2020). Learn to combine linguistic and symbolic information for table-based fact verification. In Proceedings of the 28th International Conference on Computational Linguistics (pp. 5335-5346). ICCL. https://doi.org/10.18653/v1/2020.coling-main.466</t>
  </si>
  <si>
    <t>Shi, Q., Zhang, Y., Yin, Q., &amp; Liu, T. (2021). Logic-level evidence retrieval and graph-based verification network for table-based fact verification. In Proceedings of the 2021 Conference on Empirical Methods in Natural Language Processing (pp. 175-184). ACL. https://doi.org/10.18653/v1/2021.emnlp-main.16</t>
  </si>
  <si>
    <t>Su, H., Hu, T.-Y., Koppula, H. S., Krishna, K., Pouransari, H., Hsieh, C.-Y., Koc, C., Cheng, J. Y., Tuzel, O., &amp; Vemulapalli, R. (2026). Learning to reason for hallucination span detection. In International Conference on Learning Representations (ICLR 2026).</t>
  </si>
  <si>
    <t>Tang, L., Laban, P., &amp; Durrett, G. (2024). MiniCheck: Efficient fact-checking of LLMs on grounding documents. In Proceedings of the 2024 Conference on Empirical Methods in Natural Language Processing (pp. 8818-8847). ACL. https://doi.org/10.18653/v1/2024.emnlp-main.499</t>
  </si>
  <si>
    <t>Taş, S., El Huseyni, M., Ezerceli, Ö., Bayraktar, R., &amp; Terzioğlu, F. B. (2025). Turk-LettuceDetect: A hallucination detection model for Turkish RAG applications. In 2025 3rd International Conference on Foundation and Large Language Models (FLLM) (pp. 677-684). IEEE. https://doi.org/10.1109/FLLM67465.2025.11390913</t>
  </si>
  <si>
    <t>Thorne, J., &amp; Vlachos, A. (2017). An extensible framework for verification of numerical claims. In Proceedings of the Software Demonstrations of the 15th Conference of the European Chapter of the Association for Computational Linguistics (pp. 37-40). ACL. https://doi.org/10.18653/v1/E17-3010</t>
  </si>
  <si>
    <t>V, V., Anand, A., Anand, A., &amp; Setty, V. (2024). QuanTemp: A real-world open-domain benchmark for fact-checking numerical claims. In Proceedings of the 47th International ACM SIGIR Conference on Research and Development in Information Retrieval (pp. 650-660). ACM. https://doi.org/10.1145/3626772.3657874</t>
  </si>
  <si>
    <t>Wang, D., Wang, P., Ji, Z., Yang, X., &amp; Li, H. (2025). Conformal loss-controlling prediction. IEEE Transactions on Neural Networks and Learning Systems, 36(2), 2973-2983. https://doi.org/10.1109/TNNLS.2024.3356512</t>
  </si>
  <si>
    <t>Wang, F., Sun, K., Pujara, J., Szekely, P., &amp; Chen, M. (2021a). Table-based fact verification with salience-aware learning. In Findings of the Association for Computational Linguistics: EMNLP 2021 (pp. 4025-4036). ACL. https://doi.org/10.18653/v1/2021.findings-emnlp.338</t>
  </si>
  <si>
    <t>Wang, N. X. R., Mahajan, D., Danilevsky, M., &amp; Rosenthal, S. (2021b). SemEval-2021 Task 9: Fact verification and evidence finding for tabular data in scientific documents (SEM-TAB-FACTS). In Proceedings of the 15th International Workshop on Semantic Evaluation (SemEval-2021) (pp. 317-326). ACL. https://doi.org/10.18653/v1/2021.semeval-1.39</t>
  </si>
  <si>
    <t>Wang, Z., Zhang, H., Li, C.-L., Eisenschlos, J. M., Perot, V., Wang, Z., Miculicich, L., Fujii, Y., Shang, J., Lee, C.-Y., &amp; Pfister, T. (2024). Chain-of-Table: Evolving tables in the reasoning chain for table understanding. In International Conference on Learning Representations (ICLR 2024).</t>
  </si>
  <si>
    <t>Wu, L., Wang, K., Nie, K., Guo, S., Gao, C., Wang, Z., &amp; Li, S. (2025). TFGIN: Tight-fitting graph inference network for table-based fact verification. ACM Transactions on Information Systems, 43(5), Article 130, 1-26. https://doi.org/10.1145/3734520</t>
  </si>
  <si>
    <t>Wu, W., Li, W., Xiao, X., Liu, J., Li, S., &amp; Lyu, Y. (2023). WeCheck: Strong factual consistency checker via weakly supervised learning. In Proceedings of the 61st Annual Meeting of the Association for Computational Linguistics (Volume 1: Long Papers) (pp. 307-321). ACL. https://doi.org/10.18653/v1/2023.acl-long.18</t>
  </si>
  <si>
    <t>Yang, X., &amp; Zhu, X. (2021). Exploring decomposition for table-based fact verification. In Findings of the Association for Computational Linguistics: EMNLP 2021 (pp. 1045-1052). ACL. https://doi.org/10.18653/v1/2021.findings-emnlp.90</t>
  </si>
  <si>
    <t>Yang, X., Nie, F., Feng, Y., Liu, Q., Chen, Z., &amp; Zhu, X. (2020). Program enhanced fact verification with verbalization and graph attention network. In Proceedings of the 2020 Conference on Empirical Methods in Natural Language Processing (EMNLP) (pp. 7810-7825). ACL. https://doi.org/10.18653/v1/2020.emnlp-main.628</t>
  </si>
  <si>
    <t>Yang, Z., Chen, L., Cohan, A., &amp; Zhao, Y. (2025). Table-R1: Inference-time scaling for table reasoning. In Proceedings of the 2025 Conference on Empirical Methods in Natural Language Processing (pp. 20605-20624). ACL. https://doi.org/10.18653/v1/2025.emnlp-main.1040</t>
  </si>
  <si>
    <t>Zha, Y., Yang, Y., Li, R., &amp; Hu, Z. (2023a). AlignScore: Evaluating factual consistency with a unified alignment function. In Proceedings of the 61st Annual Meeting of the Association for Computational Linguistics (Volume 1: Long Papers) (pp. 11328-11348). ACL. https://doi.org/10.18653/v1/2023.acl-long.634</t>
  </si>
  <si>
    <t>Zha, Y., Yang, Y., Li, R., &amp; Hu, Z. (2023b). Text alignment is an efficient unified model for massive NLP tasks. In Advances in Neural Information Processing Systems 36 (NeurIPS 2023).</t>
  </si>
  <si>
    <t>Zhang, H., Si, Q., Fu, P., Lin, Z., &amp; Wang, W. (2024). Are large language models table-based fact-checkers? In 2024 27th International Conference on Computer Supported Cooperative Work in Design (CSCWD) (pp. 3086-3091). IEEE. https://doi.org/10.1109/CSCWD61410.2024.10580146</t>
  </si>
  <si>
    <t>Zhang, H., Wang, Y., Wang, S., Cao, X., Zhang, F., &amp; Wang, Z. (2020). Table fact verification with structure-aware transformer. In Proceedings of the 2020 Conference on Empirical Methods in Natural Language Processing (pp. 1624-1629). ACL. https://doi.org/10.18653/v1/2020.emnlp-main.126</t>
  </si>
  <si>
    <t>Zhao, Y., Long, Y., Jiang, T., Wang, C., Chen, W., Liu, H., Tang, X., Zhang, Y., Zhao, C., &amp; Cohan, A. (2024). FinDVer: Explainable claim verification over long and hybrid-content financial documents. In Proceedings of the 2024 Conference on Empirical Methods in Natural Language Processing (pp. 14739-14752). ACL. https://doi.org/10.18653/v1/2024.emnlp-main.818</t>
  </si>
  <si>
    <t>Zhao, Y., Nan, L., Qi, Z., Zhang, R., &amp; Radev, D. (2022). ReasTAP: Injecting table reasoning skills during pre-training via synthetic reasoning examples. In Proceedings of the 2022 Conference on Empirical Methods in Natural Language Processing (pp. 9006-9018). ACL. https://doi.org/10.18653/v1/2022.emnlp-main.615</t>
  </si>
  <si>
    <t>Zhou, Y., Liu, X., Zhou, K., &amp; Wu, J. (2022). Table-based fact verification with self-adaptive mixture of experts. In Findings of the Association for Computational Linguistics: ACL 2022 (pp. 139-149). ACL. https://doi.org/10.18653/v1/2022.findings-acl.13</t>
  </si>
  <si>
    <t>Zhu, F., Lei, W., Huang, Y., Wang, C., Zhang, S., Lv, J., Feng, F., &amp; Chua, T.-S. (2021). TAT-QA: A question answering benchmark on a hybrid of tabular and textual content in finance. In Proceedings of the 59th Annual Meeting of the ACL and the 11th IJCNLP (Volume 1: Long Papers) (pp. 3277-3287). ACL. https://doi.org/10.18653/v1/2021.acl-long.254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</si>
</sst>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color rgb="FF1C4F8B"/>
      <name val="Arial"/>
    </font>
    <font>
      <sz val="9"/>
      <color rgb="FF6B727C"/>
      <name val="Arial"/>
    </font>
    <font>
      <b/>
      <sz val="10"/>
      <color rgb="FFFFFFFF"/>
      <name val="Arial"/>
    </font>
    <font>
      <sz val="9"/>
      <name val="Arial"/>
    </font>
    <font>
      <b/>
      <sz val="10"/>
      <name val="Arial"/>
    </font>
    <font>
      <b/>
      <sz val="9"/>
      <name val="Arial"/>
    </font>
    <font>
      <sz val="10"/>
      <name val="Arial"/>
    </font>
    <font>
      <b/>
      <sz val="18"/>
      <color rgb="FF1C4F8B"/>
      <name val="Arial"/>
    </font>
    <font>
      <sz val="10"/>
      <color rgb="FF6B727C"/>
      <name val="Arial"/>
    </font>
  </fonts>
  <fills count="6">
    <fill>
      <patternFill patternType="none"/>
    </fill>
    <fill>
      <patternFill patternType="gray125"/>
    </fill>
    <fill>
      <patternFill patternType="solid">
        <fgColor rgb="FF1C4F8B"/>
      </patternFill>
    </fill>
    <fill>
      <patternFill patternType="solid">
        <fgColor rgb="FFFFFDE7"/>
      </patternFill>
    </fill>
    <fill>
      <patternFill patternType="solid">
        <fgColor rgb="FF275D95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8" fillId="0" borderId="0" xfId="0" applyFont="1"/>
    <xf numFmtId="0" fontId="9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top" wrapText="1"/>
    </xf>
    <xf numFmtId="0" fontId="5" fillId="0" borderId="0" xfId="0" applyFont="1"/>
    <xf numFmtId="0" fontId="7" fillId="3" borderId="1" xfId="0" applyFont="1" applyFill="1" applyBorder="1"/>
    <xf numFmtId="0" fontId="7" fillId="0" borderId="1" xfId="0" applyFont="1" applyBorder="1"/>
    <xf numFmtId="0" fontId="7" fillId="5" borderId="1" xfId="0" applyFont="1" applyFill="1" applyBorder="1"/>
    <xf numFmtId="0" fontId="7" fillId="0" borderId="0" xfId="0" applyFont="1"/>
    <xf numFmtId="0" fontId="1" fillId="0" borderId="0" xfId="0" applyFont="1"/>
    <xf numFmtId="0" fontId="4" fillId="3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0" borderId="0" xfId="0" applyFont="1"/>
    <xf numFmtId="0" fontId="5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"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56"/>
  <sheetViews>
    <sheetView tabSelected="1" workbookViewId="0"/>
  </sheetViews>
  <sheetFormatPr defaultRowHeight="14.5" x14ac:dyDescent="0.35"/>
  <cols>
    <col min="1" max="1" width="4" customWidth="1"/>
    <col min="2" max="2" width="30" customWidth="1"/>
    <col min="3" max="3" width="80" customWidth="1"/>
    <col min="4" max="4" width="26" customWidth="1"/>
  </cols>
  <sheetData>
    <row r="2" spans="2:4" ht="23" x14ac:dyDescent="0.5">
      <c r="B2" s="1" t="s">
        <v>0</v>
      </c>
    </row>
    <row r="3" spans="2:4" x14ac:dyDescent="0.35">
      <c r="B3" s="2" t="s">
        <v>1</v>
      </c>
    </row>
    <row r="4" spans="2:4" ht="44" customHeight="1" x14ac:dyDescent="0.35">
      <c r="B4" s="24" t="s">
        <v>2</v>
      </c>
      <c r="C4" s="25"/>
      <c r="D4" s="25"/>
    </row>
    <row r="6" spans="2:4" x14ac:dyDescent="0.35">
      <c r="B6" s="3" t="s">
        <v>3</v>
      </c>
      <c r="C6" s="3" t="s">
        <v>4</v>
      </c>
      <c r="D6" s="3" t="s">
        <v>5</v>
      </c>
    </row>
    <row r="7" spans="2:4" ht="30" customHeight="1" x14ac:dyDescent="0.35">
      <c r="B7" s="4" t="s">
        <v>6</v>
      </c>
      <c r="C7" s="4" t="s">
        <v>7</v>
      </c>
      <c r="D7" s="4" t="s">
        <v>8</v>
      </c>
    </row>
    <row r="8" spans="2:4" ht="30" customHeight="1" x14ac:dyDescent="0.35">
      <c r="B8" s="4" t="s">
        <v>9</v>
      </c>
      <c r="C8" s="4" t="s">
        <v>10</v>
      </c>
      <c r="D8" s="4" t="s">
        <v>11</v>
      </c>
    </row>
    <row r="9" spans="2:4" ht="30" customHeight="1" x14ac:dyDescent="0.35">
      <c r="B9" s="4" t="s">
        <v>12</v>
      </c>
      <c r="C9" s="4" t="s">
        <v>13</v>
      </c>
      <c r="D9" s="4" t="s">
        <v>14</v>
      </c>
    </row>
    <row r="10" spans="2:4" ht="30" customHeight="1" x14ac:dyDescent="0.35">
      <c r="B10" s="4" t="s">
        <v>8</v>
      </c>
      <c r="C10" s="4" t="s">
        <v>15</v>
      </c>
      <c r="D10" s="4" t="s">
        <v>16</v>
      </c>
    </row>
    <row r="11" spans="2:4" ht="30" customHeight="1" x14ac:dyDescent="0.35">
      <c r="B11" s="4" t="s">
        <v>17</v>
      </c>
      <c r="C11" s="4" t="s">
        <v>18</v>
      </c>
      <c r="D11" s="4" t="s">
        <v>19</v>
      </c>
    </row>
    <row r="12" spans="2:4" ht="30" customHeight="1" x14ac:dyDescent="0.35">
      <c r="B12" s="4" t="s">
        <v>20</v>
      </c>
      <c r="C12" s="4" t="s">
        <v>21</v>
      </c>
      <c r="D12" s="4" t="s">
        <v>22</v>
      </c>
    </row>
    <row r="13" spans="2:4" ht="30" customHeight="1" x14ac:dyDescent="0.35">
      <c r="B13" s="4" t="s">
        <v>23</v>
      </c>
      <c r="C13" s="4" t="s">
        <v>24</v>
      </c>
      <c r="D13" s="4" t="s">
        <v>25</v>
      </c>
    </row>
    <row r="15" spans="2:4" x14ac:dyDescent="0.35">
      <c r="B15" s="5" t="s">
        <v>26</v>
      </c>
    </row>
    <row r="16" spans="2:4" x14ac:dyDescent="0.35">
      <c r="B16" s="6" t="s">
        <v>27</v>
      </c>
    </row>
    <row r="17" spans="2:4" x14ac:dyDescent="0.35">
      <c r="B17" s="7" t="s">
        <v>28</v>
      </c>
    </row>
    <row r="18" spans="2:4" x14ac:dyDescent="0.35">
      <c r="B18" s="8" t="s">
        <v>29</v>
      </c>
    </row>
    <row r="20" spans="2:4" ht="34" customHeight="1" x14ac:dyDescent="0.35">
      <c r="B20" s="26" t="str">
        <f>"Completed bounded review: "&amp;'04 PRISMA counts'!C11&amp;" unique records screened from "&amp;'04 PRISMA counts'!C7&amp;" database hits ("&amp;'04 PRISMA counts'!C9&amp;" exported), "&amp;'04 PRISMA counts'!C16&amp;" included from databases and "&amp;'04 PRISMA counts'!C20&amp;" by citation chasing: "&amp;'04 PRISMA counts'!C21&amp;" studies in total."</f>
        <v>Completed bounded review: 198 unique records screened from 3235 database hits (200 exported), 52 included from databases and 12 by citation chasing: 64 studies in total.</v>
      </c>
      <c r="C20" s="25"/>
      <c r="D20" s="25"/>
    </row>
    <row r="22" spans="2:4" x14ac:dyDescent="0.35">
      <c r="B22" s="5" t="s">
        <v>30</v>
      </c>
    </row>
    <row r="23" spans="2:4" ht="32" customHeight="1" x14ac:dyDescent="0.35">
      <c r="B23" s="24" t="s">
        <v>31</v>
      </c>
      <c r="C23" s="25"/>
      <c r="D23" s="25"/>
    </row>
    <row r="25" spans="2:4" x14ac:dyDescent="0.35">
      <c r="B25" s="5" t="s">
        <v>32</v>
      </c>
    </row>
    <row r="26" spans="2:4" x14ac:dyDescent="0.35">
      <c r="B26" s="5" t="s">
        <v>33</v>
      </c>
    </row>
    <row r="27" spans="2:4" ht="28" customHeight="1" x14ac:dyDescent="0.35">
      <c r="B27" s="24" t="s">
        <v>34</v>
      </c>
      <c r="C27" s="25"/>
      <c r="D27" s="25"/>
    </row>
    <row r="28" spans="2:4" ht="28" customHeight="1" x14ac:dyDescent="0.35">
      <c r="B28" s="24" t="s">
        <v>35</v>
      </c>
      <c r="C28" s="25"/>
      <c r="D28" s="25"/>
    </row>
    <row r="29" spans="2:4" ht="28" customHeight="1" x14ac:dyDescent="0.35">
      <c r="B29" s="24" t="s">
        <v>36</v>
      </c>
      <c r="C29" s="25"/>
      <c r="D29" s="25"/>
    </row>
    <row r="30" spans="2:4" ht="28" customHeight="1" x14ac:dyDescent="0.35">
      <c r="B30" s="24" t="s">
        <v>37</v>
      </c>
      <c r="C30" s="25"/>
      <c r="D30" s="25"/>
    </row>
    <row r="31" spans="2:4" ht="28" customHeight="1" x14ac:dyDescent="0.35">
      <c r="B31" s="24" t="s">
        <v>38</v>
      </c>
      <c r="C31" s="25"/>
      <c r="D31" s="25"/>
    </row>
    <row r="32" spans="2:4" ht="58" customHeight="1" x14ac:dyDescent="0.35">
      <c r="B32" s="24" t="s">
        <v>39</v>
      </c>
      <c r="C32" s="25"/>
      <c r="D32" s="25"/>
    </row>
    <row r="33" spans="2:4" ht="58" customHeight="1" x14ac:dyDescent="0.35">
      <c r="B33" s="24" t="s">
        <v>40</v>
      </c>
      <c r="C33" s="25"/>
      <c r="D33" s="25"/>
    </row>
    <row r="35" spans="2:4" x14ac:dyDescent="0.35">
      <c r="B35" s="5" t="s">
        <v>41</v>
      </c>
    </row>
    <row r="36" spans="2:4" ht="30" customHeight="1" x14ac:dyDescent="0.35">
      <c r="B36" s="24" t="s">
        <v>42</v>
      </c>
      <c r="C36" s="25"/>
      <c r="D36" s="25"/>
    </row>
    <row r="37" spans="2:4" ht="30" customHeight="1" x14ac:dyDescent="0.35">
      <c r="B37" s="24" t="s">
        <v>43</v>
      </c>
      <c r="C37" s="25"/>
      <c r="D37" s="25"/>
    </row>
    <row r="38" spans="2:4" ht="30" customHeight="1" x14ac:dyDescent="0.35">
      <c r="B38" s="24" t="s">
        <v>44</v>
      </c>
      <c r="C38" s="25"/>
      <c r="D38" s="25"/>
    </row>
    <row r="39" spans="2:4" ht="30" customHeight="1" x14ac:dyDescent="0.35">
      <c r="B39" s="24" t="s">
        <v>45</v>
      </c>
      <c r="C39" s="25"/>
      <c r="D39" s="25"/>
    </row>
    <row r="40" spans="2:4" ht="30" customHeight="1" x14ac:dyDescent="0.35">
      <c r="B40" s="24" t="s">
        <v>46</v>
      </c>
      <c r="C40" s="25"/>
      <c r="D40" s="25"/>
    </row>
    <row r="42" spans="2:4" x14ac:dyDescent="0.35">
      <c r="B42" s="5" t="s">
        <v>47</v>
      </c>
    </row>
    <row r="43" spans="2:4" x14ac:dyDescent="0.35">
      <c r="B43" s="9" t="s">
        <v>48</v>
      </c>
    </row>
    <row r="44" spans="2:4" x14ac:dyDescent="0.35">
      <c r="B44" s="9" t="s">
        <v>49</v>
      </c>
    </row>
    <row r="45" spans="2:4" x14ac:dyDescent="0.35">
      <c r="B45" s="9" t="s">
        <v>50</v>
      </c>
    </row>
    <row r="46" spans="2:4" x14ac:dyDescent="0.35">
      <c r="B46" s="9" t="s">
        <v>51</v>
      </c>
    </row>
    <row r="47" spans="2:4" x14ac:dyDescent="0.35">
      <c r="B47" s="9" t="s">
        <v>52</v>
      </c>
    </row>
    <row r="48" spans="2:4" x14ac:dyDescent="0.35">
      <c r="B48" s="9" t="s">
        <v>53</v>
      </c>
    </row>
    <row r="50" spans="2:4" x14ac:dyDescent="0.35">
      <c r="B50" s="5" t="s">
        <v>54</v>
      </c>
    </row>
    <row r="51" spans="2:4" ht="32" customHeight="1" x14ac:dyDescent="0.35">
      <c r="B51" s="24" t="s">
        <v>55</v>
      </c>
      <c r="C51" s="25"/>
      <c r="D51" s="25"/>
    </row>
    <row r="52" spans="2:4" ht="32" customHeight="1" x14ac:dyDescent="0.35">
      <c r="B52" s="24" t="s">
        <v>56</v>
      </c>
      <c r="C52" s="25"/>
      <c r="D52" s="25"/>
    </row>
    <row r="53" spans="2:4" ht="32" customHeight="1" x14ac:dyDescent="0.35">
      <c r="B53" s="24" t="s">
        <v>57</v>
      </c>
      <c r="C53" s="25"/>
      <c r="D53" s="25"/>
    </row>
    <row r="54" spans="2:4" ht="32" customHeight="1" x14ac:dyDescent="0.35">
      <c r="B54" s="24" t="s">
        <v>58</v>
      </c>
      <c r="C54" s="25"/>
      <c r="D54" s="25"/>
    </row>
    <row r="55" spans="2:4" ht="32" customHeight="1" x14ac:dyDescent="0.35">
      <c r="B55" s="24" t="s">
        <v>59</v>
      </c>
      <c r="C55" s="25"/>
      <c r="D55" s="25"/>
    </row>
    <row r="56" spans="2:4" ht="32" customHeight="1" x14ac:dyDescent="0.35">
      <c r="B56" s="24" t="s">
        <v>60</v>
      </c>
      <c r="C56" s="25"/>
      <c r="D56" s="25"/>
    </row>
  </sheetData>
  <mergeCells count="21">
    <mergeCell ref="B4:D4"/>
    <mergeCell ref="B54:D54"/>
    <mergeCell ref="B31:D31"/>
    <mergeCell ref="B27:D27"/>
    <mergeCell ref="B56:D56"/>
    <mergeCell ref="B52:D52"/>
    <mergeCell ref="B39:D39"/>
    <mergeCell ref="B55:D55"/>
    <mergeCell ref="B51:D51"/>
    <mergeCell ref="B20:D20"/>
    <mergeCell ref="B33:D33"/>
    <mergeCell ref="B36:D36"/>
    <mergeCell ref="B32:D32"/>
    <mergeCell ref="B23:D23"/>
    <mergeCell ref="B53:D53"/>
    <mergeCell ref="B29:D29"/>
    <mergeCell ref="B38:D38"/>
    <mergeCell ref="B28:D28"/>
    <mergeCell ref="B37:D37"/>
    <mergeCell ref="B40:D40"/>
    <mergeCell ref="B30:D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3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8" customWidth="1"/>
    <col min="2" max="2" width="20" customWidth="1"/>
    <col min="3" max="3" width="52" customWidth="1"/>
    <col min="4" max="4" width="14" customWidth="1"/>
    <col min="5" max="5" width="12" customWidth="1"/>
    <col min="6" max="6" width="14" customWidth="1"/>
    <col min="7" max="7" width="40" customWidth="1"/>
  </cols>
  <sheetData>
    <row r="1" spans="1:7" ht="18" x14ac:dyDescent="0.4">
      <c r="A1" s="10" t="s">
        <v>61</v>
      </c>
    </row>
    <row r="2" spans="1:7" ht="52" customHeight="1" x14ac:dyDescent="0.35">
      <c r="A2" s="27" t="s">
        <v>62</v>
      </c>
      <c r="B2" s="25"/>
      <c r="C2" s="25"/>
      <c r="D2" s="25"/>
      <c r="E2" s="25"/>
      <c r="F2" s="25"/>
      <c r="G2" s="25"/>
    </row>
    <row r="4" spans="1:7" ht="30" customHeight="1" x14ac:dyDescent="0.35">
      <c r="A4" s="3" t="s">
        <v>63</v>
      </c>
      <c r="B4" s="3" t="s">
        <v>64</v>
      </c>
      <c r="C4" s="3" t="s">
        <v>65</v>
      </c>
      <c r="D4" s="3" t="s">
        <v>66</v>
      </c>
      <c r="E4" s="3" t="s">
        <v>67</v>
      </c>
      <c r="F4" s="3" t="s">
        <v>68</v>
      </c>
      <c r="G4" s="3" t="s">
        <v>69</v>
      </c>
    </row>
    <row r="6" spans="1:7" ht="29" customHeight="1" x14ac:dyDescent="0.35">
      <c r="A6" s="11" t="s">
        <v>70</v>
      </c>
      <c r="B6" s="12" t="s">
        <v>71</v>
      </c>
      <c r="C6" s="12" t="s">
        <v>72</v>
      </c>
      <c r="D6" s="11" t="s">
        <v>73</v>
      </c>
      <c r="E6" s="11">
        <v>231</v>
      </c>
      <c r="F6" s="11">
        <v>25</v>
      </c>
      <c r="G6" s="12" t="s">
        <v>74</v>
      </c>
    </row>
    <row r="7" spans="1:7" ht="29" customHeight="1" x14ac:dyDescent="0.35">
      <c r="A7" s="11" t="s">
        <v>75</v>
      </c>
      <c r="B7" s="12" t="s">
        <v>71</v>
      </c>
      <c r="C7" s="12" t="s">
        <v>76</v>
      </c>
      <c r="D7" s="11" t="s">
        <v>73</v>
      </c>
      <c r="E7" s="11">
        <v>143</v>
      </c>
      <c r="F7" s="11">
        <v>25</v>
      </c>
      <c r="G7" s="12" t="s">
        <v>74</v>
      </c>
    </row>
    <row r="8" spans="1:7" ht="29" customHeight="1" x14ac:dyDescent="0.35">
      <c r="A8" s="11" t="s">
        <v>77</v>
      </c>
      <c r="B8" s="12" t="s">
        <v>71</v>
      </c>
      <c r="C8" s="12" t="s">
        <v>78</v>
      </c>
      <c r="D8" s="11" t="s">
        <v>73</v>
      </c>
      <c r="E8" s="11">
        <v>52</v>
      </c>
      <c r="F8" s="11">
        <v>25</v>
      </c>
      <c r="G8" s="12" t="s">
        <v>74</v>
      </c>
    </row>
    <row r="9" spans="1:7" ht="28" customHeight="1" x14ac:dyDescent="0.35">
      <c r="A9" s="11" t="s">
        <v>79</v>
      </c>
      <c r="B9" s="12" t="s">
        <v>71</v>
      </c>
      <c r="C9" s="12" t="s">
        <v>80</v>
      </c>
      <c r="D9" s="11" t="s">
        <v>73</v>
      </c>
      <c r="E9" s="11">
        <v>94</v>
      </c>
      <c r="F9" s="11">
        <v>25</v>
      </c>
      <c r="G9" s="12" t="s">
        <v>74</v>
      </c>
    </row>
    <row r="10" spans="1:7" ht="29" customHeight="1" x14ac:dyDescent="0.35">
      <c r="A10" s="11" t="s">
        <v>81</v>
      </c>
      <c r="B10" s="12" t="s">
        <v>71</v>
      </c>
      <c r="C10" s="12" t="s">
        <v>82</v>
      </c>
      <c r="D10" s="11" t="s">
        <v>73</v>
      </c>
      <c r="E10" s="11">
        <v>1772</v>
      </c>
      <c r="F10" s="11">
        <v>25</v>
      </c>
      <c r="G10" s="12" t="s">
        <v>74</v>
      </c>
    </row>
    <row r="11" spans="1:7" ht="29" customHeight="1" x14ac:dyDescent="0.35">
      <c r="A11" s="11" t="s">
        <v>83</v>
      </c>
      <c r="B11" s="12" t="s">
        <v>71</v>
      </c>
      <c r="C11" s="12" t="s">
        <v>84</v>
      </c>
      <c r="D11" s="11" t="s">
        <v>73</v>
      </c>
      <c r="E11" s="11">
        <v>164</v>
      </c>
      <c r="F11" s="11">
        <v>25</v>
      </c>
      <c r="G11" s="12" t="s">
        <v>74</v>
      </c>
    </row>
    <row r="12" spans="1:7" ht="28" customHeight="1" x14ac:dyDescent="0.35">
      <c r="A12" s="11" t="s">
        <v>85</v>
      </c>
      <c r="B12" s="12" t="s">
        <v>71</v>
      </c>
      <c r="C12" s="12" t="s">
        <v>86</v>
      </c>
      <c r="D12" s="11" t="s">
        <v>73</v>
      </c>
      <c r="E12" s="11">
        <v>411</v>
      </c>
      <c r="F12" s="11">
        <v>25</v>
      </c>
      <c r="G12" s="12" t="s">
        <v>74</v>
      </c>
    </row>
    <row r="13" spans="1:7" ht="29" customHeight="1" x14ac:dyDescent="0.35">
      <c r="A13" s="11" t="s">
        <v>87</v>
      </c>
      <c r="B13" s="12" t="s">
        <v>71</v>
      </c>
      <c r="C13" s="12" t="s">
        <v>88</v>
      </c>
      <c r="D13" s="11" t="s">
        <v>73</v>
      </c>
      <c r="E13" s="11">
        <v>368</v>
      </c>
      <c r="F13" s="11">
        <v>25</v>
      </c>
      <c r="G13" s="12" t="s">
        <v>74</v>
      </c>
    </row>
    <row r="14" spans="1:7" x14ac:dyDescent="0.35">
      <c r="A14" s="12"/>
      <c r="B14" s="12"/>
      <c r="C14" s="12"/>
      <c r="D14" s="12"/>
      <c r="E14" s="12"/>
      <c r="F14" s="12"/>
      <c r="G14" s="12"/>
    </row>
    <row r="15" spans="1:7" x14ac:dyDescent="0.35">
      <c r="A15" s="12"/>
      <c r="B15" s="12"/>
      <c r="C15" s="12"/>
      <c r="D15" s="12"/>
      <c r="E15" s="12"/>
      <c r="F15" s="12"/>
      <c r="G15" s="12"/>
    </row>
    <row r="16" spans="1:7" x14ac:dyDescent="0.35">
      <c r="A16" s="12"/>
      <c r="B16" s="12"/>
      <c r="C16" s="12"/>
      <c r="D16" s="12"/>
      <c r="E16" s="12"/>
      <c r="F16" s="12"/>
      <c r="G16" s="12"/>
    </row>
    <row r="17" spans="1:7" x14ac:dyDescent="0.35">
      <c r="A17" s="12"/>
      <c r="B17" s="12"/>
      <c r="C17" s="12"/>
      <c r="D17" s="12"/>
      <c r="E17" s="12"/>
      <c r="F17" s="12"/>
      <c r="G17" s="12"/>
    </row>
    <row r="18" spans="1:7" x14ac:dyDescent="0.35">
      <c r="A18" s="12"/>
      <c r="B18" s="12"/>
      <c r="C18" s="12"/>
      <c r="D18" s="12"/>
      <c r="E18" s="12"/>
      <c r="F18" s="12"/>
      <c r="G18" s="12"/>
    </row>
    <row r="19" spans="1:7" x14ac:dyDescent="0.35">
      <c r="A19" s="12"/>
      <c r="B19" s="12"/>
      <c r="C19" s="12"/>
      <c r="D19" s="12"/>
      <c r="E19" s="12"/>
      <c r="F19" s="12"/>
      <c r="G19" s="12"/>
    </row>
    <row r="20" spans="1:7" x14ac:dyDescent="0.35">
      <c r="A20" s="12"/>
      <c r="B20" s="12"/>
      <c r="C20" s="12"/>
      <c r="D20" s="12"/>
      <c r="E20" s="12"/>
      <c r="F20" s="12"/>
      <c r="G20" s="12"/>
    </row>
    <row r="21" spans="1:7" x14ac:dyDescent="0.35">
      <c r="A21" s="12"/>
      <c r="B21" s="12"/>
      <c r="C21" s="12"/>
      <c r="D21" s="12"/>
      <c r="E21" s="12"/>
      <c r="F21" s="12"/>
      <c r="G21" s="12"/>
    </row>
    <row r="22" spans="1:7" x14ac:dyDescent="0.35">
      <c r="A22" s="12"/>
      <c r="B22" s="12"/>
      <c r="C22" s="12"/>
      <c r="D22" s="12"/>
      <c r="E22" s="12"/>
      <c r="F22" s="12"/>
      <c r="G22" s="12"/>
    </row>
    <row r="23" spans="1:7" x14ac:dyDescent="0.35">
      <c r="A23" s="12"/>
      <c r="B23" s="12"/>
      <c r="C23" s="12"/>
      <c r="D23" s="12"/>
      <c r="E23" s="12"/>
      <c r="F23" s="12"/>
      <c r="G23" s="12"/>
    </row>
    <row r="24" spans="1:7" x14ac:dyDescent="0.35">
      <c r="A24" s="12"/>
      <c r="B24" s="12"/>
      <c r="C24" s="12"/>
      <c r="D24" s="12"/>
      <c r="E24" s="12"/>
      <c r="F24" s="12"/>
      <c r="G24" s="12"/>
    </row>
    <row r="25" spans="1:7" x14ac:dyDescent="0.35">
      <c r="A25" s="12"/>
      <c r="B25" s="12"/>
      <c r="C25" s="12"/>
      <c r="D25" s="12"/>
      <c r="E25" s="12"/>
      <c r="F25" s="12"/>
      <c r="G25" s="12"/>
    </row>
    <row r="26" spans="1:7" x14ac:dyDescent="0.35">
      <c r="A26" s="12"/>
      <c r="B26" s="12"/>
      <c r="C26" s="12"/>
      <c r="D26" s="12"/>
      <c r="E26" s="12"/>
      <c r="F26" s="12"/>
      <c r="G26" s="12"/>
    </row>
    <row r="28" spans="1:7" x14ac:dyDescent="0.35">
      <c r="D28" s="5" t="s">
        <v>89</v>
      </c>
      <c r="E28" s="13">
        <f>SUM(E6:E26)</f>
        <v>3235</v>
      </c>
      <c r="F28" s="13">
        <f>SUM(F6:F26)</f>
        <v>200</v>
      </c>
    </row>
    <row r="30" spans="1:7" x14ac:dyDescent="0.35">
      <c r="A30" s="5" t="s">
        <v>90</v>
      </c>
    </row>
    <row r="31" spans="1:7" ht="30" customHeight="1" x14ac:dyDescent="0.35">
      <c r="A31" s="3" t="s">
        <v>63</v>
      </c>
      <c r="B31" s="3" t="s">
        <v>64</v>
      </c>
      <c r="C31" s="3" t="s">
        <v>65</v>
      </c>
      <c r="D31" s="3" t="s">
        <v>66</v>
      </c>
      <c r="E31" s="3" t="s">
        <v>67</v>
      </c>
      <c r="F31" s="3" t="s">
        <v>91</v>
      </c>
      <c r="G31" s="3" t="s">
        <v>92</v>
      </c>
    </row>
    <row r="32" spans="1:7" ht="54" customHeight="1" x14ac:dyDescent="0.35">
      <c r="A32" s="11" t="s">
        <v>93</v>
      </c>
      <c r="B32" s="12" t="s">
        <v>71</v>
      </c>
      <c r="C32" s="12" t="s">
        <v>94</v>
      </c>
      <c r="D32" s="11" t="s">
        <v>73</v>
      </c>
      <c r="E32" s="11">
        <v>102</v>
      </c>
      <c r="F32" s="11">
        <v>50</v>
      </c>
      <c r="G32" s="12" t="s">
        <v>95</v>
      </c>
    </row>
    <row r="33" spans="1:7" ht="54" customHeight="1" x14ac:dyDescent="0.35">
      <c r="A33" s="11" t="s">
        <v>96</v>
      </c>
      <c r="B33" s="12" t="s">
        <v>71</v>
      </c>
      <c r="C33" s="12" t="s">
        <v>97</v>
      </c>
      <c r="D33" s="11" t="s">
        <v>73</v>
      </c>
      <c r="E33" s="11">
        <v>36</v>
      </c>
      <c r="F33" s="11">
        <v>36</v>
      </c>
      <c r="G33" s="12" t="s">
        <v>95</v>
      </c>
    </row>
  </sheetData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5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2" width="40" customWidth="1"/>
    <col min="3" max="3" width="20" customWidth="1"/>
    <col min="4" max="4" width="8" customWidth="1"/>
    <col min="5" max="5" width="26" customWidth="1"/>
    <col min="6" max="6" width="18" customWidth="1"/>
    <col min="7" max="9" width="11" customWidth="1"/>
    <col min="10" max="10" width="22" customWidth="1"/>
    <col min="11" max="11" width="11" customWidth="1"/>
    <col min="12" max="12" width="15" customWidth="1"/>
    <col min="13" max="13" width="46" customWidth="1"/>
    <col min="14" max="14" width="14" customWidth="1"/>
    <col min="15" max="15" width="30" customWidth="1"/>
  </cols>
  <sheetData>
    <row r="1" spans="1:15" ht="18" x14ac:dyDescent="0.4">
      <c r="A1" s="10" t="s">
        <v>98</v>
      </c>
    </row>
    <row r="2" spans="1:15" ht="30" customHeight="1" x14ac:dyDescent="0.35">
      <c r="A2" s="27" t="s">
        <v>99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5" ht="32" customHeight="1" x14ac:dyDescent="0.35">
      <c r="A4" s="3" t="s">
        <v>63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  <c r="J4" s="3" t="s">
        <v>108</v>
      </c>
      <c r="K4" s="3" t="s">
        <v>109</v>
      </c>
      <c r="L4" s="3" t="s">
        <v>110</v>
      </c>
      <c r="M4" s="3" t="s">
        <v>111</v>
      </c>
      <c r="N4" s="3" t="s">
        <v>112</v>
      </c>
      <c r="O4" s="3" t="s">
        <v>113</v>
      </c>
    </row>
    <row r="6" spans="1:15" ht="41.5" customHeight="1" x14ac:dyDescent="0.35">
      <c r="A6" s="11">
        <v>1</v>
      </c>
      <c r="B6" s="12" t="s">
        <v>114</v>
      </c>
      <c r="C6" s="12" t="s">
        <v>115</v>
      </c>
      <c r="D6" s="11">
        <v>2025</v>
      </c>
      <c r="E6" s="12" t="s">
        <v>116</v>
      </c>
      <c r="F6" s="12" t="s">
        <v>117</v>
      </c>
      <c r="G6" s="11" t="s">
        <v>118</v>
      </c>
      <c r="H6" s="11" t="s">
        <v>118</v>
      </c>
      <c r="I6" s="11" t="s">
        <v>118</v>
      </c>
      <c r="J6" s="12"/>
      <c r="K6" s="14" t="str">
        <f t="shared" ref="K6:K69" si="0">IF(AND(G6="KEEP",H6="KEEP",I6="KEEP"),"YES",IF(OR(G6="DROP",H6="DROP",I6="DROP"),"NO",""))</f>
        <v>YES</v>
      </c>
      <c r="L6" s="12" t="s">
        <v>119</v>
      </c>
      <c r="M6" s="12"/>
      <c r="N6" s="12" t="s">
        <v>120</v>
      </c>
      <c r="O6" s="12" t="s">
        <v>121</v>
      </c>
    </row>
    <row r="7" spans="1:15" ht="54" customHeight="1" x14ac:dyDescent="0.35">
      <c r="A7" s="11">
        <v>2</v>
      </c>
      <c r="B7" s="12" t="s">
        <v>122</v>
      </c>
      <c r="C7" s="12" t="s">
        <v>123</v>
      </c>
      <c r="D7" s="11">
        <v>2024</v>
      </c>
      <c r="E7" s="12" t="s">
        <v>124</v>
      </c>
      <c r="F7" s="12" t="s">
        <v>117</v>
      </c>
      <c r="G7" s="11" t="s">
        <v>125</v>
      </c>
      <c r="H7" s="11"/>
      <c r="I7" s="11"/>
      <c r="J7" s="12"/>
      <c r="K7" s="14" t="str">
        <f t="shared" si="0"/>
        <v>NO</v>
      </c>
      <c r="L7" s="12" t="s">
        <v>119</v>
      </c>
      <c r="M7" s="12" t="s">
        <v>126</v>
      </c>
      <c r="N7" s="12" t="s">
        <v>127</v>
      </c>
      <c r="O7" s="12" t="s">
        <v>128</v>
      </c>
    </row>
    <row r="8" spans="1:15" ht="41.5" customHeight="1" x14ac:dyDescent="0.35">
      <c r="A8" s="11">
        <v>3</v>
      </c>
      <c r="B8" s="12" t="s">
        <v>129</v>
      </c>
      <c r="C8" s="12" t="s">
        <v>130</v>
      </c>
      <c r="D8" s="11">
        <v>2024</v>
      </c>
      <c r="E8" s="12" t="s">
        <v>131</v>
      </c>
      <c r="F8" s="12" t="s">
        <v>117</v>
      </c>
      <c r="G8" s="11" t="s">
        <v>125</v>
      </c>
      <c r="H8" s="11"/>
      <c r="I8" s="11"/>
      <c r="J8" s="12"/>
      <c r="K8" s="14" t="str">
        <f t="shared" si="0"/>
        <v>NO</v>
      </c>
      <c r="L8" s="12" t="s">
        <v>119</v>
      </c>
      <c r="M8" s="12" t="s">
        <v>132</v>
      </c>
      <c r="N8" s="12" t="s">
        <v>133</v>
      </c>
      <c r="O8" s="12" t="s">
        <v>134</v>
      </c>
    </row>
    <row r="9" spans="1:15" ht="41.5" customHeight="1" x14ac:dyDescent="0.35">
      <c r="A9" s="11">
        <v>4</v>
      </c>
      <c r="B9" s="12" t="s">
        <v>135</v>
      </c>
      <c r="C9" s="12" t="s">
        <v>136</v>
      </c>
      <c r="D9" s="11">
        <v>2025</v>
      </c>
      <c r="E9" s="12" t="s">
        <v>137</v>
      </c>
      <c r="F9" s="12" t="s">
        <v>117</v>
      </c>
      <c r="G9" s="11" t="s">
        <v>118</v>
      </c>
      <c r="H9" s="11" t="s">
        <v>125</v>
      </c>
      <c r="I9" s="11"/>
      <c r="J9" s="12"/>
      <c r="K9" s="14" t="str">
        <f t="shared" si="0"/>
        <v>NO</v>
      </c>
      <c r="L9" s="12" t="s">
        <v>119</v>
      </c>
      <c r="M9" s="12" t="s">
        <v>138</v>
      </c>
      <c r="N9" s="12" t="s">
        <v>139</v>
      </c>
      <c r="O9" s="12" t="s">
        <v>140</v>
      </c>
    </row>
    <row r="10" spans="1:15" ht="29" customHeight="1" x14ac:dyDescent="0.35">
      <c r="A10" s="11">
        <v>5</v>
      </c>
      <c r="B10" s="12" t="s">
        <v>141</v>
      </c>
      <c r="C10" s="12" t="s">
        <v>142</v>
      </c>
      <c r="D10" s="11">
        <v>2026</v>
      </c>
      <c r="E10" s="12" t="s">
        <v>143</v>
      </c>
      <c r="F10" s="12" t="s">
        <v>117</v>
      </c>
      <c r="G10" s="11" t="s">
        <v>125</v>
      </c>
      <c r="H10" s="11"/>
      <c r="I10" s="11"/>
      <c r="J10" s="12"/>
      <c r="K10" s="14" t="str">
        <f t="shared" si="0"/>
        <v>NO</v>
      </c>
      <c r="L10" s="12" t="s">
        <v>119</v>
      </c>
      <c r="M10" s="12" t="s">
        <v>144</v>
      </c>
      <c r="N10" s="12" t="s">
        <v>145</v>
      </c>
      <c r="O10" s="12" t="s">
        <v>146</v>
      </c>
    </row>
    <row r="11" spans="1:15" ht="29" customHeight="1" x14ac:dyDescent="0.35">
      <c r="A11" s="11">
        <v>6</v>
      </c>
      <c r="B11" s="12" t="s">
        <v>147</v>
      </c>
      <c r="C11" s="12" t="s">
        <v>148</v>
      </c>
      <c r="D11" s="11">
        <v>2024</v>
      </c>
      <c r="E11" s="12" t="s">
        <v>149</v>
      </c>
      <c r="F11" s="12" t="s">
        <v>117</v>
      </c>
      <c r="G11" s="11" t="s">
        <v>118</v>
      </c>
      <c r="H11" s="11" t="s">
        <v>118</v>
      </c>
      <c r="I11" s="11" t="s">
        <v>118</v>
      </c>
      <c r="J11" s="12"/>
      <c r="K11" s="14" t="str">
        <f t="shared" si="0"/>
        <v>YES</v>
      </c>
      <c r="L11" s="12" t="s">
        <v>119</v>
      </c>
      <c r="M11" s="12"/>
      <c r="N11" s="12" t="s">
        <v>150</v>
      </c>
      <c r="O11" s="12" t="s">
        <v>151</v>
      </c>
    </row>
    <row r="12" spans="1:15" ht="29" customHeight="1" x14ac:dyDescent="0.35">
      <c r="A12" s="11">
        <v>7</v>
      </c>
      <c r="B12" s="12" t="s">
        <v>152</v>
      </c>
      <c r="C12" s="12" t="s">
        <v>153</v>
      </c>
      <c r="D12" s="11">
        <v>2026</v>
      </c>
      <c r="E12" s="12" t="s">
        <v>154</v>
      </c>
      <c r="F12" s="12" t="s">
        <v>117</v>
      </c>
      <c r="G12" s="11" t="s">
        <v>125</v>
      </c>
      <c r="H12" s="11"/>
      <c r="I12" s="11"/>
      <c r="J12" s="12"/>
      <c r="K12" s="14" t="str">
        <f t="shared" si="0"/>
        <v>NO</v>
      </c>
      <c r="L12" s="12" t="s">
        <v>119</v>
      </c>
      <c r="M12" s="12" t="s">
        <v>155</v>
      </c>
      <c r="N12" s="12" t="s">
        <v>156</v>
      </c>
      <c r="O12" s="12" t="s">
        <v>157</v>
      </c>
    </row>
    <row r="13" spans="1:15" ht="41.5" customHeight="1" x14ac:dyDescent="0.35">
      <c r="A13" s="11">
        <v>8</v>
      </c>
      <c r="B13" s="12" t="s">
        <v>158</v>
      </c>
      <c r="C13" s="12" t="s">
        <v>159</v>
      </c>
      <c r="D13" s="11">
        <v>2025</v>
      </c>
      <c r="E13" s="12" t="s">
        <v>160</v>
      </c>
      <c r="F13" s="12" t="s">
        <v>117</v>
      </c>
      <c r="G13" s="11" t="s">
        <v>118</v>
      </c>
      <c r="H13" s="11" t="s">
        <v>125</v>
      </c>
      <c r="I13" s="11"/>
      <c r="J13" s="12"/>
      <c r="K13" s="14" t="str">
        <f t="shared" si="0"/>
        <v>NO</v>
      </c>
      <c r="L13" s="12" t="s">
        <v>119</v>
      </c>
      <c r="M13" s="12" t="s">
        <v>161</v>
      </c>
      <c r="N13" s="12" t="s">
        <v>162</v>
      </c>
      <c r="O13" s="12" t="s">
        <v>163</v>
      </c>
    </row>
    <row r="14" spans="1:15" ht="41.5" customHeight="1" x14ac:dyDescent="0.35">
      <c r="A14" s="11">
        <v>9</v>
      </c>
      <c r="B14" s="12" t="s">
        <v>164</v>
      </c>
      <c r="C14" s="12" t="s">
        <v>165</v>
      </c>
      <c r="D14" s="11">
        <v>2024</v>
      </c>
      <c r="E14" s="12" t="s">
        <v>166</v>
      </c>
      <c r="F14" s="12" t="s">
        <v>117</v>
      </c>
      <c r="G14" s="11" t="s">
        <v>118</v>
      </c>
      <c r="H14" s="11" t="s">
        <v>118</v>
      </c>
      <c r="I14" s="11" t="s">
        <v>118</v>
      </c>
      <c r="J14" s="12"/>
      <c r="K14" s="14" t="str">
        <f t="shared" si="0"/>
        <v>YES</v>
      </c>
      <c r="L14" s="12" t="s">
        <v>119</v>
      </c>
      <c r="M14" s="12" t="s">
        <v>167</v>
      </c>
      <c r="N14" s="12" t="s">
        <v>168</v>
      </c>
      <c r="O14" s="12" t="s">
        <v>169</v>
      </c>
    </row>
    <row r="15" spans="1:15" ht="29" customHeight="1" x14ac:dyDescent="0.35">
      <c r="A15" s="11">
        <v>10</v>
      </c>
      <c r="B15" s="12" t="s">
        <v>170</v>
      </c>
      <c r="C15" s="12" t="s">
        <v>171</v>
      </c>
      <c r="D15" s="11">
        <v>2023</v>
      </c>
      <c r="E15" s="12" t="s">
        <v>172</v>
      </c>
      <c r="F15" s="12" t="s">
        <v>117</v>
      </c>
      <c r="G15" s="11" t="s">
        <v>118</v>
      </c>
      <c r="H15" s="11" t="s">
        <v>118</v>
      </c>
      <c r="I15" s="11" t="s">
        <v>125</v>
      </c>
      <c r="J15" s="12" t="s">
        <v>173</v>
      </c>
      <c r="K15" s="14" t="str">
        <f t="shared" si="0"/>
        <v>NO</v>
      </c>
      <c r="L15" s="12" t="s">
        <v>119</v>
      </c>
      <c r="M15" s="12" t="s">
        <v>174</v>
      </c>
      <c r="N15" s="12" t="s">
        <v>175</v>
      </c>
      <c r="O15" s="12" t="s">
        <v>176</v>
      </c>
    </row>
    <row r="16" spans="1:15" ht="79" customHeight="1" x14ac:dyDescent="0.35">
      <c r="A16" s="11">
        <v>11</v>
      </c>
      <c r="B16" s="12" t="s">
        <v>177</v>
      </c>
      <c r="C16" s="12" t="s">
        <v>178</v>
      </c>
      <c r="D16" s="11">
        <v>2025</v>
      </c>
      <c r="E16" s="12" t="s">
        <v>179</v>
      </c>
      <c r="F16" s="12" t="s">
        <v>117</v>
      </c>
      <c r="G16" s="11" t="s">
        <v>125</v>
      </c>
      <c r="H16" s="11"/>
      <c r="I16" s="11"/>
      <c r="J16" s="12"/>
      <c r="K16" s="14" t="str">
        <f t="shared" si="0"/>
        <v>NO</v>
      </c>
      <c r="L16" s="12" t="s">
        <v>119</v>
      </c>
      <c r="M16" s="12" t="s">
        <v>180</v>
      </c>
      <c r="N16" s="12" t="s">
        <v>181</v>
      </c>
      <c r="O16" s="12" t="s">
        <v>182</v>
      </c>
    </row>
    <row r="17" spans="1:15" ht="29" customHeight="1" x14ac:dyDescent="0.35">
      <c r="A17" s="11">
        <v>12</v>
      </c>
      <c r="B17" s="12" t="s">
        <v>183</v>
      </c>
      <c r="C17" s="12" t="s">
        <v>184</v>
      </c>
      <c r="D17" s="11">
        <v>2024</v>
      </c>
      <c r="E17" s="12" t="s">
        <v>172</v>
      </c>
      <c r="F17" s="12" t="s">
        <v>117</v>
      </c>
      <c r="G17" s="11" t="s">
        <v>118</v>
      </c>
      <c r="H17" s="11" t="s">
        <v>118</v>
      </c>
      <c r="I17" s="11" t="s">
        <v>125</v>
      </c>
      <c r="J17" s="12" t="s">
        <v>173</v>
      </c>
      <c r="K17" s="14" t="str">
        <f t="shared" si="0"/>
        <v>NO</v>
      </c>
      <c r="L17" s="12" t="s">
        <v>119</v>
      </c>
      <c r="M17" s="12" t="s">
        <v>185</v>
      </c>
      <c r="N17" s="12" t="s">
        <v>186</v>
      </c>
      <c r="O17" s="12" t="s">
        <v>187</v>
      </c>
    </row>
    <row r="18" spans="1:15" ht="41.5" customHeight="1" x14ac:dyDescent="0.35">
      <c r="A18" s="11">
        <v>13</v>
      </c>
      <c r="B18" s="12" t="s">
        <v>188</v>
      </c>
      <c r="C18" s="12" t="s">
        <v>189</v>
      </c>
      <c r="D18" s="11">
        <v>2024</v>
      </c>
      <c r="E18" s="12" t="s">
        <v>172</v>
      </c>
      <c r="F18" s="12" t="s">
        <v>117</v>
      </c>
      <c r="G18" s="11" t="s">
        <v>118</v>
      </c>
      <c r="H18" s="11" t="s">
        <v>125</v>
      </c>
      <c r="I18" s="11"/>
      <c r="J18" s="12"/>
      <c r="K18" s="14" t="str">
        <f t="shared" si="0"/>
        <v>NO</v>
      </c>
      <c r="L18" s="12" t="s">
        <v>119</v>
      </c>
      <c r="M18" s="12" t="s">
        <v>190</v>
      </c>
      <c r="N18" s="12" t="s">
        <v>191</v>
      </c>
      <c r="O18" s="12" t="s">
        <v>192</v>
      </c>
    </row>
    <row r="19" spans="1:15" ht="29" customHeight="1" x14ac:dyDescent="0.35">
      <c r="A19" s="11">
        <v>14</v>
      </c>
      <c r="B19" s="12" t="s">
        <v>193</v>
      </c>
      <c r="C19" s="12" t="s">
        <v>194</v>
      </c>
      <c r="D19" s="11">
        <v>2025</v>
      </c>
      <c r="E19" s="12" t="s">
        <v>195</v>
      </c>
      <c r="F19" s="12" t="s">
        <v>117</v>
      </c>
      <c r="G19" s="11" t="s">
        <v>125</v>
      </c>
      <c r="H19" s="11"/>
      <c r="I19" s="11"/>
      <c r="J19" s="12"/>
      <c r="K19" s="14" t="str">
        <f t="shared" si="0"/>
        <v>NO</v>
      </c>
      <c r="L19" s="12" t="s">
        <v>119</v>
      </c>
      <c r="M19" s="12" t="s">
        <v>196</v>
      </c>
      <c r="N19" s="12" t="s">
        <v>197</v>
      </c>
      <c r="O19" s="12" t="s">
        <v>198</v>
      </c>
    </row>
    <row r="20" spans="1:15" ht="41.5" customHeight="1" x14ac:dyDescent="0.35">
      <c r="A20" s="11">
        <v>15</v>
      </c>
      <c r="B20" s="12" t="s">
        <v>199</v>
      </c>
      <c r="C20" s="12" t="s">
        <v>200</v>
      </c>
      <c r="D20" s="11">
        <v>2025</v>
      </c>
      <c r="E20" s="12" t="s">
        <v>201</v>
      </c>
      <c r="F20" s="12" t="s">
        <v>117</v>
      </c>
      <c r="G20" s="11" t="s">
        <v>118</v>
      </c>
      <c r="H20" s="11" t="s">
        <v>125</v>
      </c>
      <c r="I20" s="11"/>
      <c r="J20" s="12"/>
      <c r="K20" s="14" t="str">
        <f t="shared" si="0"/>
        <v>NO</v>
      </c>
      <c r="L20" s="12" t="s">
        <v>119</v>
      </c>
      <c r="M20" s="12" t="s">
        <v>202</v>
      </c>
      <c r="N20" s="12" t="s">
        <v>203</v>
      </c>
      <c r="O20" s="12" t="s">
        <v>204</v>
      </c>
    </row>
    <row r="21" spans="1:15" ht="41.5" customHeight="1" x14ac:dyDescent="0.35">
      <c r="A21" s="11">
        <v>16</v>
      </c>
      <c r="B21" s="12" t="s">
        <v>205</v>
      </c>
      <c r="C21" s="12" t="s">
        <v>206</v>
      </c>
      <c r="D21" s="11">
        <v>2025</v>
      </c>
      <c r="E21" s="12" t="s">
        <v>207</v>
      </c>
      <c r="F21" s="12" t="s">
        <v>117</v>
      </c>
      <c r="G21" s="11" t="s">
        <v>125</v>
      </c>
      <c r="H21" s="11"/>
      <c r="I21" s="11"/>
      <c r="J21" s="12"/>
      <c r="K21" s="14" t="str">
        <f t="shared" si="0"/>
        <v>NO</v>
      </c>
      <c r="L21" s="12" t="s">
        <v>119</v>
      </c>
      <c r="M21" s="12" t="s">
        <v>208</v>
      </c>
      <c r="N21" s="12" t="s">
        <v>209</v>
      </c>
      <c r="O21" s="12" t="s">
        <v>210</v>
      </c>
    </row>
    <row r="22" spans="1:15" ht="29" customHeight="1" x14ac:dyDescent="0.35">
      <c r="A22" s="11">
        <v>17</v>
      </c>
      <c r="B22" s="12" t="s">
        <v>211</v>
      </c>
      <c r="C22" s="12" t="s">
        <v>130</v>
      </c>
      <c r="D22" s="11">
        <v>2025</v>
      </c>
      <c r="E22" s="12" t="s">
        <v>212</v>
      </c>
      <c r="F22" s="12" t="s">
        <v>117</v>
      </c>
      <c r="G22" s="11" t="s">
        <v>125</v>
      </c>
      <c r="H22" s="11"/>
      <c r="I22" s="11"/>
      <c r="J22" s="12"/>
      <c r="K22" s="14" t="str">
        <f t="shared" si="0"/>
        <v>NO</v>
      </c>
      <c r="L22" s="12" t="s">
        <v>119</v>
      </c>
      <c r="M22" s="12" t="s">
        <v>213</v>
      </c>
      <c r="N22" s="12" t="s">
        <v>214</v>
      </c>
      <c r="O22" s="12" t="s">
        <v>215</v>
      </c>
    </row>
    <row r="23" spans="1:15" ht="41.5" customHeight="1" x14ac:dyDescent="0.35">
      <c r="A23" s="11">
        <v>18</v>
      </c>
      <c r="B23" s="12" t="s">
        <v>216</v>
      </c>
      <c r="C23" s="12" t="s">
        <v>217</v>
      </c>
      <c r="D23" s="11">
        <v>2026</v>
      </c>
      <c r="E23" s="12" t="s">
        <v>218</v>
      </c>
      <c r="F23" s="12" t="s">
        <v>117</v>
      </c>
      <c r="G23" s="11" t="s">
        <v>125</v>
      </c>
      <c r="H23" s="11"/>
      <c r="I23" s="11"/>
      <c r="J23" s="12"/>
      <c r="K23" s="14" t="str">
        <f t="shared" si="0"/>
        <v>NO</v>
      </c>
      <c r="L23" s="12" t="s">
        <v>119</v>
      </c>
      <c r="M23" s="12" t="s">
        <v>219</v>
      </c>
      <c r="N23" s="12" t="s">
        <v>220</v>
      </c>
      <c r="O23" s="12" t="s">
        <v>221</v>
      </c>
    </row>
    <row r="24" spans="1:15" ht="54" customHeight="1" x14ac:dyDescent="0.35">
      <c r="A24" s="11">
        <v>19</v>
      </c>
      <c r="B24" s="12" t="s">
        <v>222</v>
      </c>
      <c r="C24" s="12" t="s">
        <v>223</v>
      </c>
      <c r="D24" s="11">
        <v>2026</v>
      </c>
      <c r="E24" s="12" t="s">
        <v>224</v>
      </c>
      <c r="F24" s="12" t="s">
        <v>117</v>
      </c>
      <c r="G24" s="11" t="s">
        <v>125</v>
      </c>
      <c r="H24" s="11"/>
      <c r="I24" s="11"/>
      <c r="J24" s="12"/>
      <c r="K24" s="14" t="str">
        <f t="shared" si="0"/>
        <v>NO</v>
      </c>
      <c r="L24" s="12" t="s">
        <v>119</v>
      </c>
      <c r="M24" s="12" t="s">
        <v>225</v>
      </c>
      <c r="N24" s="12" t="s">
        <v>226</v>
      </c>
      <c r="O24" s="12" t="s">
        <v>227</v>
      </c>
    </row>
    <row r="25" spans="1:15" ht="29" customHeight="1" x14ac:dyDescent="0.35">
      <c r="A25" s="11">
        <v>20</v>
      </c>
      <c r="B25" s="12" t="s">
        <v>228</v>
      </c>
      <c r="C25" s="12" t="s">
        <v>229</v>
      </c>
      <c r="D25" s="11">
        <v>2026</v>
      </c>
      <c r="E25" s="12" t="s">
        <v>230</v>
      </c>
      <c r="F25" s="12" t="s">
        <v>231</v>
      </c>
      <c r="G25" s="11" t="s">
        <v>118</v>
      </c>
      <c r="H25" s="11" t="s">
        <v>125</v>
      </c>
      <c r="I25" s="11"/>
      <c r="J25" s="12"/>
      <c r="K25" s="14" t="str">
        <f t="shared" si="0"/>
        <v>NO</v>
      </c>
      <c r="L25" s="12" t="s">
        <v>119</v>
      </c>
      <c r="M25" s="12" t="s">
        <v>232</v>
      </c>
      <c r="N25" s="12" t="s">
        <v>233</v>
      </c>
      <c r="O25" s="12" t="s">
        <v>234</v>
      </c>
    </row>
    <row r="26" spans="1:15" ht="29" customHeight="1" x14ac:dyDescent="0.35">
      <c r="A26" s="11">
        <v>21</v>
      </c>
      <c r="B26" s="12" t="s">
        <v>235</v>
      </c>
      <c r="C26" s="12" t="s">
        <v>236</v>
      </c>
      <c r="D26" s="11">
        <v>2025</v>
      </c>
      <c r="E26" s="12" t="s">
        <v>237</v>
      </c>
      <c r="F26" s="12" t="s">
        <v>117</v>
      </c>
      <c r="G26" s="11" t="s">
        <v>125</v>
      </c>
      <c r="H26" s="11"/>
      <c r="I26" s="11"/>
      <c r="J26" s="12"/>
      <c r="K26" s="14" t="str">
        <f t="shared" si="0"/>
        <v>NO</v>
      </c>
      <c r="L26" s="12" t="s">
        <v>119</v>
      </c>
      <c r="M26" s="12" t="s">
        <v>238</v>
      </c>
      <c r="N26" s="12" t="s">
        <v>239</v>
      </c>
      <c r="O26" s="12" t="s">
        <v>240</v>
      </c>
    </row>
    <row r="27" spans="1:15" ht="29" customHeight="1" x14ac:dyDescent="0.35">
      <c r="A27" s="11">
        <v>22</v>
      </c>
      <c r="B27" s="12" t="s">
        <v>241</v>
      </c>
      <c r="C27" s="12" t="s">
        <v>242</v>
      </c>
      <c r="D27" s="11">
        <v>2025</v>
      </c>
      <c r="E27" s="12" t="s">
        <v>243</v>
      </c>
      <c r="F27" s="12" t="s">
        <v>231</v>
      </c>
      <c r="G27" s="11" t="s">
        <v>118</v>
      </c>
      <c r="H27" s="11" t="s">
        <v>118</v>
      </c>
      <c r="I27" s="11" t="s">
        <v>118</v>
      </c>
      <c r="J27" s="12"/>
      <c r="K27" s="14" t="str">
        <f t="shared" si="0"/>
        <v>YES</v>
      </c>
      <c r="L27" s="12" t="s">
        <v>119</v>
      </c>
      <c r="M27" s="12"/>
      <c r="N27" s="12" t="s">
        <v>244</v>
      </c>
      <c r="O27" s="12" t="s">
        <v>245</v>
      </c>
    </row>
    <row r="28" spans="1:15" ht="41.5" customHeight="1" x14ac:dyDescent="0.35">
      <c r="A28" s="11">
        <v>23</v>
      </c>
      <c r="B28" s="12" t="s">
        <v>246</v>
      </c>
      <c r="C28" s="12" t="s">
        <v>247</v>
      </c>
      <c r="D28" s="11">
        <v>2025</v>
      </c>
      <c r="E28" s="12" t="s">
        <v>248</v>
      </c>
      <c r="F28" s="12" t="s">
        <v>117</v>
      </c>
      <c r="G28" s="11" t="s">
        <v>125</v>
      </c>
      <c r="H28" s="11"/>
      <c r="I28" s="11"/>
      <c r="J28" s="12"/>
      <c r="K28" s="14" t="str">
        <f t="shared" si="0"/>
        <v>NO</v>
      </c>
      <c r="L28" s="12" t="s">
        <v>119</v>
      </c>
      <c r="M28" s="12" t="s">
        <v>249</v>
      </c>
      <c r="N28" s="12" t="s">
        <v>250</v>
      </c>
      <c r="O28" s="12" t="s">
        <v>251</v>
      </c>
    </row>
    <row r="29" spans="1:15" ht="41.5" customHeight="1" x14ac:dyDescent="0.35">
      <c r="A29" s="11">
        <v>24</v>
      </c>
      <c r="B29" s="12" t="s">
        <v>252</v>
      </c>
      <c r="C29" s="12" t="s">
        <v>253</v>
      </c>
      <c r="D29" s="11">
        <v>2025</v>
      </c>
      <c r="E29" s="12" t="s">
        <v>212</v>
      </c>
      <c r="F29" s="12" t="s">
        <v>117</v>
      </c>
      <c r="G29" s="11" t="s">
        <v>125</v>
      </c>
      <c r="H29" s="11"/>
      <c r="I29" s="11"/>
      <c r="J29" s="12"/>
      <c r="K29" s="14" t="str">
        <f t="shared" si="0"/>
        <v>NO</v>
      </c>
      <c r="L29" s="12" t="s">
        <v>119</v>
      </c>
      <c r="M29" s="12" t="s">
        <v>254</v>
      </c>
      <c r="N29" s="12" t="s">
        <v>255</v>
      </c>
      <c r="O29" s="12" t="s">
        <v>256</v>
      </c>
    </row>
    <row r="30" spans="1:15" ht="29" customHeight="1" x14ac:dyDescent="0.35">
      <c r="A30" s="11">
        <v>25</v>
      </c>
      <c r="B30" s="12" t="s">
        <v>257</v>
      </c>
      <c r="C30" s="12" t="s">
        <v>258</v>
      </c>
      <c r="D30" s="11">
        <v>2025</v>
      </c>
      <c r="E30" s="12" t="s">
        <v>259</v>
      </c>
      <c r="F30" s="12" t="s">
        <v>117</v>
      </c>
      <c r="G30" s="11" t="s">
        <v>118</v>
      </c>
      <c r="H30" s="11" t="s">
        <v>118</v>
      </c>
      <c r="I30" s="11" t="s">
        <v>118</v>
      </c>
      <c r="J30" s="12"/>
      <c r="K30" s="14" t="str">
        <f t="shared" si="0"/>
        <v>YES</v>
      </c>
      <c r="L30" s="12" t="s">
        <v>119</v>
      </c>
      <c r="M30" s="12"/>
      <c r="N30" s="12" t="s">
        <v>260</v>
      </c>
      <c r="O30" s="12" t="s">
        <v>261</v>
      </c>
    </row>
    <row r="31" spans="1:15" ht="29" customHeight="1" x14ac:dyDescent="0.35">
      <c r="A31" s="11">
        <v>26</v>
      </c>
      <c r="B31" s="12" t="s">
        <v>262</v>
      </c>
      <c r="C31" s="12" t="s">
        <v>263</v>
      </c>
      <c r="D31" s="11">
        <v>2022</v>
      </c>
      <c r="E31" s="12" t="s">
        <v>264</v>
      </c>
      <c r="F31" s="12" t="s">
        <v>265</v>
      </c>
      <c r="G31" s="11" t="s">
        <v>118</v>
      </c>
      <c r="H31" s="11" t="s">
        <v>118</v>
      </c>
      <c r="I31" s="11" t="s">
        <v>118</v>
      </c>
      <c r="J31" s="12"/>
      <c r="K31" s="14" t="str">
        <f t="shared" si="0"/>
        <v>YES</v>
      </c>
      <c r="L31" s="12" t="s">
        <v>119</v>
      </c>
      <c r="M31" s="12"/>
      <c r="N31" s="12" t="s">
        <v>266</v>
      </c>
      <c r="O31" s="12" t="s">
        <v>267</v>
      </c>
    </row>
    <row r="32" spans="1:15" ht="41.5" customHeight="1" x14ac:dyDescent="0.35">
      <c r="A32" s="11">
        <v>27</v>
      </c>
      <c r="B32" s="12" t="s">
        <v>268</v>
      </c>
      <c r="C32" s="12" t="s">
        <v>269</v>
      </c>
      <c r="D32" s="11">
        <v>2023</v>
      </c>
      <c r="E32" s="12" t="s">
        <v>270</v>
      </c>
      <c r="F32" s="12" t="s">
        <v>265</v>
      </c>
      <c r="G32" s="11" t="s">
        <v>125</v>
      </c>
      <c r="H32" s="11"/>
      <c r="I32" s="11"/>
      <c r="J32" s="12"/>
      <c r="K32" s="14" t="str">
        <f t="shared" si="0"/>
        <v>NO</v>
      </c>
      <c r="L32" s="12" t="s">
        <v>119</v>
      </c>
      <c r="M32" s="12" t="s">
        <v>271</v>
      </c>
      <c r="N32" s="12" t="s">
        <v>272</v>
      </c>
      <c r="O32" s="12" t="s">
        <v>273</v>
      </c>
    </row>
    <row r="33" spans="1:15" ht="29" customHeight="1" x14ac:dyDescent="0.35">
      <c r="A33" s="11">
        <v>28</v>
      </c>
      <c r="B33" s="12" t="s">
        <v>262</v>
      </c>
      <c r="C33" s="12" t="s">
        <v>263</v>
      </c>
      <c r="D33" s="11">
        <v>2021</v>
      </c>
      <c r="E33" s="12" t="s">
        <v>172</v>
      </c>
      <c r="F33" s="12" t="s">
        <v>265</v>
      </c>
      <c r="G33" s="11" t="s">
        <v>118</v>
      </c>
      <c r="H33" s="11" t="s">
        <v>118</v>
      </c>
      <c r="I33" s="11" t="s">
        <v>125</v>
      </c>
      <c r="J33" s="12" t="s">
        <v>274</v>
      </c>
      <c r="K33" s="14" t="str">
        <f t="shared" si="0"/>
        <v>NO</v>
      </c>
      <c r="L33" s="12" t="s">
        <v>119</v>
      </c>
      <c r="M33" s="12" t="s">
        <v>275</v>
      </c>
      <c r="N33" s="12" t="s">
        <v>276</v>
      </c>
      <c r="O33" s="12" t="s">
        <v>277</v>
      </c>
    </row>
    <row r="34" spans="1:15" ht="41.5" customHeight="1" x14ac:dyDescent="0.35">
      <c r="A34" s="11">
        <v>29</v>
      </c>
      <c r="B34" s="12" t="s">
        <v>278</v>
      </c>
      <c r="C34" s="12" t="s">
        <v>279</v>
      </c>
      <c r="D34" s="11">
        <v>2024</v>
      </c>
      <c r="E34" s="12" t="s">
        <v>166</v>
      </c>
      <c r="F34" s="12" t="s">
        <v>265</v>
      </c>
      <c r="G34" s="11" t="s">
        <v>118</v>
      </c>
      <c r="H34" s="11" t="s">
        <v>118</v>
      </c>
      <c r="I34" s="11" t="s">
        <v>118</v>
      </c>
      <c r="J34" s="12"/>
      <c r="K34" s="14" t="str">
        <f t="shared" si="0"/>
        <v>YES</v>
      </c>
      <c r="L34" s="12" t="s">
        <v>119</v>
      </c>
      <c r="M34" s="12"/>
      <c r="N34" s="12" t="s">
        <v>280</v>
      </c>
      <c r="O34" s="12" t="s">
        <v>281</v>
      </c>
    </row>
    <row r="35" spans="1:15" ht="29" customHeight="1" x14ac:dyDescent="0.35">
      <c r="A35" s="11">
        <v>30</v>
      </c>
      <c r="B35" s="12" t="s">
        <v>282</v>
      </c>
      <c r="C35" s="12" t="s">
        <v>283</v>
      </c>
      <c r="D35" s="11">
        <v>2024</v>
      </c>
      <c r="E35" s="12" t="s">
        <v>212</v>
      </c>
      <c r="F35" s="12" t="s">
        <v>265</v>
      </c>
      <c r="G35" s="11" t="s">
        <v>118</v>
      </c>
      <c r="H35" s="11" t="s">
        <v>125</v>
      </c>
      <c r="I35" s="11"/>
      <c r="J35" s="12"/>
      <c r="K35" s="14" t="str">
        <f t="shared" si="0"/>
        <v>NO</v>
      </c>
      <c r="L35" s="12" t="s">
        <v>119</v>
      </c>
      <c r="M35" s="12" t="s">
        <v>284</v>
      </c>
      <c r="N35" s="12" t="s">
        <v>285</v>
      </c>
      <c r="O35" s="12" t="s">
        <v>286</v>
      </c>
    </row>
    <row r="36" spans="1:15" ht="104" customHeight="1" x14ac:dyDescent="0.35">
      <c r="A36" s="11">
        <v>31</v>
      </c>
      <c r="B36" s="12" t="s">
        <v>287</v>
      </c>
      <c r="C36" s="12" t="s">
        <v>288</v>
      </c>
      <c r="D36" s="11">
        <v>2025</v>
      </c>
      <c r="E36" s="12" t="s">
        <v>289</v>
      </c>
      <c r="F36" s="12" t="s">
        <v>265</v>
      </c>
      <c r="G36" s="11" t="s">
        <v>125</v>
      </c>
      <c r="H36" s="11"/>
      <c r="I36" s="11"/>
      <c r="J36" s="12"/>
      <c r="K36" s="14" t="str">
        <f t="shared" si="0"/>
        <v>NO</v>
      </c>
      <c r="L36" s="12" t="s">
        <v>119</v>
      </c>
      <c r="M36" s="12" t="s">
        <v>290</v>
      </c>
      <c r="N36" s="12" t="s">
        <v>291</v>
      </c>
      <c r="O36" s="12" t="s">
        <v>292</v>
      </c>
    </row>
    <row r="37" spans="1:15" ht="41.5" customHeight="1" x14ac:dyDescent="0.35">
      <c r="A37" s="11">
        <v>32</v>
      </c>
      <c r="B37" s="12" t="s">
        <v>293</v>
      </c>
      <c r="C37" s="12" t="s">
        <v>294</v>
      </c>
      <c r="D37" s="11">
        <v>2026</v>
      </c>
      <c r="E37" s="12" t="s">
        <v>295</v>
      </c>
      <c r="F37" s="12" t="s">
        <v>265</v>
      </c>
      <c r="G37" s="11" t="s">
        <v>118</v>
      </c>
      <c r="H37" s="11" t="s">
        <v>118</v>
      </c>
      <c r="I37" s="11" t="s">
        <v>125</v>
      </c>
      <c r="J37" s="12" t="s">
        <v>296</v>
      </c>
      <c r="K37" s="14" t="str">
        <f t="shared" si="0"/>
        <v>NO</v>
      </c>
      <c r="L37" s="12" t="s">
        <v>119</v>
      </c>
      <c r="M37" s="12" t="s">
        <v>297</v>
      </c>
      <c r="N37" s="12" t="s">
        <v>298</v>
      </c>
      <c r="O37" s="12" t="s">
        <v>299</v>
      </c>
    </row>
    <row r="38" spans="1:15" ht="41.5" customHeight="1" x14ac:dyDescent="0.35">
      <c r="A38" s="11">
        <v>33</v>
      </c>
      <c r="B38" s="12" t="s">
        <v>300</v>
      </c>
      <c r="C38" s="12" t="s">
        <v>301</v>
      </c>
      <c r="D38" s="11">
        <v>2026</v>
      </c>
      <c r="E38" s="12" t="s">
        <v>302</v>
      </c>
      <c r="F38" s="12" t="s">
        <v>265</v>
      </c>
      <c r="G38" s="11" t="s">
        <v>125</v>
      </c>
      <c r="H38" s="11"/>
      <c r="I38" s="11"/>
      <c r="J38" s="12"/>
      <c r="K38" s="14" t="str">
        <f t="shared" si="0"/>
        <v>NO</v>
      </c>
      <c r="L38" s="12" t="s">
        <v>119</v>
      </c>
      <c r="M38" s="12" t="s">
        <v>303</v>
      </c>
      <c r="N38" s="12" t="s">
        <v>304</v>
      </c>
      <c r="O38" s="12" t="s">
        <v>305</v>
      </c>
    </row>
    <row r="39" spans="1:15" ht="29" customHeight="1" x14ac:dyDescent="0.35">
      <c r="A39" s="11">
        <v>34</v>
      </c>
      <c r="B39" s="12" t="s">
        <v>306</v>
      </c>
      <c r="C39" s="12" t="s">
        <v>307</v>
      </c>
      <c r="D39" s="11">
        <v>2025</v>
      </c>
      <c r="E39" s="12" t="s">
        <v>308</v>
      </c>
      <c r="F39" s="12" t="s">
        <v>265</v>
      </c>
      <c r="G39" s="11" t="s">
        <v>118</v>
      </c>
      <c r="H39" s="11" t="s">
        <v>118</v>
      </c>
      <c r="I39" s="11" t="s">
        <v>125</v>
      </c>
      <c r="J39" s="12" t="s">
        <v>296</v>
      </c>
      <c r="K39" s="14" t="str">
        <f t="shared" si="0"/>
        <v>NO</v>
      </c>
      <c r="L39" s="12" t="s">
        <v>119</v>
      </c>
      <c r="M39" s="12" t="s">
        <v>309</v>
      </c>
      <c r="N39" s="12" t="s">
        <v>310</v>
      </c>
      <c r="O39" s="12" t="s">
        <v>311</v>
      </c>
    </row>
    <row r="40" spans="1:15" ht="29" customHeight="1" x14ac:dyDescent="0.35">
      <c r="A40" s="11">
        <v>35</v>
      </c>
      <c r="B40" s="12" t="s">
        <v>312</v>
      </c>
      <c r="C40" s="12" t="s">
        <v>313</v>
      </c>
      <c r="D40" s="11">
        <v>2022</v>
      </c>
      <c r="E40" s="12" t="s">
        <v>212</v>
      </c>
      <c r="F40" s="12" t="s">
        <v>265</v>
      </c>
      <c r="G40" s="11" t="s">
        <v>118</v>
      </c>
      <c r="H40" s="11" t="s">
        <v>125</v>
      </c>
      <c r="I40" s="11"/>
      <c r="J40" s="12"/>
      <c r="K40" s="14" t="str">
        <f t="shared" si="0"/>
        <v>NO</v>
      </c>
      <c r="L40" s="12" t="s">
        <v>119</v>
      </c>
      <c r="M40" s="12" t="s">
        <v>314</v>
      </c>
      <c r="N40" s="12" t="s">
        <v>315</v>
      </c>
      <c r="O40" s="12" t="s">
        <v>316</v>
      </c>
    </row>
    <row r="41" spans="1:15" ht="29" customHeight="1" x14ac:dyDescent="0.35">
      <c r="A41" s="11">
        <v>36</v>
      </c>
      <c r="B41" s="12" t="s">
        <v>317</v>
      </c>
      <c r="C41" s="12" t="s">
        <v>318</v>
      </c>
      <c r="D41" s="11">
        <v>2025</v>
      </c>
      <c r="E41" s="12" t="s">
        <v>172</v>
      </c>
      <c r="F41" s="12" t="s">
        <v>265</v>
      </c>
      <c r="G41" s="11" t="s">
        <v>125</v>
      </c>
      <c r="H41" s="11"/>
      <c r="I41" s="11"/>
      <c r="J41" s="12"/>
      <c r="K41" s="14" t="str">
        <f t="shared" si="0"/>
        <v>NO</v>
      </c>
      <c r="L41" s="12" t="s">
        <v>119</v>
      </c>
      <c r="M41" s="12" t="s">
        <v>319</v>
      </c>
      <c r="N41" s="12" t="s">
        <v>320</v>
      </c>
      <c r="O41" s="12" t="s">
        <v>321</v>
      </c>
    </row>
    <row r="42" spans="1:15" ht="29" customHeight="1" x14ac:dyDescent="0.35">
      <c r="A42" s="11">
        <v>37</v>
      </c>
      <c r="B42" s="12" t="s">
        <v>322</v>
      </c>
      <c r="C42" s="12" t="s">
        <v>323</v>
      </c>
      <c r="D42" s="11">
        <v>2025</v>
      </c>
      <c r="E42" s="12" t="s">
        <v>172</v>
      </c>
      <c r="F42" s="12" t="s">
        <v>265</v>
      </c>
      <c r="G42" s="11" t="s">
        <v>118</v>
      </c>
      <c r="H42" s="11" t="s">
        <v>118</v>
      </c>
      <c r="I42" s="11" t="s">
        <v>125</v>
      </c>
      <c r="J42" s="12" t="s">
        <v>173</v>
      </c>
      <c r="K42" s="14" t="str">
        <f t="shared" si="0"/>
        <v>NO</v>
      </c>
      <c r="L42" s="12" t="s">
        <v>119</v>
      </c>
      <c r="M42" s="12" t="s">
        <v>324</v>
      </c>
      <c r="N42" s="12" t="s">
        <v>325</v>
      </c>
      <c r="O42" s="12" t="s">
        <v>326</v>
      </c>
    </row>
    <row r="43" spans="1:15" ht="66.5" customHeight="1" x14ac:dyDescent="0.35">
      <c r="A43" s="11">
        <v>38</v>
      </c>
      <c r="B43" s="12" t="s">
        <v>327</v>
      </c>
      <c r="C43" s="12" t="s">
        <v>328</v>
      </c>
      <c r="D43" s="11">
        <v>2025</v>
      </c>
      <c r="E43" s="12" t="s">
        <v>329</v>
      </c>
      <c r="F43" s="12" t="s">
        <v>265</v>
      </c>
      <c r="G43" s="11" t="s">
        <v>125</v>
      </c>
      <c r="H43" s="11"/>
      <c r="I43" s="11"/>
      <c r="J43" s="12"/>
      <c r="K43" s="14" t="str">
        <f t="shared" si="0"/>
        <v>NO</v>
      </c>
      <c r="L43" s="12" t="s">
        <v>119</v>
      </c>
      <c r="M43" s="12" t="s">
        <v>330</v>
      </c>
      <c r="N43" s="12" t="s">
        <v>331</v>
      </c>
      <c r="O43" s="12" t="s">
        <v>332</v>
      </c>
    </row>
    <row r="44" spans="1:15" ht="29" customHeight="1" x14ac:dyDescent="0.35">
      <c r="A44" s="11">
        <v>39</v>
      </c>
      <c r="B44" s="12" t="s">
        <v>333</v>
      </c>
      <c r="C44" s="12" t="s">
        <v>334</v>
      </c>
      <c r="D44" s="11">
        <v>2025</v>
      </c>
      <c r="E44" s="12" t="s">
        <v>335</v>
      </c>
      <c r="F44" s="12" t="s">
        <v>265</v>
      </c>
      <c r="G44" s="11" t="s">
        <v>118</v>
      </c>
      <c r="H44" s="11" t="s">
        <v>118</v>
      </c>
      <c r="I44" s="11" t="s">
        <v>118</v>
      </c>
      <c r="J44" s="12"/>
      <c r="K44" s="14" t="str">
        <f t="shared" si="0"/>
        <v>YES</v>
      </c>
      <c r="L44" s="12" t="s">
        <v>119</v>
      </c>
      <c r="M44" s="12"/>
      <c r="N44" s="12" t="s">
        <v>336</v>
      </c>
      <c r="O44" s="12" t="s">
        <v>337</v>
      </c>
    </row>
    <row r="45" spans="1:15" ht="41.5" customHeight="1" x14ac:dyDescent="0.35">
      <c r="A45" s="11">
        <v>40</v>
      </c>
      <c r="B45" s="12" t="s">
        <v>338</v>
      </c>
      <c r="C45" s="12" t="s">
        <v>339</v>
      </c>
      <c r="D45" s="11">
        <v>2026</v>
      </c>
      <c r="E45" s="12" t="s">
        <v>340</v>
      </c>
      <c r="F45" s="12" t="s">
        <v>265</v>
      </c>
      <c r="G45" s="11" t="s">
        <v>118</v>
      </c>
      <c r="H45" s="11" t="s">
        <v>118</v>
      </c>
      <c r="I45" s="11" t="s">
        <v>125</v>
      </c>
      <c r="J45" s="12" t="s">
        <v>296</v>
      </c>
      <c r="K45" s="14" t="str">
        <f t="shared" si="0"/>
        <v>NO</v>
      </c>
      <c r="L45" s="12" t="s">
        <v>119</v>
      </c>
      <c r="M45" s="12" t="s">
        <v>309</v>
      </c>
      <c r="N45" s="12" t="s">
        <v>341</v>
      </c>
      <c r="O45" s="12" t="s">
        <v>342</v>
      </c>
    </row>
    <row r="46" spans="1:15" ht="41.5" customHeight="1" x14ac:dyDescent="0.35">
      <c r="A46" s="11">
        <v>41</v>
      </c>
      <c r="B46" s="12" t="s">
        <v>343</v>
      </c>
      <c r="C46" s="12" t="s">
        <v>344</v>
      </c>
      <c r="D46" s="11">
        <v>2026</v>
      </c>
      <c r="E46" s="12" t="s">
        <v>212</v>
      </c>
      <c r="F46" s="12" t="s">
        <v>265</v>
      </c>
      <c r="G46" s="11" t="s">
        <v>118</v>
      </c>
      <c r="H46" s="11" t="s">
        <v>125</v>
      </c>
      <c r="I46" s="11"/>
      <c r="J46" s="12"/>
      <c r="K46" s="14" t="str">
        <f t="shared" si="0"/>
        <v>NO</v>
      </c>
      <c r="L46" s="12" t="s">
        <v>119</v>
      </c>
      <c r="M46" s="12" t="s">
        <v>345</v>
      </c>
      <c r="N46" s="12" t="s">
        <v>346</v>
      </c>
      <c r="O46" s="12" t="s">
        <v>347</v>
      </c>
    </row>
    <row r="47" spans="1:15" ht="29" customHeight="1" x14ac:dyDescent="0.35">
      <c r="A47" s="11">
        <v>42</v>
      </c>
      <c r="B47" s="12" t="s">
        <v>348</v>
      </c>
      <c r="C47" s="12" t="s">
        <v>349</v>
      </c>
      <c r="D47" s="11">
        <v>2026</v>
      </c>
      <c r="E47" s="12" t="s">
        <v>350</v>
      </c>
      <c r="F47" s="12" t="s">
        <v>265</v>
      </c>
      <c r="G47" s="11" t="s">
        <v>118</v>
      </c>
      <c r="H47" s="11" t="s">
        <v>118</v>
      </c>
      <c r="I47" s="11" t="s">
        <v>118</v>
      </c>
      <c r="J47" s="12"/>
      <c r="K47" s="14" t="str">
        <f t="shared" si="0"/>
        <v>YES</v>
      </c>
      <c r="L47" s="12" t="s">
        <v>119</v>
      </c>
      <c r="M47" s="12"/>
      <c r="N47" s="12" t="s">
        <v>351</v>
      </c>
      <c r="O47" s="12" t="s">
        <v>352</v>
      </c>
    </row>
    <row r="48" spans="1:15" ht="41.5" customHeight="1" x14ac:dyDescent="0.35">
      <c r="A48" s="11">
        <v>43</v>
      </c>
      <c r="B48" s="12" t="s">
        <v>353</v>
      </c>
      <c r="C48" s="12" t="s">
        <v>354</v>
      </c>
      <c r="D48" s="11">
        <v>2025</v>
      </c>
      <c r="E48" s="12" t="s">
        <v>212</v>
      </c>
      <c r="F48" s="12" t="s">
        <v>265</v>
      </c>
      <c r="G48" s="11" t="s">
        <v>118</v>
      </c>
      <c r="H48" s="11" t="s">
        <v>125</v>
      </c>
      <c r="I48" s="11"/>
      <c r="J48" s="12"/>
      <c r="K48" s="14" t="str">
        <f t="shared" si="0"/>
        <v>NO</v>
      </c>
      <c r="L48" s="12" t="s">
        <v>119</v>
      </c>
      <c r="M48" s="12" t="s">
        <v>355</v>
      </c>
      <c r="N48" s="12" t="s">
        <v>356</v>
      </c>
      <c r="O48" s="12" t="s">
        <v>357</v>
      </c>
    </row>
    <row r="49" spans="1:15" ht="29" customHeight="1" x14ac:dyDescent="0.35">
      <c r="A49" s="11">
        <v>44</v>
      </c>
      <c r="B49" s="12" t="s">
        <v>358</v>
      </c>
      <c r="C49" s="12" t="s">
        <v>359</v>
      </c>
      <c r="D49" s="11">
        <v>2025</v>
      </c>
      <c r="E49" s="12" t="s">
        <v>360</v>
      </c>
      <c r="F49" s="12" t="s">
        <v>265</v>
      </c>
      <c r="G49" s="11" t="s">
        <v>118</v>
      </c>
      <c r="H49" s="11" t="s">
        <v>118</v>
      </c>
      <c r="I49" s="11" t="s">
        <v>118</v>
      </c>
      <c r="J49" s="12"/>
      <c r="K49" s="14" t="str">
        <f t="shared" si="0"/>
        <v>YES</v>
      </c>
      <c r="L49" s="12" t="s">
        <v>119</v>
      </c>
      <c r="M49" s="12"/>
      <c r="N49" s="12" t="s">
        <v>361</v>
      </c>
      <c r="O49" s="12" t="s">
        <v>362</v>
      </c>
    </row>
    <row r="50" spans="1:15" ht="24" customHeight="1" x14ac:dyDescent="0.35">
      <c r="A50" s="11">
        <v>45</v>
      </c>
      <c r="B50" s="12" t="s">
        <v>363</v>
      </c>
      <c r="C50" s="12" t="s">
        <v>364</v>
      </c>
      <c r="D50" s="11">
        <v>2026</v>
      </c>
      <c r="E50" s="12" t="s">
        <v>143</v>
      </c>
      <c r="F50" s="12" t="s">
        <v>265</v>
      </c>
      <c r="G50" s="11" t="s">
        <v>125</v>
      </c>
      <c r="H50" s="11"/>
      <c r="I50" s="11"/>
      <c r="J50" s="12"/>
      <c r="K50" s="14" t="str">
        <f t="shared" si="0"/>
        <v>NO</v>
      </c>
      <c r="L50" s="12" t="s">
        <v>119</v>
      </c>
      <c r="M50" s="12" t="s">
        <v>365</v>
      </c>
      <c r="N50" s="12" t="s">
        <v>366</v>
      </c>
      <c r="O50" s="12" t="s">
        <v>367</v>
      </c>
    </row>
    <row r="51" spans="1:15" ht="41.5" customHeight="1" x14ac:dyDescent="0.35">
      <c r="A51" s="11">
        <v>46</v>
      </c>
      <c r="B51" s="12" t="s">
        <v>368</v>
      </c>
      <c r="C51" s="12" t="s">
        <v>369</v>
      </c>
      <c r="D51" s="11">
        <v>2026</v>
      </c>
      <c r="E51" s="12" t="s">
        <v>370</v>
      </c>
      <c r="F51" s="12" t="s">
        <v>265</v>
      </c>
      <c r="G51" s="11" t="s">
        <v>118</v>
      </c>
      <c r="H51" s="11" t="s">
        <v>118</v>
      </c>
      <c r="I51" s="11" t="s">
        <v>125</v>
      </c>
      <c r="J51" s="12" t="s">
        <v>173</v>
      </c>
      <c r="K51" s="14" t="str">
        <f t="shared" si="0"/>
        <v>NO</v>
      </c>
      <c r="L51" s="12" t="s">
        <v>119</v>
      </c>
      <c r="M51" s="12" t="s">
        <v>371</v>
      </c>
      <c r="N51" s="12" t="s">
        <v>372</v>
      </c>
      <c r="O51" s="12" t="s">
        <v>373</v>
      </c>
    </row>
    <row r="52" spans="1:15" ht="29" customHeight="1" x14ac:dyDescent="0.35">
      <c r="A52" s="11">
        <v>47</v>
      </c>
      <c r="B52" s="12" t="s">
        <v>374</v>
      </c>
      <c r="C52" s="12" t="s">
        <v>375</v>
      </c>
      <c r="D52" s="11">
        <v>2026</v>
      </c>
      <c r="E52" s="12" t="s">
        <v>172</v>
      </c>
      <c r="F52" s="12" t="s">
        <v>265</v>
      </c>
      <c r="G52" s="11" t="s">
        <v>118</v>
      </c>
      <c r="H52" s="11" t="s">
        <v>118</v>
      </c>
      <c r="I52" s="11" t="s">
        <v>125</v>
      </c>
      <c r="J52" s="12" t="s">
        <v>173</v>
      </c>
      <c r="K52" s="14" t="str">
        <f t="shared" si="0"/>
        <v>NO</v>
      </c>
      <c r="L52" s="12" t="s">
        <v>119</v>
      </c>
      <c r="M52" s="12" t="s">
        <v>376</v>
      </c>
      <c r="N52" s="12" t="s">
        <v>377</v>
      </c>
      <c r="O52" s="12" t="s">
        <v>378</v>
      </c>
    </row>
    <row r="53" spans="1:15" ht="29" customHeight="1" x14ac:dyDescent="0.35">
      <c r="A53" s="11">
        <v>48</v>
      </c>
      <c r="B53" s="12" t="s">
        <v>379</v>
      </c>
      <c r="C53" s="12" t="s">
        <v>380</v>
      </c>
      <c r="D53" s="11">
        <v>2026</v>
      </c>
      <c r="E53" s="12" t="s">
        <v>230</v>
      </c>
      <c r="F53" s="12" t="s">
        <v>265</v>
      </c>
      <c r="G53" s="11" t="s">
        <v>118</v>
      </c>
      <c r="H53" s="11" t="s">
        <v>118</v>
      </c>
      <c r="I53" s="11" t="s">
        <v>125</v>
      </c>
      <c r="J53" s="12" t="s">
        <v>296</v>
      </c>
      <c r="K53" s="14" t="str">
        <f t="shared" si="0"/>
        <v>NO</v>
      </c>
      <c r="L53" s="12" t="s">
        <v>119</v>
      </c>
      <c r="M53" s="12" t="s">
        <v>381</v>
      </c>
      <c r="N53" s="12" t="s">
        <v>382</v>
      </c>
      <c r="O53" s="12" t="s">
        <v>383</v>
      </c>
    </row>
    <row r="54" spans="1:15" ht="29" customHeight="1" x14ac:dyDescent="0.35">
      <c r="A54" s="11">
        <v>49</v>
      </c>
      <c r="B54" s="12" t="s">
        <v>384</v>
      </c>
      <c r="C54" s="12" t="s">
        <v>385</v>
      </c>
      <c r="D54" s="11">
        <v>2023</v>
      </c>
      <c r="E54" s="12" t="s">
        <v>212</v>
      </c>
      <c r="F54" s="12" t="s">
        <v>386</v>
      </c>
      <c r="G54" s="11" t="s">
        <v>125</v>
      </c>
      <c r="H54" s="11"/>
      <c r="I54" s="11"/>
      <c r="J54" s="12"/>
      <c r="K54" s="14" t="str">
        <f t="shared" si="0"/>
        <v>NO</v>
      </c>
      <c r="L54" s="12" t="s">
        <v>119</v>
      </c>
      <c r="M54" s="12" t="s">
        <v>387</v>
      </c>
      <c r="N54" s="12" t="s">
        <v>388</v>
      </c>
      <c r="O54" s="12" t="s">
        <v>389</v>
      </c>
    </row>
    <row r="55" spans="1:15" ht="41.5" customHeight="1" x14ac:dyDescent="0.35">
      <c r="A55" s="11">
        <v>50</v>
      </c>
      <c r="B55" s="12" t="s">
        <v>390</v>
      </c>
      <c r="C55" s="12" t="s">
        <v>391</v>
      </c>
      <c r="D55" s="11">
        <v>2021</v>
      </c>
      <c r="E55" s="12" t="s">
        <v>392</v>
      </c>
      <c r="F55" s="12" t="s">
        <v>386</v>
      </c>
      <c r="G55" s="11" t="s">
        <v>118</v>
      </c>
      <c r="H55" s="11" t="s">
        <v>118</v>
      </c>
      <c r="I55" s="11" t="s">
        <v>118</v>
      </c>
      <c r="J55" s="12"/>
      <c r="K55" s="14" t="str">
        <f t="shared" si="0"/>
        <v>YES</v>
      </c>
      <c r="L55" s="12" t="s">
        <v>119</v>
      </c>
      <c r="M55" s="12"/>
      <c r="N55" s="12" t="s">
        <v>393</v>
      </c>
      <c r="O55" s="12" t="s">
        <v>394</v>
      </c>
    </row>
    <row r="56" spans="1:15" ht="29" customHeight="1" x14ac:dyDescent="0.35">
      <c r="A56" s="11">
        <v>51</v>
      </c>
      <c r="B56" s="12" t="s">
        <v>395</v>
      </c>
      <c r="C56" s="12" t="s">
        <v>396</v>
      </c>
      <c r="D56" s="11">
        <v>2023</v>
      </c>
      <c r="E56" s="12" t="s">
        <v>397</v>
      </c>
      <c r="F56" s="12" t="s">
        <v>386</v>
      </c>
      <c r="G56" s="11" t="s">
        <v>118</v>
      </c>
      <c r="H56" s="11" t="s">
        <v>118</v>
      </c>
      <c r="I56" s="11" t="s">
        <v>118</v>
      </c>
      <c r="J56" s="12"/>
      <c r="K56" s="14" t="str">
        <f t="shared" si="0"/>
        <v>YES</v>
      </c>
      <c r="L56" s="12" t="s">
        <v>119</v>
      </c>
      <c r="M56" s="12"/>
      <c r="N56" s="12" t="s">
        <v>398</v>
      </c>
      <c r="O56" s="12" t="s">
        <v>399</v>
      </c>
    </row>
    <row r="57" spans="1:15" ht="29" customHeight="1" x14ac:dyDescent="0.35">
      <c r="A57" s="11">
        <v>52</v>
      </c>
      <c r="B57" s="12" t="s">
        <v>400</v>
      </c>
      <c r="C57" s="12" t="s">
        <v>401</v>
      </c>
      <c r="D57" s="11">
        <v>2023</v>
      </c>
      <c r="E57" s="12" t="s">
        <v>402</v>
      </c>
      <c r="F57" s="12" t="s">
        <v>386</v>
      </c>
      <c r="G57" s="11" t="s">
        <v>118</v>
      </c>
      <c r="H57" s="11" t="s">
        <v>118</v>
      </c>
      <c r="I57" s="11" t="s">
        <v>118</v>
      </c>
      <c r="J57" s="12"/>
      <c r="K57" s="14" t="str">
        <f t="shared" si="0"/>
        <v>YES</v>
      </c>
      <c r="L57" s="12" t="s">
        <v>119</v>
      </c>
      <c r="M57" s="12"/>
      <c r="N57" s="12" t="s">
        <v>403</v>
      </c>
      <c r="O57" s="12" t="s">
        <v>404</v>
      </c>
    </row>
    <row r="58" spans="1:15" ht="29" customHeight="1" x14ac:dyDescent="0.35">
      <c r="A58" s="11">
        <v>53</v>
      </c>
      <c r="B58" s="12" t="s">
        <v>405</v>
      </c>
      <c r="C58" s="12" t="s">
        <v>406</v>
      </c>
      <c r="D58" s="11">
        <v>2023</v>
      </c>
      <c r="E58" s="12" t="s">
        <v>212</v>
      </c>
      <c r="F58" s="12" t="s">
        <v>386</v>
      </c>
      <c r="G58" s="11" t="s">
        <v>118</v>
      </c>
      <c r="H58" s="11" t="s">
        <v>125</v>
      </c>
      <c r="I58" s="11"/>
      <c r="J58" s="12"/>
      <c r="K58" s="14" t="str">
        <f t="shared" si="0"/>
        <v>NO</v>
      </c>
      <c r="L58" s="12" t="s">
        <v>119</v>
      </c>
      <c r="M58" s="12" t="s">
        <v>407</v>
      </c>
      <c r="N58" s="12" t="s">
        <v>408</v>
      </c>
      <c r="O58" s="12" t="s">
        <v>409</v>
      </c>
    </row>
    <row r="59" spans="1:15" ht="29" customHeight="1" x14ac:dyDescent="0.35">
      <c r="A59" s="11">
        <v>54</v>
      </c>
      <c r="B59" s="12" t="s">
        <v>410</v>
      </c>
      <c r="C59" s="12" t="s">
        <v>385</v>
      </c>
      <c r="D59" s="11">
        <v>2023</v>
      </c>
      <c r="E59" s="12" t="s">
        <v>172</v>
      </c>
      <c r="F59" s="12" t="s">
        <v>386</v>
      </c>
      <c r="G59" s="11" t="s">
        <v>125</v>
      </c>
      <c r="H59" s="11"/>
      <c r="I59" s="11"/>
      <c r="J59" s="12"/>
      <c r="K59" s="14" t="str">
        <f t="shared" si="0"/>
        <v>NO</v>
      </c>
      <c r="L59" s="12" t="s">
        <v>119</v>
      </c>
      <c r="M59" s="12" t="s">
        <v>387</v>
      </c>
      <c r="N59" s="12" t="s">
        <v>411</v>
      </c>
      <c r="O59" s="12" t="s">
        <v>412</v>
      </c>
    </row>
    <row r="60" spans="1:15" ht="29" customHeight="1" x14ac:dyDescent="0.35">
      <c r="A60" s="11">
        <v>55</v>
      </c>
      <c r="B60" s="12" t="s">
        <v>413</v>
      </c>
      <c r="C60" s="12" t="s">
        <v>391</v>
      </c>
      <c r="D60" s="11">
        <v>2022</v>
      </c>
      <c r="E60" s="12" t="s">
        <v>414</v>
      </c>
      <c r="F60" s="12" t="s">
        <v>386</v>
      </c>
      <c r="G60" s="11" t="s">
        <v>118</v>
      </c>
      <c r="H60" s="11" t="s">
        <v>118</v>
      </c>
      <c r="I60" s="11" t="s">
        <v>118</v>
      </c>
      <c r="J60" s="12"/>
      <c r="K60" s="14" t="str">
        <f t="shared" si="0"/>
        <v>YES</v>
      </c>
      <c r="L60" s="12" t="s">
        <v>119</v>
      </c>
      <c r="M60" s="12" t="s">
        <v>167</v>
      </c>
      <c r="N60" s="12" t="s">
        <v>415</v>
      </c>
      <c r="O60" s="12" t="s">
        <v>416</v>
      </c>
    </row>
    <row r="61" spans="1:15" ht="29" customHeight="1" x14ac:dyDescent="0.35">
      <c r="A61" s="11">
        <v>56</v>
      </c>
      <c r="B61" s="12" t="s">
        <v>417</v>
      </c>
      <c r="C61" s="12" t="s">
        <v>418</v>
      </c>
      <c r="D61" s="11">
        <v>2024</v>
      </c>
      <c r="E61" s="12" t="s">
        <v>419</v>
      </c>
      <c r="F61" s="12" t="s">
        <v>386</v>
      </c>
      <c r="G61" s="11" t="s">
        <v>125</v>
      </c>
      <c r="H61" s="11"/>
      <c r="I61" s="11"/>
      <c r="J61" s="12"/>
      <c r="K61" s="14" t="str">
        <f t="shared" si="0"/>
        <v>NO</v>
      </c>
      <c r="L61" s="12" t="s">
        <v>119</v>
      </c>
      <c r="M61" s="12" t="s">
        <v>420</v>
      </c>
      <c r="N61" s="12" t="s">
        <v>421</v>
      </c>
      <c r="O61" s="12" t="s">
        <v>422</v>
      </c>
    </row>
    <row r="62" spans="1:15" ht="41.5" customHeight="1" x14ac:dyDescent="0.35">
      <c r="A62" s="11">
        <v>57</v>
      </c>
      <c r="B62" s="12" t="s">
        <v>423</v>
      </c>
      <c r="C62" s="12" t="s">
        <v>424</v>
      </c>
      <c r="D62" s="11">
        <v>2023</v>
      </c>
      <c r="E62" s="12" t="s">
        <v>425</v>
      </c>
      <c r="F62" s="12" t="s">
        <v>386</v>
      </c>
      <c r="G62" s="11" t="s">
        <v>125</v>
      </c>
      <c r="H62" s="11"/>
      <c r="I62" s="11"/>
      <c r="J62" s="12"/>
      <c r="K62" s="14" t="str">
        <f t="shared" si="0"/>
        <v>NO</v>
      </c>
      <c r="L62" s="12" t="s">
        <v>119</v>
      </c>
      <c r="M62" s="12" t="s">
        <v>426</v>
      </c>
      <c r="N62" s="12" t="s">
        <v>427</v>
      </c>
      <c r="O62" s="12" t="s">
        <v>428</v>
      </c>
    </row>
    <row r="63" spans="1:15" ht="41.5" customHeight="1" x14ac:dyDescent="0.35">
      <c r="A63" s="11">
        <v>58</v>
      </c>
      <c r="B63" s="12" t="s">
        <v>429</v>
      </c>
      <c r="C63" s="12" t="s">
        <v>430</v>
      </c>
      <c r="D63" s="11">
        <v>2023</v>
      </c>
      <c r="E63" s="12" t="s">
        <v>431</v>
      </c>
      <c r="F63" s="12" t="s">
        <v>386</v>
      </c>
      <c r="G63" s="11" t="s">
        <v>118</v>
      </c>
      <c r="H63" s="11" t="s">
        <v>118</v>
      </c>
      <c r="I63" s="11" t="s">
        <v>125</v>
      </c>
      <c r="J63" s="12" t="s">
        <v>173</v>
      </c>
      <c r="K63" s="14" t="str">
        <f t="shared" si="0"/>
        <v>NO</v>
      </c>
      <c r="L63" s="12" t="s">
        <v>119</v>
      </c>
      <c r="M63" s="12" t="s">
        <v>432</v>
      </c>
      <c r="N63" s="12" t="s">
        <v>433</v>
      </c>
      <c r="O63" s="12" t="s">
        <v>434</v>
      </c>
    </row>
    <row r="64" spans="1:15" ht="29" customHeight="1" x14ac:dyDescent="0.35">
      <c r="A64" s="11">
        <v>59</v>
      </c>
      <c r="B64" s="12" t="s">
        <v>435</v>
      </c>
      <c r="C64" s="12" t="s">
        <v>406</v>
      </c>
      <c r="D64" s="11">
        <v>2022</v>
      </c>
      <c r="E64" s="12" t="s">
        <v>172</v>
      </c>
      <c r="F64" s="12" t="s">
        <v>386</v>
      </c>
      <c r="G64" s="11" t="s">
        <v>118</v>
      </c>
      <c r="H64" s="11" t="s">
        <v>125</v>
      </c>
      <c r="I64" s="11"/>
      <c r="J64" s="12"/>
      <c r="K64" s="14" t="str">
        <f t="shared" si="0"/>
        <v>NO</v>
      </c>
      <c r="L64" s="12" t="s">
        <v>119</v>
      </c>
      <c r="M64" s="12" t="s">
        <v>407</v>
      </c>
      <c r="N64" s="12" t="s">
        <v>436</v>
      </c>
      <c r="O64" s="12" t="s">
        <v>437</v>
      </c>
    </row>
    <row r="65" spans="1:15" ht="41.5" customHeight="1" x14ac:dyDescent="0.35">
      <c r="A65" s="11">
        <v>60</v>
      </c>
      <c r="B65" s="12" t="s">
        <v>438</v>
      </c>
      <c r="C65" s="12" t="s">
        <v>439</v>
      </c>
      <c r="D65" s="11">
        <v>2021</v>
      </c>
      <c r="E65" s="12" t="s">
        <v>172</v>
      </c>
      <c r="F65" s="12" t="s">
        <v>386</v>
      </c>
      <c r="G65" s="11" t="s">
        <v>125</v>
      </c>
      <c r="H65" s="11"/>
      <c r="I65" s="11"/>
      <c r="J65" s="12"/>
      <c r="K65" s="14" t="str">
        <f t="shared" si="0"/>
        <v>NO</v>
      </c>
      <c r="L65" s="12" t="s">
        <v>119</v>
      </c>
      <c r="M65" s="12" t="s">
        <v>440</v>
      </c>
      <c r="N65" s="12" t="s">
        <v>441</v>
      </c>
      <c r="O65" s="12" t="s">
        <v>442</v>
      </c>
    </row>
    <row r="66" spans="1:15" ht="41.5" customHeight="1" x14ac:dyDescent="0.35">
      <c r="A66" s="11">
        <v>61</v>
      </c>
      <c r="B66" s="12" t="s">
        <v>443</v>
      </c>
      <c r="C66" s="12" t="s">
        <v>444</v>
      </c>
      <c r="D66" s="11">
        <v>2023</v>
      </c>
      <c r="E66" s="12" t="s">
        <v>172</v>
      </c>
      <c r="F66" s="12" t="s">
        <v>386</v>
      </c>
      <c r="G66" s="11" t="s">
        <v>125</v>
      </c>
      <c r="H66" s="11"/>
      <c r="I66" s="11"/>
      <c r="J66" s="12"/>
      <c r="K66" s="14" t="str">
        <f t="shared" si="0"/>
        <v>NO</v>
      </c>
      <c r="L66" s="12" t="s">
        <v>119</v>
      </c>
      <c r="M66" s="12" t="s">
        <v>445</v>
      </c>
      <c r="N66" s="12" t="s">
        <v>446</v>
      </c>
      <c r="O66" s="12" t="s">
        <v>447</v>
      </c>
    </row>
    <row r="67" spans="1:15" ht="29" customHeight="1" x14ac:dyDescent="0.35">
      <c r="A67" s="11">
        <v>62</v>
      </c>
      <c r="B67" s="12" t="s">
        <v>448</v>
      </c>
      <c r="C67" s="12" t="s">
        <v>449</v>
      </c>
      <c r="D67" s="11">
        <v>2023</v>
      </c>
      <c r="E67" s="12" t="s">
        <v>397</v>
      </c>
      <c r="F67" s="12" t="s">
        <v>386</v>
      </c>
      <c r="G67" s="11" t="s">
        <v>118</v>
      </c>
      <c r="H67" s="11" t="s">
        <v>118</v>
      </c>
      <c r="I67" s="11" t="s">
        <v>118</v>
      </c>
      <c r="J67" s="12"/>
      <c r="K67" s="14" t="str">
        <f t="shared" si="0"/>
        <v>YES</v>
      </c>
      <c r="L67" s="12" t="s">
        <v>119</v>
      </c>
      <c r="M67" s="12"/>
      <c r="N67" s="12" t="s">
        <v>450</v>
      </c>
      <c r="O67" s="12" t="s">
        <v>451</v>
      </c>
    </row>
    <row r="68" spans="1:15" ht="29" customHeight="1" x14ac:dyDescent="0.35">
      <c r="A68" s="11">
        <v>63</v>
      </c>
      <c r="B68" s="12" t="s">
        <v>452</v>
      </c>
      <c r="C68" s="12" t="s">
        <v>453</v>
      </c>
      <c r="D68" s="11">
        <v>2026</v>
      </c>
      <c r="E68" s="12" t="s">
        <v>454</v>
      </c>
      <c r="F68" s="12" t="s">
        <v>386</v>
      </c>
      <c r="G68" s="11" t="s">
        <v>125</v>
      </c>
      <c r="H68" s="11"/>
      <c r="I68" s="11"/>
      <c r="J68" s="12"/>
      <c r="K68" s="14" t="str">
        <f t="shared" si="0"/>
        <v>NO</v>
      </c>
      <c r="L68" s="12" t="s">
        <v>119</v>
      </c>
      <c r="M68" s="12" t="s">
        <v>455</v>
      </c>
      <c r="N68" s="12" t="s">
        <v>456</v>
      </c>
      <c r="O68" s="12" t="s">
        <v>457</v>
      </c>
    </row>
    <row r="69" spans="1:15" ht="41.5" customHeight="1" x14ac:dyDescent="0.35">
      <c r="A69" s="11">
        <v>64</v>
      </c>
      <c r="B69" s="12" t="s">
        <v>458</v>
      </c>
      <c r="C69" s="12" t="s">
        <v>459</v>
      </c>
      <c r="D69" s="11">
        <v>2023</v>
      </c>
      <c r="E69" s="12" t="s">
        <v>460</v>
      </c>
      <c r="F69" s="12" t="s">
        <v>386</v>
      </c>
      <c r="G69" s="11" t="s">
        <v>118</v>
      </c>
      <c r="H69" s="11" t="s">
        <v>118</v>
      </c>
      <c r="I69" s="11" t="s">
        <v>118</v>
      </c>
      <c r="J69" s="12"/>
      <c r="K69" s="14" t="str">
        <f t="shared" si="0"/>
        <v>YES</v>
      </c>
      <c r="L69" s="12" t="s">
        <v>119</v>
      </c>
      <c r="M69" s="12"/>
      <c r="N69" s="12" t="s">
        <v>461</v>
      </c>
      <c r="O69" s="12" t="s">
        <v>462</v>
      </c>
    </row>
    <row r="70" spans="1:15" ht="41.5" customHeight="1" x14ac:dyDescent="0.35">
      <c r="A70" s="11">
        <v>65</v>
      </c>
      <c r="B70" s="12" t="s">
        <v>463</v>
      </c>
      <c r="C70" s="12" t="s">
        <v>464</v>
      </c>
      <c r="D70" s="11">
        <v>2023</v>
      </c>
      <c r="E70" s="12" t="s">
        <v>212</v>
      </c>
      <c r="F70" s="12" t="s">
        <v>386</v>
      </c>
      <c r="G70" s="11" t="s">
        <v>125</v>
      </c>
      <c r="H70" s="11"/>
      <c r="I70" s="11"/>
      <c r="J70" s="12"/>
      <c r="K70" s="14" t="str">
        <f t="shared" ref="K70:K133" si="1">IF(AND(G70="KEEP",H70="KEEP",I70="KEEP"),"YES",IF(OR(G70="DROP",H70="DROP",I70="DROP"),"NO",""))</f>
        <v>NO</v>
      </c>
      <c r="L70" s="12" t="s">
        <v>119</v>
      </c>
      <c r="M70" s="12" t="s">
        <v>465</v>
      </c>
      <c r="N70" s="12" t="s">
        <v>466</v>
      </c>
      <c r="O70" s="12" t="s">
        <v>467</v>
      </c>
    </row>
    <row r="71" spans="1:15" ht="29" customHeight="1" x14ac:dyDescent="0.35">
      <c r="A71" s="11">
        <v>66</v>
      </c>
      <c r="B71" s="12" t="s">
        <v>468</v>
      </c>
      <c r="C71" s="12" t="s">
        <v>469</v>
      </c>
      <c r="D71" s="11">
        <v>2022</v>
      </c>
      <c r="E71" s="12" t="s">
        <v>414</v>
      </c>
      <c r="F71" s="12" t="s">
        <v>386</v>
      </c>
      <c r="G71" s="11" t="s">
        <v>118</v>
      </c>
      <c r="H71" s="11" t="s">
        <v>118</v>
      </c>
      <c r="I71" s="11" t="s">
        <v>118</v>
      </c>
      <c r="J71" s="12"/>
      <c r="K71" s="14" t="str">
        <f t="shared" si="1"/>
        <v>YES</v>
      </c>
      <c r="L71" s="12" t="s">
        <v>119</v>
      </c>
      <c r="M71" s="12" t="s">
        <v>167</v>
      </c>
      <c r="N71" s="12" t="s">
        <v>470</v>
      </c>
      <c r="O71" s="12" t="s">
        <v>471</v>
      </c>
    </row>
    <row r="72" spans="1:15" ht="29" customHeight="1" x14ac:dyDescent="0.35">
      <c r="A72" s="11">
        <v>67</v>
      </c>
      <c r="B72" s="12" t="s">
        <v>472</v>
      </c>
      <c r="C72" s="12" t="s">
        <v>473</v>
      </c>
      <c r="D72" s="11">
        <v>2026</v>
      </c>
      <c r="E72" s="12" t="s">
        <v>474</v>
      </c>
      <c r="F72" s="12" t="s">
        <v>386</v>
      </c>
      <c r="G72" s="11" t="s">
        <v>125</v>
      </c>
      <c r="H72" s="11"/>
      <c r="I72" s="11"/>
      <c r="J72" s="12"/>
      <c r="K72" s="14" t="str">
        <f t="shared" si="1"/>
        <v>NO</v>
      </c>
      <c r="L72" s="12" t="s">
        <v>119</v>
      </c>
      <c r="M72" s="12" t="s">
        <v>475</v>
      </c>
      <c r="N72" s="12" t="s">
        <v>476</v>
      </c>
      <c r="O72" s="12" t="s">
        <v>477</v>
      </c>
    </row>
    <row r="73" spans="1:15" ht="41.5" customHeight="1" x14ac:dyDescent="0.35">
      <c r="A73" s="11">
        <v>68</v>
      </c>
      <c r="B73" s="12" t="s">
        <v>478</v>
      </c>
      <c r="C73" s="12" t="s">
        <v>479</v>
      </c>
      <c r="D73" s="11">
        <v>2026</v>
      </c>
      <c r="E73" s="12" t="s">
        <v>480</v>
      </c>
      <c r="F73" s="12" t="s">
        <v>386</v>
      </c>
      <c r="G73" s="11" t="s">
        <v>125</v>
      </c>
      <c r="H73" s="11"/>
      <c r="I73" s="11"/>
      <c r="J73" s="12"/>
      <c r="K73" s="14" t="str">
        <f t="shared" si="1"/>
        <v>NO</v>
      </c>
      <c r="L73" s="12" t="s">
        <v>119</v>
      </c>
      <c r="M73" s="12" t="s">
        <v>481</v>
      </c>
      <c r="N73" s="12" t="s">
        <v>482</v>
      </c>
      <c r="O73" s="12" t="s">
        <v>483</v>
      </c>
    </row>
    <row r="74" spans="1:15" ht="41.5" customHeight="1" x14ac:dyDescent="0.35">
      <c r="A74" s="11">
        <v>69</v>
      </c>
      <c r="B74" s="12" t="s">
        <v>484</v>
      </c>
      <c r="C74" s="12" t="s">
        <v>485</v>
      </c>
      <c r="D74" s="11">
        <v>2026</v>
      </c>
      <c r="E74" s="12" t="s">
        <v>486</v>
      </c>
      <c r="F74" s="12" t="s">
        <v>386</v>
      </c>
      <c r="G74" s="11" t="s">
        <v>125</v>
      </c>
      <c r="H74" s="11"/>
      <c r="I74" s="11"/>
      <c r="J74" s="12"/>
      <c r="K74" s="14" t="str">
        <f t="shared" si="1"/>
        <v>NO</v>
      </c>
      <c r="L74" s="12" t="s">
        <v>119</v>
      </c>
      <c r="M74" s="12" t="s">
        <v>487</v>
      </c>
      <c r="N74" s="12" t="s">
        <v>488</v>
      </c>
      <c r="O74" s="12" t="s">
        <v>489</v>
      </c>
    </row>
    <row r="75" spans="1:15" ht="41.5" customHeight="1" x14ac:dyDescent="0.35">
      <c r="A75" s="11">
        <v>70</v>
      </c>
      <c r="B75" s="12" t="s">
        <v>490</v>
      </c>
      <c r="C75" s="12" t="s">
        <v>491</v>
      </c>
      <c r="D75" s="11">
        <v>2025</v>
      </c>
      <c r="E75" s="12" t="s">
        <v>212</v>
      </c>
      <c r="F75" s="12" t="s">
        <v>386</v>
      </c>
      <c r="G75" s="11" t="s">
        <v>118</v>
      </c>
      <c r="H75" s="11" t="s">
        <v>125</v>
      </c>
      <c r="I75" s="11"/>
      <c r="J75" s="12"/>
      <c r="K75" s="14" t="str">
        <f t="shared" si="1"/>
        <v>NO</v>
      </c>
      <c r="L75" s="12" t="s">
        <v>119</v>
      </c>
      <c r="M75" s="12" t="s">
        <v>492</v>
      </c>
      <c r="N75" s="12" t="s">
        <v>493</v>
      </c>
      <c r="O75" s="12" t="s">
        <v>494</v>
      </c>
    </row>
    <row r="76" spans="1:15" ht="29" customHeight="1" x14ac:dyDescent="0.35">
      <c r="A76" s="11">
        <v>71</v>
      </c>
      <c r="B76" s="12" t="s">
        <v>495</v>
      </c>
      <c r="C76" s="12" t="s">
        <v>396</v>
      </c>
      <c r="D76" s="11">
        <v>2023</v>
      </c>
      <c r="E76" s="12" t="s">
        <v>496</v>
      </c>
      <c r="F76" s="12" t="s">
        <v>386</v>
      </c>
      <c r="G76" s="11" t="s">
        <v>118</v>
      </c>
      <c r="H76" s="11" t="s">
        <v>118</v>
      </c>
      <c r="I76" s="11" t="s">
        <v>118</v>
      </c>
      <c r="J76" s="12"/>
      <c r="K76" s="14" t="str">
        <f t="shared" si="1"/>
        <v>YES</v>
      </c>
      <c r="L76" s="12" t="s">
        <v>119</v>
      </c>
      <c r="M76" s="12"/>
      <c r="N76" s="12" t="s">
        <v>497</v>
      </c>
      <c r="O76" s="12" t="s">
        <v>498</v>
      </c>
    </row>
    <row r="77" spans="1:15" ht="29" customHeight="1" x14ac:dyDescent="0.35">
      <c r="A77" s="11">
        <v>72</v>
      </c>
      <c r="B77" s="12" t="s">
        <v>448</v>
      </c>
      <c r="C77" s="12" t="s">
        <v>449</v>
      </c>
      <c r="D77" s="11">
        <v>2022</v>
      </c>
      <c r="E77" s="12" t="s">
        <v>172</v>
      </c>
      <c r="F77" s="12" t="s">
        <v>386</v>
      </c>
      <c r="G77" s="11" t="s">
        <v>118</v>
      </c>
      <c r="H77" s="11" t="s">
        <v>118</v>
      </c>
      <c r="I77" s="11" t="s">
        <v>125</v>
      </c>
      <c r="J77" s="12" t="s">
        <v>274</v>
      </c>
      <c r="K77" s="14" t="str">
        <f t="shared" si="1"/>
        <v>NO</v>
      </c>
      <c r="L77" s="12" t="s">
        <v>119</v>
      </c>
      <c r="M77" s="12" t="s">
        <v>499</v>
      </c>
      <c r="N77" s="12" t="s">
        <v>500</v>
      </c>
      <c r="O77" s="12" t="s">
        <v>501</v>
      </c>
    </row>
    <row r="78" spans="1:15" ht="41.5" customHeight="1" x14ac:dyDescent="0.35">
      <c r="A78" s="11">
        <v>73</v>
      </c>
      <c r="B78" s="12" t="s">
        <v>502</v>
      </c>
      <c r="C78" s="12" t="s">
        <v>503</v>
      </c>
      <c r="D78" s="11">
        <v>2022</v>
      </c>
      <c r="E78" s="12" t="s">
        <v>504</v>
      </c>
      <c r="F78" s="12" t="s">
        <v>386</v>
      </c>
      <c r="G78" s="11" t="s">
        <v>118</v>
      </c>
      <c r="H78" s="11" t="s">
        <v>118</v>
      </c>
      <c r="I78" s="11" t="s">
        <v>118</v>
      </c>
      <c r="J78" s="12"/>
      <c r="K78" s="14" t="str">
        <f t="shared" si="1"/>
        <v>YES</v>
      </c>
      <c r="L78" s="12" t="s">
        <v>119</v>
      </c>
      <c r="M78" s="12"/>
      <c r="N78" s="12" t="s">
        <v>505</v>
      </c>
      <c r="O78" s="12" t="s">
        <v>506</v>
      </c>
    </row>
    <row r="79" spans="1:15" ht="29" customHeight="1" x14ac:dyDescent="0.35">
      <c r="A79" s="11">
        <v>74</v>
      </c>
      <c r="B79" s="12" t="s">
        <v>507</v>
      </c>
      <c r="C79" s="12" t="s">
        <v>508</v>
      </c>
      <c r="D79" s="11">
        <v>2020</v>
      </c>
      <c r="E79" s="12" t="s">
        <v>509</v>
      </c>
      <c r="F79" s="12" t="s">
        <v>510</v>
      </c>
      <c r="G79" s="11" t="s">
        <v>118</v>
      </c>
      <c r="H79" s="11" t="s">
        <v>118</v>
      </c>
      <c r="I79" s="11" t="s">
        <v>118</v>
      </c>
      <c r="J79" s="12"/>
      <c r="K79" s="14" t="str">
        <f t="shared" si="1"/>
        <v>YES</v>
      </c>
      <c r="L79" s="12" t="s">
        <v>119</v>
      </c>
      <c r="M79" s="12"/>
      <c r="N79" s="12" t="s">
        <v>511</v>
      </c>
      <c r="O79" s="12" t="s">
        <v>512</v>
      </c>
    </row>
    <row r="80" spans="1:15" ht="29" customHeight="1" x14ac:dyDescent="0.35">
      <c r="A80" s="11">
        <v>75</v>
      </c>
      <c r="B80" s="12" t="s">
        <v>513</v>
      </c>
      <c r="C80" s="12" t="s">
        <v>508</v>
      </c>
      <c r="D80" s="11">
        <v>2023</v>
      </c>
      <c r="E80" s="12" t="s">
        <v>514</v>
      </c>
      <c r="F80" s="12" t="s">
        <v>510</v>
      </c>
      <c r="G80" s="11" t="s">
        <v>118</v>
      </c>
      <c r="H80" s="11" t="s">
        <v>118</v>
      </c>
      <c r="I80" s="11" t="s">
        <v>118</v>
      </c>
      <c r="J80" s="12"/>
      <c r="K80" s="14" t="str">
        <f t="shared" si="1"/>
        <v>YES</v>
      </c>
      <c r="L80" s="12" t="s">
        <v>119</v>
      </c>
      <c r="M80" s="12"/>
      <c r="N80" s="12" t="s">
        <v>515</v>
      </c>
      <c r="O80" s="12" t="s">
        <v>516</v>
      </c>
    </row>
    <row r="81" spans="1:15" ht="29" customHeight="1" x14ac:dyDescent="0.35">
      <c r="A81" s="11">
        <v>76</v>
      </c>
      <c r="B81" s="12" t="s">
        <v>517</v>
      </c>
      <c r="C81" s="12" t="s">
        <v>518</v>
      </c>
      <c r="D81" s="11">
        <v>2021</v>
      </c>
      <c r="E81" s="12" t="s">
        <v>519</v>
      </c>
      <c r="F81" s="12" t="s">
        <v>510</v>
      </c>
      <c r="G81" s="11" t="s">
        <v>118</v>
      </c>
      <c r="H81" s="11" t="s">
        <v>118</v>
      </c>
      <c r="I81" s="11" t="s">
        <v>118</v>
      </c>
      <c r="J81" s="12"/>
      <c r="K81" s="14" t="str">
        <f t="shared" si="1"/>
        <v>YES</v>
      </c>
      <c r="L81" s="12" t="s">
        <v>119</v>
      </c>
      <c r="M81" s="12"/>
      <c r="N81" s="12" t="s">
        <v>520</v>
      </c>
      <c r="O81" s="12" t="s">
        <v>521</v>
      </c>
    </row>
    <row r="82" spans="1:15" ht="29" customHeight="1" x14ac:dyDescent="0.35">
      <c r="A82" s="11">
        <v>77</v>
      </c>
      <c r="B82" s="12" t="s">
        <v>522</v>
      </c>
      <c r="C82" s="12" t="s">
        <v>523</v>
      </c>
      <c r="D82" s="11">
        <v>2020</v>
      </c>
      <c r="E82" s="12" t="s">
        <v>524</v>
      </c>
      <c r="F82" s="12" t="s">
        <v>510</v>
      </c>
      <c r="G82" s="11" t="s">
        <v>118</v>
      </c>
      <c r="H82" s="11" t="s">
        <v>118</v>
      </c>
      <c r="I82" s="11" t="s">
        <v>118</v>
      </c>
      <c r="J82" s="12"/>
      <c r="K82" s="14" t="str">
        <f t="shared" si="1"/>
        <v>YES</v>
      </c>
      <c r="L82" s="12" t="s">
        <v>119</v>
      </c>
      <c r="M82" s="12"/>
      <c r="N82" s="12" t="s">
        <v>525</v>
      </c>
      <c r="O82" s="12" t="s">
        <v>526</v>
      </c>
    </row>
    <row r="83" spans="1:15" ht="29" customHeight="1" x14ac:dyDescent="0.35">
      <c r="A83" s="11">
        <v>78</v>
      </c>
      <c r="B83" s="12" t="s">
        <v>527</v>
      </c>
      <c r="C83" s="12" t="s">
        <v>528</v>
      </c>
      <c r="D83" s="11">
        <v>2020</v>
      </c>
      <c r="E83" s="12" t="s">
        <v>524</v>
      </c>
      <c r="F83" s="12" t="s">
        <v>510</v>
      </c>
      <c r="G83" s="11" t="s">
        <v>118</v>
      </c>
      <c r="H83" s="11" t="s">
        <v>118</v>
      </c>
      <c r="I83" s="11" t="s">
        <v>118</v>
      </c>
      <c r="J83" s="12"/>
      <c r="K83" s="14" t="str">
        <f t="shared" si="1"/>
        <v>YES</v>
      </c>
      <c r="L83" s="12" t="s">
        <v>119</v>
      </c>
      <c r="M83" s="12"/>
      <c r="N83" s="12" t="s">
        <v>529</v>
      </c>
      <c r="O83" s="12" t="s">
        <v>530</v>
      </c>
    </row>
    <row r="84" spans="1:15" ht="41.5" customHeight="1" x14ac:dyDescent="0.35">
      <c r="A84" s="11">
        <v>79</v>
      </c>
      <c r="B84" s="12" t="s">
        <v>531</v>
      </c>
      <c r="C84" s="12" t="s">
        <v>532</v>
      </c>
      <c r="D84" s="11">
        <v>2021</v>
      </c>
      <c r="E84" s="12" t="s">
        <v>533</v>
      </c>
      <c r="F84" s="12" t="s">
        <v>510</v>
      </c>
      <c r="G84" s="11" t="s">
        <v>118</v>
      </c>
      <c r="H84" s="11" t="s">
        <v>118</v>
      </c>
      <c r="I84" s="11" t="s">
        <v>118</v>
      </c>
      <c r="J84" s="12"/>
      <c r="K84" s="14" t="str">
        <f t="shared" si="1"/>
        <v>YES</v>
      </c>
      <c r="L84" s="12" t="s">
        <v>119</v>
      </c>
      <c r="M84" s="12"/>
      <c r="N84" s="12" t="s">
        <v>534</v>
      </c>
      <c r="O84" s="12" t="s">
        <v>535</v>
      </c>
    </row>
    <row r="85" spans="1:15" ht="29" customHeight="1" x14ac:dyDescent="0.35">
      <c r="A85" s="11">
        <v>80</v>
      </c>
      <c r="B85" s="12" t="s">
        <v>536</v>
      </c>
      <c r="C85" s="12" t="s">
        <v>537</v>
      </c>
      <c r="D85" s="11">
        <v>2020</v>
      </c>
      <c r="E85" s="12" t="s">
        <v>538</v>
      </c>
      <c r="F85" s="12" t="s">
        <v>510</v>
      </c>
      <c r="G85" s="11" t="s">
        <v>118</v>
      </c>
      <c r="H85" s="11" t="s">
        <v>118</v>
      </c>
      <c r="I85" s="11" t="s">
        <v>118</v>
      </c>
      <c r="J85" s="12"/>
      <c r="K85" s="14" t="str">
        <f t="shared" si="1"/>
        <v>YES</v>
      </c>
      <c r="L85" s="12" t="s">
        <v>119</v>
      </c>
      <c r="M85" s="12"/>
      <c r="N85" s="12" t="s">
        <v>539</v>
      </c>
      <c r="O85" s="12" t="s">
        <v>540</v>
      </c>
    </row>
    <row r="86" spans="1:15" ht="29" customHeight="1" x14ac:dyDescent="0.35">
      <c r="A86" s="11">
        <v>81</v>
      </c>
      <c r="B86" s="12" t="s">
        <v>541</v>
      </c>
      <c r="C86" s="12" t="s">
        <v>542</v>
      </c>
      <c r="D86" s="11">
        <v>2025</v>
      </c>
      <c r="E86" s="12" t="s">
        <v>543</v>
      </c>
      <c r="F86" s="12" t="s">
        <v>510</v>
      </c>
      <c r="G86" s="11" t="s">
        <v>118</v>
      </c>
      <c r="H86" s="11" t="s">
        <v>118</v>
      </c>
      <c r="I86" s="11" t="s">
        <v>118</v>
      </c>
      <c r="J86" s="12"/>
      <c r="K86" s="14" t="str">
        <f t="shared" si="1"/>
        <v>YES</v>
      </c>
      <c r="L86" s="12" t="s">
        <v>119</v>
      </c>
      <c r="M86" s="12"/>
      <c r="N86" s="12" t="s">
        <v>544</v>
      </c>
      <c r="O86" s="12" t="s">
        <v>545</v>
      </c>
    </row>
    <row r="87" spans="1:15" ht="29" customHeight="1" x14ac:dyDescent="0.35">
      <c r="A87" s="11">
        <v>82</v>
      </c>
      <c r="B87" s="12" t="s">
        <v>546</v>
      </c>
      <c r="C87" s="12" t="s">
        <v>547</v>
      </c>
      <c r="D87" s="11">
        <v>2022</v>
      </c>
      <c r="E87" s="12" t="s">
        <v>548</v>
      </c>
      <c r="F87" s="12" t="s">
        <v>510</v>
      </c>
      <c r="G87" s="11" t="s">
        <v>118</v>
      </c>
      <c r="H87" s="11" t="s">
        <v>118</v>
      </c>
      <c r="I87" s="11" t="s">
        <v>118</v>
      </c>
      <c r="J87" s="12"/>
      <c r="K87" s="14" t="str">
        <f t="shared" si="1"/>
        <v>YES</v>
      </c>
      <c r="L87" s="12" t="s">
        <v>119</v>
      </c>
      <c r="M87" s="12"/>
      <c r="N87" s="12" t="s">
        <v>549</v>
      </c>
      <c r="O87" s="12" t="s">
        <v>550</v>
      </c>
    </row>
    <row r="88" spans="1:15" ht="29" customHeight="1" x14ac:dyDescent="0.35">
      <c r="A88" s="11">
        <v>83</v>
      </c>
      <c r="B88" s="12" t="s">
        <v>517</v>
      </c>
      <c r="C88" s="12" t="s">
        <v>518</v>
      </c>
      <c r="D88" s="11">
        <v>2021</v>
      </c>
      <c r="E88" s="12" t="s">
        <v>143</v>
      </c>
      <c r="F88" s="12" t="s">
        <v>510</v>
      </c>
      <c r="G88" s="11" t="s">
        <v>118</v>
      </c>
      <c r="H88" s="11" t="s">
        <v>118</v>
      </c>
      <c r="I88" s="11" t="s">
        <v>125</v>
      </c>
      <c r="J88" s="12" t="s">
        <v>274</v>
      </c>
      <c r="K88" s="14" t="str">
        <f t="shared" si="1"/>
        <v>NO</v>
      </c>
      <c r="L88" s="12" t="s">
        <v>119</v>
      </c>
      <c r="M88" s="12" t="s">
        <v>551</v>
      </c>
      <c r="N88" s="12" t="s">
        <v>552</v>
      </c>
      <c r="O88" s="12" t="s">
        <v>553</v>
      </c>
    </row>
    <row r="89" spans="1:15" ht="41.5" customHeight="1" x14ac:dyDescent="0.35">
      <c r="A89" s="11">
        <v>84</v>
      </c>
      <c r="B89" s="12" t="s">
        <v>554</v>
      </c>
      <c r="C89" s="12" t="s">
        <v>537</v>
      </c>
      <c r="D89" s="11">
        <v>2021</v>
      </c>
      <c r="E89" s="12" t="s">
        <v>392</v>
      </c>
      <c r="F89" s="12" t="s">
        <v>510</v>
      </c>
      <c r="G89" s="11" t="s">
        <v>118</v>
      </c>
      <c r="H89" s="11" t="s">
        <v>118</v>
      </c>
      <c r="I89" s="11" t="s">
        <v>118</v>
      </c>
      <c r="J89" s="12"/>
      <c r="K89" s="14" t="str">
        <f t="shared" si="1"/>
        <v>YES</v>
      </c>
      <c r="L89" s="12" t="s">
        <v>119</v>
      </c>
      <c r="M89" s="12"/>
      <c r="N89" s="12" t="s">
        <v>555</v>
      </c>
      <c r="O89" s="12" t="s">
        <v>556</v>
      </c>
    </row>
    <row r="90" spans="1:15" ht="41.5" customHeight="1" x14ac:dyDescent="0.35">
      <c r="A90" s="11">
        <v>85</v>
      </c>
      <c r="B90" s="12" t="s">
        <v>557</v>
      </c>
      <c r="C90" s="12" t="s">
        <v>558</v>
      </c>
      <c r="D90" s="11">
        <v>2022</v>
      </c>
      <c r="E90" s="12" t="s">
        <v>548</v>
      </c>
      <c r="F90" s="12" t="s">
        <v>510</v>
      </c>
      <c r="G90" s="11" t="s">
        <v>118</v>
      </c>
      <c r="H90" s="11" t="s">
        <v>118</v>
      </c>
      <c r="I90" s="11" t="s">
        <v>118</v>
      </c>
      <c r="J90" s="12"/>
      <c r="K90" s="14" t="str">
        <f t="shared" si="1"/>
        <v>YES</v>
      </c>
      <c r="L90" s="12" t="s">
        <v>119</v>
      </c>
      <c r="M90" s="12"/>
      <c r="N90" s="12" t="s">
        <v>559</v>
      </c>
      <c r="O90" s="12" t="s">
        <v>560</v>
      </c>
    </row>
    <row r="91" spans="1:15" ht="29" customHeight="1" x14ac:dyDescent="0.35">
      <c r="A91" s="11">
        <v>86</v>
      </c>
      <c r="B91" s="12" t="s">
        <v>561</v>
      </c>
      <c r="C91" s="12" t="s">
        <v>562</v>
      </c>
      <c r="D91" s="11">
        <v>2024</v>
      </c>
      <c r="E91" s="12" t="s">
        <v>563</v>
      </c>
      <c r="F91" s="12" t="s">
        <v>510</v>
      </c>
      <c r="G91" s="11" t="s">
        <v>118</v>
      </c>
      <c r="H91" s="11" t="s">
        <v>118</v>
      </c>
      <c r="I91" s="11" t="s">
        <v>118</v>
      </c>
      <c r="J91" s="12"/>
      <c r="K91" s="14" t="str">
        <f t="shared" si="1"/>
        <v>YES</v>
      </c>
      <c r="L91" s="12" t="s">
        <v>119</v>
      </c>
      <c r="M91" s="12"/>
      <c r="N91" s="12" t="s">
        <v>564</v>
      </c>
      <c r="O91" s="12" t="s">
        <v>565</v>
      </c>
    </row>
    <row r="92" spans="1:15" ht="29" customHeight="1" x14ac:dyDescent="0.35">
      <c r="A92" s="11">
        <v>87</v>
      </c>
      <c r="B92" s="12" t="s">
        <v>566</v>
      </c>
      <c r="C92" s="12" t="s">
        <v>528</v>
      </c>
      <c r="D92" s="11">
        <v>2021</v>
      </c>
      <c r="E92" s="12" t="s">
        <v>567</v>
      </c>
      <c r="F92" s="12" t="s">
        <v>510</v>
      </c>
      <c r="G92" s="11" t="s">
        <v>118</v>
      </c>
      <c r="H92" s="11" t="s">
        <v>118</v>
      </c>
      <c r="I92" s="11" t="s">
        <v>118</v>
      </c>
      <c r="J92" s="12"/>
      <c r="K92" s="14" t="str">
        <f t="shared" si="1"/>
        <v>YES</v>
      </c>
      <c r="L92" s="12" t="s">
        <v>119</v>
      </c>
      <c r="M92" s="12"/>
      <c r="N92" s="12" t="s">
        <v>568</v>
      </c>
      <c r="O92" s="12" t="s">
        <v>569</v>
      </c>
    </row>
    <row r="93" spans="1:15" ht="54" customHeight="1" x14ac:dyDescent="0.35">
      <c r="A93" s="11">
        <v>88</v>
      </c>
      <c r="B93" s="12" t="s">
        <v>570</v>
      </c>
      <c r="C93" s="12" t="s">
        <v>558</v>
      </c>
      <c r="D93" s="11">
        <v>2023</v>
      </c>
      <c r="E93" s="12" t="s">
        <v>571</v>
      </c>
      <c r="F93" s="12" t="s">
        <v>510</v>
      </c>
      <c r="G93" s="11" t="s">
        <v>125</v>
      </c>
      <c r="H93" s="11"/>
      <c r="I93" s="11"/>
      <c r="J93" s="12"/>
      <c r="K93" s="14" t="str">
        <f t="shared" si="1"/>
        <v>NO</v>
      </c>
      <c r="L93" s="12" t="s">
        <v>119</v>
      </c>
      <c r="M93" s="12" t="s">
        <v>572</v>
      </c>
      <c r="N93" s="12" t="s">
        <v>573</v>
      </c>
      <c r="O93" s="12" t="s">
        <v>574</v>
      </c>
    </row>
    <row r="94" spans="1:15" ht="41.5" customHeight="1" x14ac:dyDescent="0.35">
      <c r="A94" s="11">
        <v>89</v>
      </c>
      <c r="B94" s="12" t="s">
        <v>575</v>
      </c>
      <c r="C94" s="12" t="s">
        <v>542</v>
      </c>
      <c r="D94" s="11">
        <v>2023</v>
      </c>
      <c r="E94" s="12" t="s">
        <v>302</v>
      </c>
      <c r="F94" s="12" t="s">
        <v>510</v>
      </c>
      <c r="G94" s="11" t="s">
        <v>118</v>
      </c>
      <c r="H94" s="11" t="s">
        <v>118</v>
      </c>
      <c r="I94" s="11" t="s">
        <v>125</v>
      </c>
      <c r="J94" s="12" t="s">
        <v>296</v>
      </c>
      <c r="K94" s="14" t="str">
        <f t="shared" si="1"/>
        <v>NO</v>
      </c>
      <c r="L94" s="12" t="s">
        <v>119</v>
      </c>
      <c r="M94" s="12" t="s">
        <v>576</v>
      </c>
      <c r="N94" s="12" t="s">
        <v>577</v>
      </c>
      <c r="O94" s="12" t="s">
        <v>578</v>
      </c>
    </row>
    <row r="95" spans="1:15" ht="29" customHeight="1" x14ac:dyDescent="0.35">
      <c r="A95" s="11">
        <v>90</v>
      </c>
      <c r="B95" s="12" t="s">
        <v>579</v>
      </c>
      <c r="C95" s="12" t="s">
        <v>580</v>
      </c>
      <c r="D95" s="11">
        <v>2022</v>
      </c>
      <c r="E95" s="12" t="s">
        <v>581</v>
      </c>
      <c r="F95" s="12" t="s">
        <v>510</v>
      </c>
      <c r="G95" s="11" t="s">
        <v>118</v>
      </c>
      <c r="H95" s="11" t="s">
        <v>118</v>
      </c>
      <c r="I95" s="11" t="s">
        <v>118</v>
      </c>
      <c r="J95" s="12"/>
      <c r="K95" s="14" t="str">
        <f t="shared" si="1"/>
        <v>YES</v>
      </c>
      <c r="L95" s="12" t="s">
        <v>119</v>
      </c>
      <c r="M95" s="12"/>
      <c r="N95" s="12" t="s">
        <v>582</v>
      </c>
      <c r="O95" s="12" t="s">
        <v>583</v>
      </c>
    </row>
    <row r="96" spans="1:15" ht="29" customHeight="1" x14ac:dyDescent="0.35">
      <c r="A96" s="11">
        <v>91</v>
      </c>
      <c r="B96" s="12" t="s">
        <v>584</v>
      </c>
      <c r="C96" s="12" t="s">
        <v>585</v>
      </c>
      <c r="D96" s="11">
        <v>2022</v>
      </c>
      <c r="E96" s="12" t="s">
        <v>414</v>
      </c>
      <c r="F96" s="12" t="s">
        <v>510</v>
      </c>
      <c r="G96" s="11" t="s">
        <v>118</v>
      </c>
      <c r="H96" s="11" t="s">
        <v>118</v>
      </c>
      <c r="I96" s="11" t="s">
        <v>118</v>
      </c>
      <c r="J96" s="12"/>
      <c r="K96" s="14" t="str">
        <f t="shared" si="1"/>
        <v>YES</v>
      </c>
      <c r="L96" s="12" t="s">
        <v>119</v>
      </c>
      <c r="M96" s="12"/>
      <c r="N96" s="12" t="s">
        <v>586</v>
      </c>
      <c r="O96" s="12" t="s">
        <v>587</v>
      </c>
    </row>
    <row r="97" spans="1:15" ht="29" customHeight="1" x14ac:dyDescent="0.35">
      <c r="A97" s="11">
        <v>92</v>
      </c>
      <c r="B97" s="12" t="s">
        <v>588</v>
      </c>
      <c r="C97" s="12" t="s">
        <v>589</v>
      </c>
      <c r="D97" s="11">
        <v>2021</v>
      </c>
      <c r="E97" s="12" t="s">
        <v>567</v>
      </c>
      <c r="F97" s="12" t="s">
        <v>510</v>
      </c>
      <c r="G97" s="11" t="s">
        <v>118</v>
      </c>
      <c r="H97" s="11" t="s">
        <v>118</v>
      </c>
      <c r="I97" s="11" t="s">
        <v>118</v>
      </c>
      <c r="J97" s="12"/>
      <c r="K97" s="14" t="str">
        <f t="shared" si="1"/>
        <v>YES</v>
      </c>
      <c r="L97" s="12" t="s">
        <v>119</v>
      </c>
      <c r="M97" s="12"/>
      <c r="N97" s="12" t="s">
        <v>590</v>
      </c>
      <c r="O97" s="12" t="s">
        <v>591</v>
      </c>
    </row>
    <row r="98" spans="1:15" ht="29" customHeight="1" x14ac:dyDescent="0.35">
      <c r="A98" s="11">
        <v>93</v>
      </c>
      <c r="B98" s="12" t="s">
        <v>592</v>
      </c>
      <c r="C98" s="12" t="s">
        <v>593</v>
      </c>
      <c r="D98" s="11">
        <v>2024</v>
      </c>
      <c r="E98" s="12" t="s">
        <v>212</v>
      </c>
      <c r="F98" s="12" t="s">
        <v>510</v>
      </c>
      <c r="G98" s="11" t="s">
        <v>125</v>
      </c>
      <c r="H98" s="11"/>
      <c r="I98" s="11"/>
      <c r="J98" s="12"/>
      <c r="K98" s="14" t="str">
        <f t="shared" si="1"/>
        <v>NO</v>
      </c>
      <c r="L98" s="12" t="s">
        <v>119</v>
      </c>
      <c r="M98" s="12" t="s">
        <v>594</v>
      </c>
      <c r="N98" s="12" t="s">
        <v>595</v>
      </c>
      <c r="O98" s="12" t="s">
        <v>596</v>
      </c>
    </row>
    <row r="99" spans="1:15" ht="41.5" customHeight="1" x14ac:dyDescent="0.35">
      <c r="A99" s="11">
        <v>94</v>
      </c>
      <c r="B99" s="12" t="s">
        <v>597</v>
      </c>
      <c r="C99" s="12" t="s">
        <v>598</v>
      </c>
      <c r="D99" s="11">
        <v>2022</v>
      </c>
      <c r="E99" s="12" t="s">
        <v>264</v>
      </c>
      <c r="F99" s="12" t="s">
        <v>510</v>
      </c>
      <c r="G99" s="11" t="s">
        <v>118</v>
      </c>
      <c r="H99" s="11" t="s">
        <v>118</v>
      </c>
      <c r="I99" s="11" t="s">
        <v>118</v>
      </c>
      <c r="J99" s="12"/>
      <c r="K99" s="14" t="str">
        <f t="shared" si="1"/>
        <v>YES</v>
      </c>
      <c r="L99" s="12" t="s">
        <v>119</v>
      </c>
      <c r="M99" s="12"/>
      <c r="N99" s="12" t="s">
        <v>599</v>
      </c>
      <c r="O99" s="12" t="s">
        <v>600</v>
      </c>
    </row>
    <row r="100" spans="1:15" ht="29" customHeight="1" x14ac:dyDescent="0.35">
      <c r="A100" s="11">
        <v>95</v>
      </c>
      <c r="B100" s="12" t="s">
        <v>601</v>
      </c>
      <c r="C100" s="12" t="s">
        <v>602</v>
      </c>
      <c r="D100" s="11">
        <v>2021</v>
      </c>
      <c r="E100" s="12" t="s">
        <v>603</v>
      </c>
      <c r="F100" s="12" t="s">
        <v>510</v>
      </c>
      <c r="G100" s="11" t="s">
        <v>118</v>
      </c>
      <c r="H100" s="11" t="s">
        <v>118</v>
      </c>
      <c r="I100" s="11" t="s">
        <v>118</v>
      </c>
      <c r="J100" s="12"/>
      <c r="K100" s="14" t="str">
        <f t="shared" si="1"/>
        <v>YES</v>
      </c>
      <c r="L100" s="12" t="s">
        <v>119</v>
      </c>
      <c r="M100" s="12"/>
      <c r="N100" s="12" t="s">
        <v>604</v>
      </c>
      <c r="O100" s="12" t="s">
        <v>605</v>
      </c>
    </row>
    <row r="101" spans="1:15" ht="29" customHeight="1" x14ac:dyDescent="0.35">
      <c r="A101" s="11">
        <v>96</v>
      </c>
      <c r="B101" s="12" t="s">
        <v>606</v>
      </c>
      <c r="C101" s="12" t="s">
        <v>607</v>
      </c>
      <c r="D101" s="11">
        <v>2024</v>
      </c>
      <c r="E101" s="12" t="s">
        <v>608</v>
      </c>
      <c r="F101" s="12" t="s">
        <v>510</v>
      </c>
      <c r="G101" s="11" t="s">
        <v>118</v>
      </c>
      <c r="H101" s="11" t="s">
        <v>118</v>
      </c>
      <c r="I101" s="11" t="s">
        <v>118</v>
      </c>
      <c r="J101" s="12"/>
      <c r="K101" s="14" t="str">
        <f t="shared" si="1"/>
        <v>YES</v>
      </c>
      <c r="L101" s="12" t="s">
        <v>119</v>
      </c>
      <c r="M101" s="12"/>
      <c r="N101" s="12" t="s">
        <v>609</v>
      </c>
      <c r="O101" s="12" t="s">
        <v>610</v>
      </c>
    </row>
    <row r="102" spans="1:15" ht="29" customHeight="1" x14ac:dyDescent="0.35">
      <c r="A102" s="11">
        <v>97</v>
      </c>
      <c r="B102" s="12" t="s">
        <v>611</v>
      </c>
      <c r="C102" s="12" t="s">
        <v>612</v>
      </c>
      <c r="D102" s="11">
        <v>2025</v>
      </c>
      <c r="E102" s="12" t="s">
        <v>360</v>
      </c>
      <c r="F102" s="12" t="s">
        <v>510</v>
      </c>
      <c r="G102" s="11" t="s">
        <v>118</v>
      </c>
      <c r="H102" s="11" t="s">
        <v>118</v>
      </c>
      <c r="I102" s="11" t="s">
        <v>118</v>
      </c>
      <c r="J102" s="12"/>
      <c r="K102" s="14" t="str">
        <f t="shared" si="1"/>
        <v>YES</v>
      </c>
      <c r="L102" s="12" t="s">
        <v>119</v>
      </c>
      <c r="M102" s="12"/>
      <c r="N102" s="12" t="s">
        <v>613</v>
      </c>
      <c r="O102" s="12" t="s">
        <v>614</v>
      </c>
    </row>
    <row r="103" spans="1:15" ht="41.5" customHeight="1" x14ac:dyDescent="0.35">
      <c r="A103" s="11">
        <v>98</v>
      </c>
      <c r="B103" s="12" t="s">
        <v>615</v>
      </c>
      <c r="C103" s="12" t="s">
        <v>616</v>
      </c>
      <c r="D103" s="11">
        <v>2023</v>
      </c>
      <c r="E103" s="12" t="s">
        <v>617</v>
      </c>
      <c r="F103" s="12" t="s">
        <v>510</v>
      </c>
      <c r="G103" s="11" t="s">
        <v>118</v>
      </c>
      <c r="H103" s="11" t="s">
        <v>118</v>
      </c>
      <c r="I103" s="11" t="s">
        <v>125</v>
      </c>
      <c r="J103" s="12" t="s">
        <v>296</v>
      </c>
      <c r="K103" s="14" t="str">
        <f t="shared" si="1"/>
        <v>NO</v>
      </c>
      <c r="L103" s="12" t="s">
        <v>119</v>
      </c>
      <c r="M103" s="12" t="s">
        <v>618</v>
      </c>
      <c r="N103" s="12" t="s">
        <v>619</v>
      </c>
      <c r="O103" s="12" t="s">
        <v>620</v>
      </c>
    </row>
    <row r="104" spans="1:15" ht="24" customHeight="1" x14ac:dyDescent="0.35">
      <c r="A104" s="11">
        <v>99</v>
      </c>
      <c r="B104" s="12" t="s">
        <v>621</v>
      </c>
      <c r="C104" s="12" t="s">
        <v>622</v>
      </c>
      <c r="D104" s="11">
        <v>2018</v>
      </c>
      <c r="E104" s="12" t="s">
        <v>623</v>
      </c>
      <c r="F104" s="12" t="s">
        <v>624</v>
      </c>
      <c r="G104" s="11" t="s">
        <v>125</v>
      </c>
      <c r="H104" s="11"/>
      <c r="I104" s="11"/>
      <c r="J104" s="12"/>
      <c r="K104" s="14" t="str">
        <f t="shared" si="1"/>
        <v>NO</v>
      </c>
      <c r="L104" s="12" t="s">
        <v>119</v>
      </c>
      <c r="M104" s="12" t="s">
        <v>625</v>
      </c>
      <c r="N104" s="12" t="s">
        <v>626</v>
      </c>
      <c r="O104" s="12" t="s">
        <v>627</v>
      </c>
    </row>
    <row r="105" spans="1:15" ht="29" customHeight="1" x14ac:dyDescent="0.35">
      <c r="A105" s="11">
        <v>100</v>
      </c>
      <c r="B105" s="12" t="s">
        <v>628</v>
      </c>
      <c r="C105" s="12" t="s">
        <v>629</v>
      </c>
      <c r="D105" s="11">
        <v>2023</v>
      </c>
      <c r="E105" s="12" t="s">
        <v>630</v>
      </c>
      <c r="F105" s="12" t="s">
        <v>624</v>
      </c>
      <c r="G105" s="11" t="s">
        <v>125</v>
      </c>
      <c r="H105" s="11"/>
      <c r="I105" s="11"/>
      <c r="J105" s="12"/>
      <c r="K105" s="14" t="str">
        <f t="shared" si="1"/>
        <v>NO</v>
      </c>
      <c r="L105" s="12" t="s">
        <v>119</v>
      </c>
      <c r="M105" s="12" t="s">
        <v>631</v>
      </c>
      <c r="N105" s="12" t="s">
        <v>632</v>
      </c>
      <c r="O105" s="12" t="s">
        <v>633</v>
      </c>
    </row>
    <row r="106" spans="1:15" ht="29" customHeight="1" x14ac:dyDescent="0.35">
      <c r="A106" s="11">
        <v>101</v>
      </c>
      <c r="B106" s="12" t="s">
        <v>634</v>
      </c>
      <c r="C106" s="12" t="s">
        <v>635</v>
      </c>
      <c r="D106" s="11">
        <v>2020</v>
      </c>
      <c r="E106" s="12" t="s">
        <v>636</v>
      </c>
      <c r="F106" s="12" t="s">
        <v>624</v>
      </c>
      <c r="G106" s="11" t="s">
        <v>125</v>
      </c>
      <c r="H106" s="11"/>
      <c r="I106" s="11"/>
      <c r="J106" s="12"/>
      <c r="K106" s="14" t="str">
        <f t="shared" si="1"/>
        <v>NO</v>
      </c>
      <c r="L106" s="12" t="s">
        <v>119</v>
      </c>
      <c r="M106" s="12" t="s">
        <v>637</v>
      </c>
      <c r="N106" s="12" t="s">
        <v>638</v>
      </c>
      <c r="O106" s="12" t="s">
        <v>639</v>
      </c>
    </row>
    <row r="107" spans="1:15" ht="29" customHeight="1" x14ac:dyDescent="0.35">
      <c r="A107" s="11">
        <v>102</v>
      </c>
      <c r="B107" s="12" t="s">
        <v>640</v>
      </c>
      <c r="C107" s="12" t="s">
        <v>641</v>
      </c>
      <c r="D107" s="11">
        <v>2024</v>
      </c>
      <c r="E107" s="12" t="s">
        <v>172</v>
      </c>
      <c r="F107" s="12" t="s">
        <v>624</v>
      </c>
      <c r="G107" s="11" t="s">
        <v>125</v>
      </c>
      <c r="H107" s="11"/>
      <c r="I107" s="11"/>
      <c r="J107" s="12"/>
      <c r="K107" s="14" t="str">
        <f t="shared" si="1"/>
        <v>NO</v>
      </c>
      <c r="L107" s="12" t="s">
        <v>119</v>
      </c>
      <c r="M107" s="12" t="s">
        <v>642</v>
      </c>
      <c r="N107" s="12" t="s">
        <v>643</v>
      </c>
      <c r="O107" s="12" t="s">
        <v>644</v>
      </c>
    </row>
    <row r="108" spans="1:15" ht="29" customHeight="1" x14ac:dyDescent="0.35">
      <c r="A108" s="11">
        <v>103</v>
      </c>
      <c r="B108" s="12" t="s">
        <v>645</v>
      </c>
      <c r="C108" s="12" t="s">
        <v>646</v>
      </c>
      <c r="D108" s="11">
        <v>2017</v>
      </c>
      <c r="E108" s="12" t="s">
        <v>647</v>
      </c>
      <c r="F108" s="12" t="s">
        <v>624</v>
      </c>
      <c r="G108" s="11" t="s">
        <v>125</v>
      </c>
      <c r="H108" s="11"/>
      <c r="I108" s="11"/>
      <c r="J108" s="12"/>
      <c r="K108" s="14" t="str">
        <f t="shared" si="1"/>
        <v>NO</v>
      </c>
      <c r="L108" s="12" t="s">
        <v>119</v>
      </c>
      <c r="M108" s="12" t="s">
        <v>648</v>
      </c>
      <c r="N108" s="12" t="s">
        <v>649</v>
      </c>
      <c r="O108" s="12" t="s">
        <v>650</v>
      </c>
    </row>
    <row r="109" spans="1:15" ht="29" customHeight="1" x14ac:dyDescent="0.35">
      <c r="A109" s="11">
        <v>104</v>
      </c>
      <c r="B109" s="12" t="s">
        <v>651</v>
      </c>
      <c r="C109" s="12" t="s">
        <v>652</v>
      </c>
      <c r="D109" s="11">
        <v>2025</v>
      </c>
      <c r="E109" s="12" t="s">
        <v>653</v>
      </c>
      <c r="F109" s="12" t="s">
        <v>624</v>
      </c>
      <c r="G109" s="11" t="s">
        <v>125</v>
      </c>
      <c r="H109" s="11"/>
      <c r="I109" s="11"/>
      <c r="J109" s="12"/>
      <c r="K109" s="14" t="str">
        <f t="shared" si="1"/>
        <v>NO</v>
      </c>
      <c r="L109" s="12" t="s">
        <v>119</v>
      </c>
      <c r="M109" s="12" t="s">
        <v>654</v>
      </c>
      <c r="N109" s="12" t="s">
        <v>655</v>
      </c>
      <c r="O109" s="12" t="s">
        <v>656</v>
      </c>
    </row>
    <row r="110" spans="1:15" ht="29" customHeight="1" x14ac:dyDescent="0.35">
      <c r="A110" s="11">
        <v>105</v>
      </c>
      <c r="B110" s="12" t="s">
        <v>657</v>
      </c>
      <c r="C110" s="12" t="s">
        <v>658</v>
      </c>
      <c r="D110" s="11">
        <v>2018</v>
      </c>
      <c r="E110" s="12" t="s">
        <v>659</v>
      </c>
      <c r="F110" s="12" t="s">
        <v>624</v>
      </c>
      <c r="G110" s="11" t="s">
        <v>125</v>
      </c>
      <c r="H110" s="11"/>
      <c r="I110" s="11"/>
      <c r="J110" s="12"/>
      <c r="K110" s="14" t="str">
        <f t="shared" si="1"/>
        <v>NO</v>
      </c>
      <c r="L110" s="12" t="s">
        <v>119</v>
      </c>
      <c r="M110" s="12" t="s">
        <v>660</v>
      </c>
      <c r="N110" s="12" t="s">
        <v>661</v>
      </c>
      <c r="O110" s="12" t="s">
        <v>662</v>
      </c>
    </row>
    <row r="111" spans="1:15" ht="29" customHeight="1" x14ac:dyDescent="0.35">
      <c r="A111" s="11">
        <v>106</v>
      </c>
      <c r="B111" s="12" t="s">
        <v>663</v>
      </c>
      <c r="C111" s="12" t="s">
        <v>664</v>
      </c>
      <c r="D111" s="11">
        <v>2025</v>
      </c>
      <c r="E111" s="12" t="s">
        <v>665</v>
      </c>
      <c r="F111" s="12" t="s">
        <v>624</v>
      </c>
      <c r="G111" s="11" t="s">
        <v>118</v>
      </c>
      <c r="H111" s="11" t="s">
        <v>125</v>
      </c>
      <c r="I111" s="11"/>
      <c r="J111" s="12"/>
      <c r="K111" s="14" t="str">
        <f t="shared" si="1"/>
        <v>NO</v>
      </c>
      <c r="L111" s="12" t="s">
        <v>119</v>
      </c>
      <c r="M111" s="12" t="s">
        <v>666</v>
      </c>
      <c r="N111" s="12" t="s">
        <v>667</v>
      </c>
      <c r="O111" s="12" t="s">
        <v>668</v>
      </c>
    </row>
    <row r="112" spans="1:15" ht="29" customHeight="1" x14ac:dyDescent="0.35">
      <c r="A112" s="11">
        <v>107</v>
      </c>
      <c r="B112" s="12" t="s">
        <v>669</v>
      </c>
      <c r="C112" s="12" t="s">
        <v>670</v>
      </c>
      <c r="D112" s="11">
        <v>2023</v>
      </c>
      <c r="E112" s="12" t="s">
        <v>671</v>
      </c>
      <c r="F112" s="12" t="s">
        <v>624</v>
      </c>
      <c r="G112" s="11" t="s">
        <v>118</v>
      </c>
      <c r="H112" s="11" t="s">
        <v>118</v>
      </c>
      <c r="I112" s="11" t="s">
        <v>118</v>
      </c>
      <c r="J112" s="12"/>
      <c r="K112" s="14" t="str">
        <f t="shared" si="1"/>
        <v>YES</v>
      </c>
      <c r="L112" s="12" t="s">
        <v>119</v>
      </c>
      <c r="M112" s="12"/>
      <c r="N112" s="12" t="s">
        <v>672</v>
      </c>
      <c r="O112" s="12" t="s">
        <v>673</v>
      </c>
    </row>
    <row r="113" spans="1:15" ht="54" customHeight="1" x14ac:dyDescent="0.35">
      <c r="A113" s="11">
        <v>108</v>
      </c>
      <c r="B113" s="12" t="s">
        <v>674</v>
      </c>
      <c r="C113" s="12" t="s">
        <v>675</v>
      </c>
      <c r="D113" s="11">
        <v>2024</v>
      </c>
      <c r="E113" s="12" t="s">
        <v>160</v>
      </c>
      <c r="F113" s="12" t="s">
        <v>624</v>
      </c>
      <c r="G113" s="11" t="s">
        <v>125</v>
      </c>
      <c r="H113" s="11"/>
      <c r="I113" s="11"/>
      <c r="J113" s="12"/>
      <c r="K113" s="14" t="str">
        <f t="shared" si="1"/>
        <v>NO</v>
      </c>
      <c r="L113" s="12" t="s">
        <v>119</v>
      </c>
      <c r="M113" s="12" t="s">
        <v>676</v>
      </c>
      <c r="N113" s="12" t="s">
        <v>677</v>
      </c>
      <c r="O113" s="12" t="s">
        <v>678</v>
      </c>
    </row>
    <row r="114" spans="1:15" ht="24" customHeight="1" x14ac:dyDescent="0.35">
      <c r="A114" s="11">
        <v>109</v>
      </c>
      <c r="B114" s="12" t="s">
        <v>679</v>
      </c>
      <c r="C114" s="12" t="s">
        <v>680</v>
      </c>
      <c r="D114" s="11">
        <v>2021</v>
      </c>
      <c r="E114" s="12" t="s">
        <v>212</v>
      </c>
      <c r="F114" s="12" t="s">
        <v>624</v>
      </c>
      <c r="G114" s="11" t="s">
        <v>125</v>
      </c>
      <c r="H114" s="11"/>
      <c r="I114" s="11"/>
      <c r="J114" s="12"/>
      <c r="K114" s="14" t="str">
        <f t="shared" si="1"/>
        <v>NO</v>
      </c>
      <c r="L114" s="12" t="s">
        <v>119</v>
      </c>
      <c r="M114" s="12" t="s">
        <v>681</v>
      </c>
      <c r="N114" s="12" t="s">
        <v>682</v>
      </c>
      <c r="O114" s="12" t="s">
        <v>683</v>
      </c>
    </row>
    <row r="115" spans="1:15" ht="29" customHeight="1" x14ac:dyDescent="0.35">
      <c r="A115" s="11">
        <v>110</v>
      </c>
      <c r="B115" s="12" t="s">
        <v>684</v>
      </c>
      <c r="C115" s="12" t="s">
        <v>685</v>
      </c>
      <c r="D115" s="11">
        <v>2022</v>
      </c>
      <c r="E115" s="12" t="s">
        <v>686</v>
      </c>
      <c r="F115" s="12" t="s">
        <v>624</v>
      </c>
      <c r="G115" s="11" t="s">
        <v>125</v>
      </c>
      <c r="H115" s="11"/>
      <c r="I115" s="11"/>
      <c r="J115" s="12"/>
      <c r="K115" s="14" t="str">
        <f t="shared" si="1"/>
        <v>NO</v>
      </c>
      <c r="L115" s="12" t="s">
        <v>119</v>
      </c>
      <c r="M115" s="12" t="s">
        <v>687</v>
      </c>
      <c r="N115" s="12" t="s">
        <v>688</v>
      </c>
      <c r="O115" s="12" t="s">
        <v>689</v>
      </c>
    </row>
    <row r="116" spans="1:15" ht="41.5" customHeight="1" x14ac:dyDescent="0.35">
      <c r="A116" s="11">
        <v>111</v>
      </c>
      <c r="B116" s="12" t="s">
        <v>690</v>
      </c>
      <c r="C116" s="12" t="s">
        <v>691</v>
      </c>
      <c r="D116" s="11">
        <v>2017</v>
      </c>
      <c r="E116" s="12" t="s">
        <v>692</v>
      </c>
      <c r="F116" s="12" t="s">
        <v>624</v>
      </c>
      <c r="G116" s="11" t="s">
        <v>125</v>
      </c>
      <c r="H116" s="11"/>
      <c r="I116" s="11"/>
      <c r="J116" s="12"/>
      <c r="K116" s="14" t="str">
        <f t="shared" si="1"/>
        <v>NO</v>
      </c>
      <c r="L116" s="12" t="s">
        <v>119</v>
      </c>
      <c r="M116" s="12" t="s">
        <v>637</v>
      </c>
      <c r="N116" s="12" t="s">
        <v>693</v>
      </c>
      <c r="O116" s="12" t="s">
        <v>694</v>
      </c>
    </row>
    <row r="117" spans="1:15" ht="29" customHeight="1" x14ac:dyDescent="0.35">
      <c r="A117" s="11">
        <v>112</v>
      </c>
      <c r="B117" s="12" t="s">
        <v>695</v>
      </c>
      <c r="C117" s="12" t="s">
        <v>696</v>
      </c>
      <c r="D117" s="11">
        <v>2023</v>
      </c>
      <c r="E117" s="12" t="s">
        <v>697</v>
      </c>
      <c r="F117" s="12" t="s">
        <v>624</v>
      </c>
      <c r="G117" s="11" t="s">
        <v>125</v>
      </c>
      <c r="H117" s="11"/>
      <c r="I117" s="11"/>
      <c r="J117" s="12"/>
      <c r="K117" s="14" t="str">
        <f t="shared" si="1"/>
        <v>NO</v>
      </c>
      <c r="L117" s="12" t="s">
        <v>119</v>
      </c>
      <c r="M117" s="12" t="s">
        <v>698</v>
      </c>
      <c r="N117" s="12" t="s">
        <v>699</v>
      </c>
      <c r="O117" s="12" t="s">
        <v>700</v>
      </c>
    </row>
    <row r="118" spans="1:15" ht="29" customHeight="1" x14ac:dyDescent="0.35">
      <c r="A118" s="11">
        <v>113</v>
      </c>
      <c r="B118" s="12" t="s">
        <v>701</v>
      </c>
      <c r="C118" s="12" t="s">
        <v>702</v>
      </c>
      <c r="D118" s="11">
        <v>2024</v>
      </c>
      <c r="E118" s="12" t="s">
        <v>703</v>
      </c>
      <c r="F118" s="12" t="s">
        <v>624</v>
      </c>
      <c r="G118" s="11" t="s">
        <v>125</v>
      </c>
      <c r="H118" s="11"/>
      <c r="I118" s="11"/>
      <c r="J118" s="12"/>
      <c r="K118" s="14" t="str">
        <f t="shared" si="1"/>
        <v>NO</v>
      </c>
      <c r="L118" s="12" t="s">
        <v>119</v>
      </c>
      <c r="M118" s="12" t="s">
        <v>704</v>
      </c>
      <c r="N118" s="12" t="s">
        <v>705</v>
      </c>
      <c r="O118" s="12" t="s">
        <v>706</v>
      </c>
    </row>
    <row r="119" spans="1:15" ht="41.5" customHeight="1" x14ac:dyDescent="0.35">
      <c r="A119" s="11">
        <v>114</v>
      </c>
      <c r="B119" s="12" t="s">
        <v>707</v>
      </c>
      <c r="C119" s="12" t="s">
        <v>708</v>
      </c>
      <c r="D119" s="11">
        <v>2023</v>
      </c>
      <c r="E119" s="12" t="s">
        <v>709</v>
      </c>
      <c r="F119" s="12" t="s">
        <v>624</v>
      </c>
      <c r="G119" s="11" t="s">
        <v>125</v>
      </c>
      <c r="H119" s="11"/>
      <c r="I119" s="11"/>
      <c r="J119" s="12"/>
      <c r="K119" s="14" t="str">
        <f t="shared" si="1"/>
        <v>NO</v>
      </c>
      <c r="L119" s="12" t="s">
        <v>119</v>
      </c>
      <c r="M119" s="12" t="s">
        <v>710</v>
      </c>
      <c r="N119" s="12" t="s">
        <v>711</v>
      </c>
      <c r="O119" s="12" t="s">
        <v>712</v>
      </c>
    </row>
    <row r="120" spans="1:15" ht="41.5" customHeight="1" x14ac:dyDescent="0.35">
      <c r="A120" s="11">
        <v>115</v>
      </c>
      <c r="B120" s="12" t="s">
        <v>713</v>
      </c>
      <c r="C120" s="12" t="s">
        <v>714</v>
      </c>
      <c r="D120" s="11">
        <v>2020</v>
      </c>
      <c r="E120" s="12" t="s">
        <v>715</v>
      </c>
      <c r="F120" s="12" t="s">
        <v>624</v>
      </c>
      <c r="G120" s="11" t="s">
        <v>125</v>
      </c>
      <c r="H120" s="11"/>
      <c r="I120" s="11"/>
      <c r="J120" s="12"/>
      <c r="K120" s="14" t="str">
        <f t="shared" si="1"/>
        <v>NO</v>
      </c>
      <c r="L120" s="12" t="s">
        <v>119</v>
      </c>
      <c r="M120" s="12" t="s">
        <v>716</v>
      </c>
      <c r="N120" s="12" t="s">
        <v>717</v>
      </c>
      <c r="O120" s="12" t="s">
        <v>718</v>
      </c>
    </row>
    <row r="121" spans="1:15" ht="29" customHeight="1" x14ac:dyDescent="0.35">
      <c r="A121" s="11">
        <v>116</v>
      </c>
      <c r="B121" s="12" t="s">
        <v>719</v>
      </c>
      <c r="C121" s="12" t="s">
        <v>720</v>
      </c>
      <c r="D121" s="11">
        <v>2025</v>
      </c>
      <c r="E121" s="12" t="s">
        <v>721</v>
      </c>
      <c r="F121" s="12" t="s">
        <v>624</v>
      </c>
      <c r="G121" s="11" t="s">
        <v>125</v>
      </c>
      <c r="H121" s="11"/>
      <c r="I121" s="11"/>
      <c r="J121" s="12"/>
      <c r="K121" s="14" t="str">
        <f t="shared" si="1"/>
        <v>NO</v>
      </c>
      <c r="L121" s="12" t="s">
        <v>119</v>
      </c>
      <c r="M121" s="12" t="s">
        <v>722</v>
      </c>
      <c r="N121" s="12" t="s">
        <v>723</v>
      </c>
      <c r="O121" s="12" t="s">
        <v>724</v>
      </c>
    </row>
    <row r="122" spans="1:15" ht="41.5" customHeight="1" x14ac:dyDescent="0.35">
      <c r="A122" s="11">
        <v>117</v>
      </c>
      <c r="B122" s="12" t="s">
        <v>725</v>
      </c>
      <c r="C122" s="12" t="s">
        <v>726</v>
      </c>
      <c r="D122" s="11">
        <v>2022</v>
      </c>
      <c r="E122" s="12" t="s">
        <v>154</v>
      </c>
      <c r="F122" s="12" t="s">
        <v>624</v>
      </c>
      <c r="G122" s="11" t="s">
        <v>125</v>
      </c>
      <c r="H122" s="11"/>
      <c r="I122" s="11"/>
      <c r="J122" s="12"/>
      <c r="K122" s="14" t="str">
        <f t="shared" si="1"/>
        <v>NO</v>
      </c>
      <c r="L122" s="12" t="s">
        <v>119</v>
      </c>
      <c r="M122" s="12" t="s">
        <v>727</v>
      </c>
      <c r="N122" s="12" t="s">
        <v>728</v>
      </c>
      <c r="O122" s="12" t="s">
        <v>729</v>
      </c>
    </row>
    <row r="123" spans="1:15" ht="41.5" customHeight="1" x14ac:dyDescent="0.35">
      <c r="A123" s="11">
        <v>118</v>
      </c>
      <c r="B123" s="12" t="s">
        <v>730</v>
      </c>
      <c r="C123" s="12" t="s">
        <v>731</v>
      </c>
      <c r="D123" s="11">
        <v>2020</v>
      </c>
      <c r="E123" s="12" t="s">
        <v>732</v>
      </c>
      <c r="F123" s="12" t="s">
        <v>624</v>
      </c>
      <c r="G123" s="11" t="s">
        <v>125</v>
      </c>
      <c r="H123" s="11"/>
      <c r="I123" s="11"/>
      <c r="J123" s="12"/>
      <c r="K123" s="14" t="str">
        <f t="shared" si="1"/>
        <v>NO</v>
      </c>
      <c r="L123" s="12" t="s">
        <v>119</v>
      </c>
      <c r="M123" s="12" t="s">
        <v>733</v>
      </c>
      <c r="N123" s="12" t="s">
        <v>734</v>
      </c>
      <c r="O123" s="12" t="s">
        <v>735</v>
      </c>
    </row>
    <row r="124" spans="1:15" ht="29" customHeight="1" x14ac:dyDescent="0.35">
      <c r="A124" s="11">
        <v>119</v>
      </c>
      <c r="B124" s="12" t="s">
        <v>736</v>
      </c>
      <c r="C124" s="12" t="s">
        <v>737</v>
      </c>
      <c r="D124" s="11">
        <v>2024</v>
      </c>
      <c r="E124" s="12" t="s">
        <v>738</v>
      </c>
      <c r="F124" s="12" t="s">
        <v>624</v>
      </c>
      <c r="G124" s="11" t="s">
        <v>118</v>
      </c>
      <c r="H124" s="11" t="s">
        <v>118</v>
      </c>
      <c r="I124" s="11" t="s">
        <v>125</v>
      </c>
      <c r="J124" s="12" t="s">
        <v>173</v>
      </c>
      <c r="K124" s="14" t="str">
        <f t="shared" si="1"/>
        <v>NO</v>
      </c>
      <c r="L124" s="12" t="s">
        <v>119</v>
      </c>
      <c r="M124" s="12" t="s">
        <v>739</v>
      </c>
      <c r="N124" s="12" t="s">
        <v>740</v>
      </c>
      <c r="O124" s="12" t="s">
        <v>741</v>
      </c>
    </row>
    <row r="125" spans="1:15" ht="41.5" customHeight="1" x14ac:dyDescent="0.35">
      <c r="A125" s="11">
        <v>120</v>
      </c>
      <c r="B125" s="12" t="s">
        <v>742</v>
      </c>
      <c r="C125" s="12" t="s">
        <v>743</v>
      </c>
      <c r="D125" s="11">
        <v>2025</v>
      </c>
      <c r="E125" s="12" t="s">
        <v>308</v>
      </c>
      <c r="F125" s="12" t="s">
        <v>624</v>
      </c>
      <c r="G125" s="11" t="s">
        <v>118</v>
      </c>
      <c r="H125" s="11" t="s">
        <v>118</v>
      </c>
      <c r="I125" s="11" t="s">
        <v>125</v>
      </c>
      <c r="J125" s="12" t="s">
        <v>296</v>
      </c>
      <c r="K125" s="14" t="str">
        <f t="shared" si="1"/>
        <v>NO</v>
      </c>
      <c r="L125" s="12" t="s">
        <v>119</v>
      </c>
      <c r="M125" s="12" t="s">
        <v>309</v>
      </c>
      <c r="N125" s="12" t="s">
        <v>744</v>
      </c>
      <c r="O125" s="12" t="s">
        <v>745</v>
      </c>
    </row>
    <row r="126" spans="1:15" ht="29" customHeight="1" x14ac:dyDescent="0.35">
      <c r="A126" s="11">
        <v>121</v>
      </c>
      <c r="B126" s="12" t="s">
        <v>746</v>
      </c>
      <c r="C126" s="12" t="s">
        <v>747</v>
      </c>
      <c r="D126" s="11">
        <v>2024</v>
      </c>
      <c r="E126" s="12" t="s">
        <v>212</v>
      </c>
      <c r="F126" s="12" t="s">
        <v>624</v>
      </c>
      <c r="G126" s="11" t="s">
        <v>125</v>
      </c>
      <c r="H126" s="11"/>
      <c r="I126" s="11"/>
      <c r="J126" s="12"/>
      <c r="K126" s="14" t="str">
        <f t="shared" si="1"/>
        <v>NO</v>
      </c>
      <c r="L126" s="12" t="s">
        <v>119</v>
      </c>
      <c r="M126" s="12" t="s">
        <v>748</v>
      </c>
      <c r="N126" s="12" t="s">
        <v>749</v>
      </c>
      <c r="O126" s="12" t="s">
        <v>750</v>
      </c>
    </row>
    <row r="127" spans="1:15" ht="29" customHeight="1" x14ac:dyDescent="0.35">
      <c r="A127" s="11">
        <v>122</v>
      </c>
      <c r="B127" s="12" t="s">
        <v>751</v>
      </c>
      <c r="C127" s="12" t="s">
        <v>629</v>
      </c>
      <c r="D127" s="11">
        <v>2023</v>
      </c>
      <c r="E127" s="12" t="s">
        <v>172</v>
      </c>
      <c r="F127" s="12" t="s">
        <v>624</v>
      </c>
      <c r="G127" s="11" t="s">
        <v>125</v>
      </c>
      <c r="H127" s="11"/>
      <c r="I127" s="11"/>
      <c r="J127" s="12"/>
      <c r="K127" s="14" t="str">
        <f t="shared" si="1"/>
        <v>NO</v>
      </c>
      <c r="L127" s="12" t="s">
        <v>119</v>
      </c>
      <c r="M127" s="12" t="s">
        <v>631</v>
      </c>
      <c r="N127" s="12" t="s">
        <v>752</v>
      </c>
      <c r="O127" s="12" t="s">
        <v>753</v>
      </c>
    </row>
    <row r="128" spans="1:15" ht="54" customHeight="1" x14ac:dyDescent="0.35">
      <c r="A128" s="11">
        <v>123</v>
      </c>
      <c r="B128" s="12" t="s">
        <v>754</v>
      </c>
      <c r="C128" s="12" t="s">
        <v>755</v>
      </c>
      <c r="D128" s="11">
        <v>2022</v>
      </c>
      <c r="E128" s="12" t="s">
        <v>756</v>
      </c>
      <c r="F128" s="12" t="s">
        <v>624</v>
      </c>
      <c r="G128" s="11" t="s">
        <v>125</v>
      </c>
      <c r="H128" s="11"/>
      <c r="I128" s="11"/>
      <c r="J128" s="12"/>
      <c r="K128" s="14" t="str">
        <f t="shared" si="1"/>
        <v>NO</v>
      </c>
      <c r="L128" s="12" t="s">
        <v>119</v>
      </c>
      <c r="M128" s="12" t="s">
        <v>757</v>
      </c>
      <c r="N128" s="12" t="s">
        <v>758</v>
      </c>
      <c r="O128" s="12" t="s">
        <v>759</v>
      </c>
    </row>
    <row r="129" spans="1:15" ht="29" customHeight="1" x14ac:dyDescent="0.35">
      <c r="A129" s="11">
        <v>124</v>
      </c>
      <c r="B129" s="12" t="s">
        <v>760</v>
      </c>
      <c r="C129" s="12" t="s">
        <v>761</v>
      </c>
      <c r="D129" s="11">
        <v>2017</v>
      </c>
      <c r="E129" s="12" t="s">
        <v>762</v>
      </c>
      <c r="F129" s="12" t="s">
        <v>763</v>
      </c>
      <c r="G129" s="11" t="s">
        <v>125</v>
      </c>
      <c r="H129" s="11"/>
      <c r="I129" s="11"/>
      <c r="J129" s="12"/>
      <c r="K129" s="14" t="str">
        <f t="shared" si="1"/>
        <v>NO</v>
      </c>
      <c r="L129" s="12" t="s">
        <v>119</v>
      </c>
      <c r="M129" s="12" t="s">
        <v>764</v>
      </c>
      <c r="N129" s="12" t="s">
        <v>765</v>
      </c>
      <c r="O129" s="12" t="s">
        <v>766</v>
      </c>
    </row>
    <row r="130" spans="1:15" ht="41.5" customHeight="1" x14ac:dyDescent="0.35">
      <c r="A130" s="11">
        <v>125</v>
      </c>
      <c r="B130" s="12" t="s">
        <v>767</v>
      </c>
      <c r="C130" s="12" t="s">
        <v>768</v>
      </c>
      <c r="D130" s="11">
        <v>2019</v>
      </c>
      <c r="E130" s="12" t="s">
        <v>769</v>
      </c>
      <c r="F130" s="12" t="s">
        <v>763</v>
      </c>
      <c r="G130" s="11" t="s">
        <v>125</v>
      </c>
      <c r="H130" s="11"/>
      <c r="I130" s="11"/>
      <c r="J130" s="12"/>
      <c r="K130" s="14" t="str">
        <f t="shared" si="1"/>
        <v>NO</v>
      </c>
      <c r="L130" s="12" t="s">
        <v>119</v>
      </c>
      <c r="M130" s="12" t="s">
        <v>764</v>
      </c>
      <c r="N130" s="12" t="s">
        <v>770</v>
      </c>
      <c r="O130" s="12" t="s">
        <v>771</v>
      </c>
    </row>
    <row r="131" spans="1:15" ht="29" customHeight="1" x14ac:dyDescent="0.35">
      <c r="A131" s="11">
        <v>126</v>
      </c>
      <c r="B131" s="12" t="s">
        <v>772</v>
      </c>
      <c r="C131" s="12" t="s">
        <v>773</v>
      </c>
      <c r="D131" s="11">
        <v>2022</v>
      </c>
      <c r="E131" s="12" t="s">
        <v>264</v>
      </c>
      <c r="F131" s="12" t="s">
        <v>763</v>
      </c>
      <c r="G131" s="11" t="s">
        <v>118</v>
      </c>
      <c r="H131" s="11" t="s">
        <v>118</v>
      </c>
      <c r="I131" s="11" t="s">
        <v>118</v>
      </c>
      <c r="J131" s="12"/>
      <c r="K131" s="14" t="str">
        <f t="shared" si="1"/>
        <v>YES</v>
      </c>
      <c r="L131" s="12" t="s">
        <v>119</v>
      </c>
      <c r="M131" s="12"/>
      <c r="N131" s="12" t="s">
        <v>774</v>
      </c>
      <c r="O131" s="12" t="s">
        <v>775</v>
      </c>
    </row>
    <row r="132" spans="1:15" ht="41.5" customHeight="1" x14ac:dyDescent="0.35">
      <c r="A132" s="11">
        <v>127</v>
      </c>
      <c r="B132" s="12" t="s">
        <v>776</v>
      </c>
      <c r="C132" s="12" t="s">
        <v>777</v>
      </c>
      <c r="D132" s="11">
        <v>2017</v>
      </c>
      <c r="E132" s="12" t="s">
        <v>778</v>
      </c>
      <c r="F132" s="12" t="s">
        <v>763</v>
      </c>
      <c r="G132" s="11" t="s">
        <v>125</v>
      </c>
      <c r="H132" s="11"/>
      <c r="I132" s="11"/>
      <c r="J132" s="12"/>
      <c r="K132" s="14" t="str">
        <f t="shared" si="1"/>
        <v>NO</v>
      </c>
      <c r="L132" s="12" t="s">
        <v>119</v>
      </c>
      <c r="M132" s="12" t="s">
        <v>764</v>
      </c>
      <c r="N132" s="12" t="s">
        <v>779</v>
      </c>
      <c r="O132" s="12" t="s">
        <v>780</v>
      </c>
    </row>
    <row r="133" spans="1:15" ht="29" customHeight="1" x14ac:dyDescent="0.35">
      <c r="A133" s="11">
        <v>128</v>
      </c>
      <c r="B133" s="12" t="s">
        <v>781</v>
      </c>
      <c r="C133" s="12" t="s">
        <v>782</v>
      </c>
      <c r="D133" s="11">
        <v>2017</v>
      </c>
      <c r="E133" s="12" t="s">
        <v>783</v>
      </c>
      <c r="F133" s="12" t="s">
        <v>763</v>
      </c>
      <c r="G133" s="11" t="s">
        <v>125</v>
      </c>
      <c r="H133" s="11"/>
      <c r="I133" s="11"/>
      <c r="J133" s="12"/>
      <c r="K133" s="14" t="str">
        <f t="shared" si="1"/>
        <v>NO</v>
      </c>
      <c r="L133" s="12" t="s">
        <v>119</v>
      </c>
      <c r="M133" s="12" t="s">
        <v>764</v>
      </c>
      <c r="N133" s="12" t="s">
        <v>784</v>
      </c>
      <c r="O133" s="12" t="s">
        <v>785</v>
      </c>
    </row>
    <row r="134" spans="1:15" ht="29" customHeight="1" x14ac:dyDescent="0.35">
      <c r="A134" s="11">
        <v>129</v>
      </c>
      <c r="B134" s="12" t="s">
        <v>786</v>
      </c>
      <c r="C134" s="12" t="s">
        <v>787</v>
      </c>
      <c r="D134" s="11">
        <v>2017</v>
      </c>
      <c r="E134" s="12" t="s">
        <v>788</v>
      </c>
      <c r="F134" s="12" t="s">
        <v>763</v>
      </c>
      <c r="G134" s="11" t="s">
        <v>125</v>
      </c>
      <c r="H134" s="11"/>
      <c r="I134" s="11"/>
      <c r="J134" s="12"/>
      <c r="K134" s="14" t="str">
        <f t="shared" ref="K134:K197" si="2">IF(AND(G134="KEEP",H134="KEEP",I134="KEEP"),"YES",IF(OR(G134="DROP",H134="DROP",I134="DROP"),"NO",""))</f>
        <v>NO</v>
      </c>
      <c r="L134" s="12" t="s">
        <v>119</v>
      </c>
      <c r="M134" s="12" t="s">
        <v>764</v>
      </c>
      <c r="N134" s="12" t="s">
        <v>789</v>
      </c>
      <c r="O134" s="12" t="s">
        <v>790</v>
      </c>
    </row>
    <row r="135" spans="1:15" ht="29" customHeight="1" x14ac:dyDescent="0.35">
      <c r="A135" s="11">
        <v>130</v>
      </c>
      <c r="B135" s="12" t="s">
        <v>791</v>
      </c>
      <c r="C135" s="12" t="s">
        <v>792</v>
      </c>
      <c r="D135" s="11">
        <v>2020</v>
      </c>
      <c r="E135" s="12" t="s">
        <v>793</v>
      </c>
      <c r="F135" s="12" t="s">
        <v>763</v>
      </c>
      <c r="G135" s="11" t="s">
        <v>125</v>
      </c>
      <c r="H135" s="11"/>
      <c r="I135" s="11"/>
      <c r="J135" s="12"/>
      <c r="K135" s="14" t="str">
        <f t="shared" si="2"/>
        <v>NO</v>
      </c>
      <c r="L135" s="12" t="s">
        <v>119</v>
      </c>
      <c r="M135" s="12" t="s">
        <v>764</v>
      </c>
      <c r="N135" s="12" t="s">
        <v>794</v>
      </c>
      <c r="O135" s="12" t="s">
        <v>795</v>
      </c>
    </row>
    <row r="136" spans="1:15" ht="41.5" customHeight="1" x14ac:dyDescent="0.35">
      <c r="A136" s="11">
        <v>131</v>
      </c>
      <c r="B136" s="12" t="s">
        <v>796</v>
      </c>
      <c r="C136" s="12" t="s">
        <v>797</v>
      </c>
      <c r="D136" s="11">
        <v>2018</v>
      </c>
      <c r="E136" s="12" t="s">
        <v>788</v>
      </c>
      <c r="F136" s="12" t="s">
        <v>763</v>
      </c>
      <c r="G136" s="11" t="s">
        <v>125</v>
      </c>
      <c r="H136" s="11"/>
      <c r="I136" s="11"/>
      <c r="J136" s="12"/>
      <c r="K136" s="14" t="str">
        <f t="shared" si="2"/>
        <v>NO</v>
      </c>
      <c r="L136" s="12" t="s">
        <v>119</v>
      </c>
      <c r="M136" s="12" t="s">
        <v>764</v>
      </c>
      <c r="N136" s="12" t="s">
        <v>798</v>
      </c>
      <c r="O136" s="12" t="s">
        <v>799</v>
      </c>
    </row>
    <row r="137" spans="1:15" ht="29" customHeight="1" x14ac:dyDescent="0.35">
      <c r="A137" s="11">
        <v>132</v>
      </c>
      <c r="B137" s="12" t="s">
        <v>800</v>
      </c>
      <c r="C137" s="12" t="s">
        <v>801</v>
      </c>
      <c r="D137" s="11">
        <v>2026</v>
      </c>
      <c r="E137" s="12" t="s">
        <v>762</v>
      </c>
      <c r="F137" s="12" t="s">
        <v>763</v>
      </c>
      <c r="G137" s="11" t="s">
        <v>125</v>
      </c>
      <c r="H137" s="11"/>
      <c r="I137" s="11"/>
      <c r="J137" s="12"/>
      <c r="K137" s="14" t="str">
        <f t="shared" si="2"/>
        <v>NO</v>
      </c>
      <c r="L137" s="12" t="s">
        <v>119</v>
      </c>
      <c r="M137" s="12" t="s">
        <v>802</v>
      </c>
      <c r="N137" s="12" t="s">
        <v>803</v>
      </c>
      <c r="O137" s="12" t="s">
        <v>804</v>
      </c>
    </row>
    <row r="138" spans="1:15" ht="41.5" customHeight="1" x14ac:dyDescent="0.35">
      <c r="A138" s="11">
        <v>133</v>
      </c>
      <c r="B138" s="12" t="s">
        <v>805</v>
      </c>
      <c r="C138" s="12" t="s">
        <v>806</v>
      </c>
      <c r="D138" s="11">
        <v>2020</v>
      </c>
      <c r="E138" s="12" t="s">
        <v>778</v>
      </c>
      <c r="F138" s="12" t="s">
        <v>763</v>
      </c>
      <c r="G138" s="11" t="s">
        <v>125</v>
      </c>
      <c r="H138" s="11"/>
      <c r="I138" s="11"/>
      <c r="J138" s="12"/>
      <c r="K138" s="14" t="str">
        <f t="shared" si="2"/>
        <v>NO</v>
      </c>
      <c r="L138" s="12" t="s">
        <v>119</v>
      </c>
      <c r="M138" s="12" t="s">
        <v>764</v>
      </c>
      <c r="N138" s="12" t="s">
        <v>807</v>
      </c>
      <c r="O138" s="12" t="s">
        <v>808</v>
      </c>
    </row>
    <row r="139" spans="1:15" ht="41.5" customHeight="1" x14ac:dyDescent="0.35">
      <c r="A139" s="11">
        <v>134</v>
      </c>
      <c r="B139" s="12" t="s">
        <v>809</v>
      </c>
      <c r="C139" s="12" t="s">
        <v>810</v>
      </c>
      <c r="D139" s="11">
        <v>2023</v>
      </c>
      <c r="E139" s="12" t="s">
        <v>811</v>
      </c>
      <c r="F139" s="12" t="s">
        <v>763</v>
      </c>
      <c r="G139" s="11" t="s">
        <v>125</v>
      </c>
      <c r="H139" s="11"/>
      <c r="I139" s="11"/>
      <c r="J139" s="12"/>
      <c r="K139" s="14" t="str">
        <f t="shared" si="2"/>
        <v>NO</v>
      </c>
      <c r="L139" s="12" t="s">
        <v>119</v>
      </c>
      <c r="M139" s="12" t="s">
        <v>812</v>
      </c>
      <c r="N139" s="12" t="s">
        <v>813</v>
      </c>
      <c r="O139" s="12" t="s">
        <v>814</v>
      </c>
    </row>
    <row r="140" spans="1:15" ht="41.5" customHeight="1" x14ac:dyDescent="0.35">
      <c r="A140" s="11">
        <v>135</v>
      </c>
      <c r="B140" s="12" t="s">
        <v>815</v>
      </c>
      <c r="C140" s="12" t="s">
        <v>816</v>
      </c>
      <c r="D140" s="11">
        <v>2018</v>
      </c>
      <c r="E140" s="12" t="s">
        <v>788</v>
      </c>
      <c r="F140" s="12" t="s">
        <v>763</v>
      </c>
      <c r="G140" s="11" t="s">
        <v>125</v>
      </c>
      <c r="H140" s="11"/>
      <c r="I140" s="11"/>
      <c r="J140" s="12"/>
      <c r="K140" s="14" t="str">
        <f t="shared" si="2"/>
        <v>NO</v>
      </c>
      <c r="L140" s="12" t="s">
        <v>119</v>
      </c>
      <c r="M140" s="12" t="s">
        <v>764</v>
      </c>
      <c r="N140" s="12" t="s">
        <v>817</v>
      </c>
      <c r="O140" s="12" t="s">
        <v>818</v>
      </c>
    </row>
    <row r="141" spans="1:15" ht="41.5" customHeight="1" x14ac:dyDescent="0.35">
      <c r="A141" s="11">
        <v>136</v>
      </c>
      <c r="B141" s="12" t="s">
        <v>819</v>
      </c>
      <c r="C141" s="12" t="s">
        <v>820</v>
      </c>
      <c r="D141" s="11">
        <v>2022</v>
      </c>
      <c r="E141" s="12" t="s">
        <v>821</v>
      </c>
      <c r="F141" s="12" t="s">
        <v>763</v>
      </c>
      <c r="G141" s="11" t="s">
        <v>125</v>
      </c>
      <c r="H141" s="11"/>
      <c r="I141" s="11"/>
      <c r="J141" s="12"/>
      <c r="K141" s="14" t="str">
        <f t="shared" si="2"/>
        <v>NO</v>
      </c>
      <c r="L141" s="12" t="s">
        <v>119</v>
      </c>
      <c r="M141" s="12" t="s">
        <v>764</v>
      </c>
      <c r="N141" s="12" t="s">
        <v>822</v>
      </c>
      <c r="O141" s="12" t="s">
        <v>823</v>
      </c>
    </row>
    <row r="142" spans="1:15" ht="29" customHeight="1" x14ac:dyDescent="0.35">
      <c r="A142" s="11">
        <v>137</v>
      </c>
      <c r="B142" s="12" t="s">
        <v>824</v>
      </c>
      <c r="C142" s="12" t="s">
        <v>825</v>
      </c>
      <c r="D142" s="11">
        <v>2020</v>
      </c>
      <c r="E142" s="12" t="s">
        <v>826</v>
      </c>
      <c r="F142" s="12" t="s">
        <v>763</v>
      </c>
      <c r="G142" s="11" t="s">
        <v>125</v>
      </c>
      <c r="H142" s="11"/>
      <c r="I142" s="11"/>
      <c r="J142" s="12"/>
      <c r="K142" s="14" t="str">
        <f t="shared" si="2"/>
        <v>NO</v>
      </c>
      <c r="L142" s="12" t="s">
        <v>119</v>
      </c>
      <c r="M142" s="12" t="s">
        <v>827</v>
      </c>
      <c r="N142" s="12" t="s">
        <v>828</v>
      </c>
      <c r="O142" s="12"/>
    </row>
    <row r="143" spans="1:15" ht="41.5" customHeight="1" x14ac:dyDescent="0.35">
      <c r="A143" s="11">
        <v>138</v>
      </c>
      <c r="B143" s="12" t="s">
        <v>829</v>
      </c>
      <c r="C143" s="12" t="s">
        <v>820</v>
      </c>
      <c r="D143" s="11">
        <v>2022</v>
      </c>
      <c r="E143" s="12" t="s">
        <v>830</v>
      </c>
      <c r="F143" s="12" t="s">
        <v>763</v>
      </c>
      <c r="G143" s="11" t="s">
        <v>125</v>
      </c>
      <c r="H143" s="11"/>
      <c r="I143" s="11"/>
      <c r="J143" s="12"/>
      <c r="K143" s="14" t="str">
        <f t="shared" si="2"/>
        <v>NO</v>
      </c>
      <c r="L143" s="12" t="s">
        <v>119</v>
      </c>
      <c r="M143" s="12" t="s">
        <v>764</v>
      </c>
      <c r="N143" s="12" t="s">
        <v>831</v>
      </c>
      <c r="O143" s="12" t="s">
        <v>832</v>
      </c>
    </row>
    <row r="144" spans="1:15" ht="29" customHeight="1" x14ac:dyDescent="0.35">
      <c r="A144" s="11">
        <v>139</v>
      </c>
      <c r="B144" s="12" t="s">
        <v>833</v>
      </c>
      <c r="C144" s="12" t="s">
        <v>834</v>
      </c>
      <c r="D144" s="11">
        <v>2020</v>
      </c>
      <c r="E144" s="12" t="s">
        <v>835</v>
      </c>
      <c r="F144" s="12" t="s">
        <v>763</v>
      </c>
      <c r="G144" s="11" t="s">
        <v>125</v>
      </c>
      <c r="H144" s="11"/>
      <c r="I144" s="11"/>
      <c r="J144" s="12"/>
      <c r="K144" s="14" t="str">
        <f t="shared" si="2"/>
        <v>NO</v>
      </c>
      <c r="L144" s="12" t="s">
        <v>119</v>
      </c>
      <c r="M144" s="12" t="s">
        <v>764</v>
      </c>
      <c r="N144" s="12" t="s">
        <v>836</v>
      </c>
      <c r="O144" s="12" t="s">
        <v>837</v>
      </c>
    </row>
    <row r="145" spans="1:15" ht="29" customHeight="1" x14ac:dyDescent="0.35">
      <c r="A145" s="11">
        <v>140</v>
      </c>
      <c r="B145" s="12" t="s">
        <v>838</v>
      </c>
      <c r="C145" s="12" t="s">
        <v>839</v>
      </c>
      <c r="D145" s="11">
        <v>2020</v>
      </c>
      <c r="E145" s="12" t="s">
        <v>788</v>
      </c>
      <c r="F145" s="12" t="s">
        <v>763</v>
      </c>
      <c r="G145" s="11" t="s">
        <v>125</v>
      </c>
      <c r="H145" s="11"/>
      <c r="I145" s="11"/>
      <c r="J145" s="12"/>
      <c r="K145" s="14" t="str">
        <f t="shared" si="2"/>
        <v>NO</v>
      </c>
      <c r="L145" s="12" t="s">
        <v>119</v>
      </c>
      <c r="M145" s="12" t="s">
        <v>764</v>
      </c>
      <c r="N145" s="12" t="s">
        <v>840</v>
      </c>
      <c r="O145" s="12" t="s">
        <v>841</v>
      </c>
    </row>
    <row r="146" spans="1:15" ht="29" customHeight="1" x14ac:dyDescent="0.35">
      <c r="A146" s="11">
        <v>141</v>
      </c>
      <c r="B146" s="12" t="s">
        <v>842</v>
      </c>
      <c r="C146" s="12" t="s">
        <v>843</v>
      </c>
      <c r="D146" s="11">
        <v>2020</v>
      </c>
      <c r="E146" s="12" t="s">
        <v>788</v>
      </c>
      <c r="F146" s="12" t="s">
        <v>763</v>
      </c>
      <c r="G146" s="11" t="s">
        <v>125</v>
      </c>
      <c r="H146" s="11"/>
      <c r="I146" s="11"/>
      <c r="J146" s="12"/>
      <c r="K146" s="14" t="str">
        <f t="shared" si="2"/>
        <v>NO</v>
      </c>
      <c r="L146" s="12" t="s">
        <v>119</v>
      </c>
      <c r="M146" s="12" t="s">
        <v>764</v>
      </c>
      <c r="N146" s="12" t="s">
        <v>844</v>
      </c>
      <c r="O146" s="12" t="s">
        <v>845</v>
      </c>
    </row>
    <row r="147" spans="1:15" ht="29" customHeight="1" x14ac:dyDescent="0.35">
      <c r="A147" s="11">
        <v>142</v>
      </c>
      <c r="B147" s="12" t="s">
        <v>846</v>
      </c>
      <c r="C147" s="12" t="s">
        <v>847</v>
      </c>
      <c r="D147" s="11">
        <v>2024</v>
      </c>
      <c r="E147" s="12" t="s">
        <v>848</v>
      </c>
      <c r="F147" s="12" t="s">
        <v>763</v>
      </c>
      <c r="G147" s="11" t="s">
        <v>118</v>
      </c>
      <c r="H147" s="11" t="s">
        <v>118</v>
      </c>
      <c r="I147" s="11" t="s">
        <v>118</v>
      </c>
      <c r="J147" s="12"/>
      <c r="K147" s="14" t="str">
        <f t="shared" si="2"/>
        <v>YES</v>
      </c>
      <c r="L147" s="12" t="s">
        <v>119</v>
      </c>
      <c r="M147" s="12"/>
      <c r="N147" s="12" t="s">
        <v>849</v>
      </c>
      <c r="O147" s="12" t="s">
        <v>850</v>
      </c>
    </row>
    <row r="148" spans="1:15" ht="29" customHeight="1" x14ac:dyDescent="0.35">
      <c r="A148" s="11">
        <v>143</v>
      </c>
      <c r="B148" s="12" t="s">
        <v>851</v>
      </c>
      <c r="C148" s="12" t="s">
        <v>852</v>
      </c>
      <c r="D148" s="11">
        <v>2019</v>
      </c>
      <c r="E148" s="12" t="s">
        <v>788</v>
      </c>
      <c r="F148" s="12" t="s">
        <v>763</v>
      </c>
      <c r="G148" s="11" t="s">
        <v>125</v>
      </c>
      <c r="H148" s="11"/>
      <c r="I148" s="11"/>
      <c r="J148" s="12"/>
      <c r="K148" s="14" t="str">
        <f t="shared" si="2"/>
        <v>NO</v>
      </c>
      <c r="L148" s="12" t="s">
        <v>119</v>
      </c>
      <c r="M148" s="12" t="s">
        <v>764</v>
      </c>
      <c r="N148" s="12" t="s">
        <v>853</v>
      </c>
      <c r="O148" s="12" t="s">
        <v>854</v>
      </c>
    </row>
    <row r="149" spans="1:15" ht="29" customHeight="1" x14ac:dyDescent="0.35">
      <c r="A149" s="11">
        <v>144</v>
      </c>
      <c r="B149" s="12" t="s">
        <v>855</v>
      </c>
      <c r="C149" s="12" t="s">
        <v>856</v>
      </c>
      <c r="D149" s="11">
        <v>2018</v>
      </c>
      <c r="E149" s="12" t="s">
        <v>160</v>
      </c>
      <c r="F149" s="12" t="s">
        <v>763</v>
      </c>
      <c r="G149" s="11" t="s">
        <v>125</v>
      </c>
      <c r="H149" s="11"/>
      <c r="I149" s="11"/>
      <c r="J149" s="12"/>
      <c r="K149" s="14" t="str">
        <f t="shared" si="2"/>
        <v>NO</v>
      </c>
      <c r="L149" s="12" t="s">
        <v>119</v>
      </c>
      <c r="M149" s="12" t="s">
        <v>764</v>
      </c>
      <c r="N149" s="12" t="s">
        <v>857</v>
      </c>
      <c r="O149" s="12" t="s">
        <v>858</v>
      </c>
    </row>
    <row r="150" spans="1:15" ht="41.5" customHeight="1" x14ac:dyDescent="0.35">
      <c r="A150" s="11">
        <v>145</v>
      </c>
      <c r="B150" s="12" t="s">
        <v>859</v>
      </c>
      <c r="C150" s="12" t="s">
        <v>860</v>
      </c>
      <c r="D150" s="11">
        <v>2017</v>
      </c>
      <c r="E150" s="12" t="s">
        <v>861</v>
      </c>
      <c r="F150" s="12" t="s">
        <v>763</v>
      </c>
      <c r="G150" s="11" t="s">
        <v>125</v>
      </c>
      <c r="H150" s="11"/>
      <c r="I150" s="11"/>
      <c r="J150" s="12"/>
      <c r="K150" s="14" t="str">
        <f t="shared" si="2"/>
        <v>NO</v>
      </c>
      <c r="L150" s="12" t="s">
        <v>119</v>
      </c>
      <c r="M150" s="12" t="s">
        <v>862</v>
      </c>
      <c r="N150" s="12" t="s">
        <v>863</v>
      </c>
      <c r="O150" s="12" t="s">
        <v>864</v>
      </c>
    </row>
    <row r="151" spans="1:15" ht="41.5" customHeight="1" x14ac:dyDescent="0.35">
      <c r="A151" s="11">
        <v>146</v>
      </c>
      <c r="B151" s="12" t="s">
        <v>865</v>
      </c>
      <c r="C151" s="12" t="s">
        <v>866</v>
      </c>
      <c r="D151" s="11">
        <v>2023</v>
      </c>
      <c r="E151" s="12" t="s">
        <v>788</v>
      </c>
      <c r="F151" s="12" t="s">
        <v>763</v>
      </c>
      <c r="G151" s="11" t="s">
        <v>125</v>
      </c>
      <c r="H151" s="11"/>
      <c r="I151" s="11"/>
      <c r="J151" s="12"/>
      <c r="K151" s="14" t="str">
        <f t="shared" si="2"/>
        <v>NO</v>
      </c>
      <c r="L151" s="12" t="s">
        <v>119</v>
      </c>
      <c r="M151" s="12" t="s">
        <v>764</v>
      </c>
      <c r="N151" s="12" t="s">
        <v>867</v>
      </c>
      <c r="O151" s="12" t="s">
        <v>868</v>
      </c>
    </row>
    <row r="152" spans="1:15" ht="41.5" customHeight="1" x14ac:dyDescent="0.35">
      <c r="A152" s="11">
        <v>147</v>
      </c>
      <c r="B152" s="12" t="s">
        <v>869</v>
      </c>
      <c r="C152" s="12" t="s">
        <v>870</v>
      </c>
      <c r="D152" s="11">
        <v>2025</v>
      </c>
      <c r="E152" s="12" t="s">
        <v>778</v>
      </c>
      <c r="F152" s="12" t="s">
        <v>763</v>
      </c>
      <c r="G152" s="11" t="s">
        <v>125</v>
      </c>
      <c r="H152" s="11"/>
      <c r="I152" s="11"/>
      <c r="J152" s="12"/>
      <c r="K152" s="14" t="str">
        <f t="shared" si="2"/>
        <v>NO</v>
      </c>
      <c r="L152" s="12" t="s">
        <v>119</v>
      </c>
      <c r="M152" s="12" t="s">
        <v>764</v>
      </c>
      <c r="N152" s="12" t="s">
        <v>871</v>
      </c>
      <c r="O152" s="12" t="s">
        <v>872</v>
      </c>
    </row>
    <row r="153" spans="1:15" ht="29" customHeight="1" x14ac:dyDescent="0.35">
      <c r="A153" s="11">
        <v>148</v>
      </c>
      <c r="B153" s="12" t="s">
        <v>873</v>
      </c>
      <c r="C153" s="12" t="s">
        <v>856</v>
      </c>
      <c r="D153" s="11">
        <v>2023</v>
      </c>
      <c r="E153" s="12" t="s">
        <v>793</v>
      </c>
      <c r="F153" s="12" t="s">
        <v>763</v>
      </c>
      <c r="G153" s="11" t="s">
        <v>125</v>
      </c>
      <c r="H153" s="11"/>
      <c r="I153" s="11"/>
      <c r="J153" s="12"/>
      <c r="K153" s="14" t="str">
        <f t="shared" si="2"/>
        <v>NO</v>
      </c>
      <c r="L153" s="12" t="s">
        <v>119</v>
      </c>
      <c r="M153" s="12" t="s">
        <v>764</v>
      </c>
      <c r="N153" s="12" t="s">
        <v>874</v>
      </c>
      <c r="O153" s="12" t="s">
        <v>875</v>
      </c>
    </row>
    <row r="154" spans="1:15" ht="29" customHeight="1" x14ac:dyDescent="0.35">
      <c r="A154" s="11">
        <v>149</v>
      </c>
      <c r="B154" s="12" t="s">
        <v>876</v>
      </c>
      <c r="C154" s="12" t="s">
        <v>877</v>
      </c>
      <c r="D154" s="11">
        <v>2017</v>
      </c>
      <c r="E154" s="12" t="s">
        <v>878</v>
      </c>
      <c r="F154" s="12" t="s">
        <v>879</v>
      </c>
      <c r="G154" s="11" t="s">
        <v>118</v>
      </c>
      <c r="H154" s="11" t="s">
        <v>118</v>
      </c>
      <c r="I154" s="11" t="s">
        <v>118</v>
      </c>
      <c r="J154" s="12"/>
      <c r="K154" s="14" t="str">
        <f t="shared" si="2"/>
        <v>YES</v>
      </c>
      <c r="L154" s="12" t="s">
        <v>119</v>
      </c>
      <c r="M154" s="12"/>
      <c r="N154" s="12" t="s">
        <v>880</v>
      </c>
      <c r="O154" s="12" t="s">
        <v>881</v>
      </c>
    </row>
    <row r="155" spans="1:15" ht="29" customHeight="1" x14ac:dyDescent="0.35">
      <c r="A155" s="11">
        <v>150</v>
      </c>
      <c r="B155" s="12" t="s">
        <v>882</v>
      </c>
      <c r="C155" s="12" t="s">
        <v>883</v>
      </c>
      <c r="D155" s="11">
        <v>2024</v>
      </c>
      <c r="E155" s="12" t="s">
        <v>884</v>
      </c>
      <c r="F155" s="12" t="s">
        <v>879</v>
      </c>
      <c r="G155" s="11" t="s">
        <v>118</v>
      </c>
      <c r="H155" s="11" t="s">
        <v>118</v>
      </c>
      <c r="I155" s="11" t="s">
        <v>118</v>
      </c>
      <c r="J155" s="12"/>
      <c r="K155" s="14" t="str">
        <f t="shared" si="2"/>
        <v>YES</v>
      </c>
      <c r="L155" s="12" t="s">
        <v>119</v>
      </c>
      <c r="M155" s="12"/>
      <c r="N155" s="12" t="s">
        <v>885</v>
      </c>
      <c r="O155" s="12" t="s">
        <v>886</v>
      </c>
    </row>
    <row r="156" spans="1:15" ht="24" customHeight="1" x14ac:dyDescent="0.35">
      <c r="A156" s="11">
        <v>151</v>
      </c>
      <c r="B156" s="12" t="s">
        <v>887</v>
      </c>
      <c r="C156" s="12" t="s">
        <v>888</v>
      </c>
      <c r="D156" s="11">
        <v>2026</v>
      </c>
      <c r="E156" s="12" t="s">
        <v>143</v>
      </c>
      <c r="F156" s="12" t="s">
        <v>879</v>
      </c>
      <c r="G156" s="11" t="s">
        <v>125</v>
      </c>
      <c r="H156" s="11"/>
      <c r="I156" s="11"/>
      <c r="J156" s="12"/>
      <c r="K156" s="14" t="str">
        <f t="shared" si="2"/>
        <v>NO</v>
      </c>
      <c r="L156" s="12" t="s">
        <v>119</v>
      </c>
      <c r="M156" s="12" t="s">
        <v>889</v>
      </c>
      <c r="N156" s="12" t="s">
        <v>890</v>
      </c>
      <c r="O156" s="12" t="s">
        <v>891</v>
      </c>
    </row>
    <row r="157" spans="1:15" ht="41.5" customHeight="1" x14ac:dyDescent="0.35">
      <c r="A157" s="11">
        <v>152</v>
      </c>
      <c r="B157" s="12" t="s">
        <v>892</v>
      </c>
      <c r="C157" s="12" t="s">
        <v>893</v>
      </c>
      <c r="D157" s="11">
        <v>2026</v>
      </c>
      <c r="E157" s="12" t="s">
        <v>143</v>
      </c>
      <c r="F157" s="12" t="s">
        <v>879</v>
      </c>
      <c r="G157" s="11" t="s">
        <v>125</v>
      </c>
      <c r="H157" s="11"/>
      <c r="I157" s="11"/>
      <c r="J157" s="12"/>
      <c r="K157" s="14" t="str">
        <f t="shared" si="2"/>
        <v>NO</v>
      </c>
      <c r="L157" s="12" t="s">
        <v>119</v>
      </c>
      <c r="M157" s="12" t="s">
        <v>894</v>
      </c>
      <c r="N157" s="12" t="s">
        <v>895</v>
      </c>
      <c r="O157" s="12" t="s">
        <v>896</v>
      </c>
    </row>
    <row r="158" spans="1:15" ht="54" customHeight="1" x14ac:dyDescent="0.35">
      <c r="A158" s="11">
        <v>153</v>
      </c>
      <c r="B158" s="12" t="s">
        <v>897</v>
      </c>
      <c r="C158" s="12" t="s">
        <v>898</v>
      </c>
      <c r="D158" s="11">
        <v>2024</v>
      </c>
      <c r="E158" s="12" t="s">
        <v>899</v>
      </c>
      <c r="F158" s="12" t="s">
        <v>879</v>
      </c>
      <c r="G158" s="11" t="s">
        <v>125</v>
      </c>
      <c r="H158" s="11"/>
      <c r="I158" s="11"/>
      <c r="J158" s="12"/>
      <c r="K158" s="14" t="str">
        <f t="shared" si="2"/>
        <v>NO</v>
      </c>
      <c r="L158" s="12" t="s">
        <v>119</v>
      </c>
      <c r="M158" s="12" t="s">
        <v>900</v>
      </c>
      <c r="N158" s="12" t="s">
        <v>901</v>
      </c>
      <c r="O158" s="12" t="s">
        <v>902</v>
      </c>
    </row>
    <row r="159" spans="1:15" ht="41.5" customHeight="1" x14ac:dyDescent="0.35">
      <c r="A159" s="11">
        <v>154</v>
      </c>
      <c r="B159" s="12" t="s">
        <v>903</v>
      </c>
      <c r="C159" s="12" t="s">
        <v>904</v>
      </c>
      <c r="D159" s="11">
        <v>2026</v>
      </c>
      <c r="E159" s="12" t="s">
        <v>143</v>
      </c>
      <c r="F159" s="12" t="s">
        <v>879</v>
      </c>
      <c r="G159" s="11" t="s">
        <v>125</v>
      </c>
      <c r="H159" s="11"/>
      <c r="I159" s="11"/>
      <c r="J159" s="12"/>
      <c r="K159" s="14" t="str">
        <f t="shared" si="2"/>
        <v>NO</v>
      </c>
      <c r="L159" s="12" t="s">
        <v>119</v>
      </c>
      <c r="M159" s="12" t="s">
        <v>905</v>
      </c>
      <c r="N159" s="12" t="s">
        <v>906</v>
      </c>
      <c r="O159" s="12" t="s">
        <v>907</v>
      </c>
    </row>
    <row r="160" spans="1:15" ht="29" customHeight="1" x14ac:dyDescent="0.35">
      <c r="A160" s="11">
        <v>155</v>
      </c>
      <c r="B160" s="12" t="s">
        <v>908</v>
      </c>
      <c r="C160" s="12" t="s">
        <v>909</v>
      </c>
      <c r="D160" s="11">
        <v>2026</v>
      </c>
      <c r="E160" s="12" t="s">
        <v>143</v>
      </c>
      <c r="F160" s="12" t="s">
        <v>879</v>
      </c>
      <c r="G160" s="11" t="s">
        <v>125</v>
      </c>
      <c r="H160" s="11"/>
      <c r="I160" s="11"/>
      <c r="J160" s="12"/>
      <c r="K160" s="14" t="str">
        <f t="shared" si="2"/>
        <v>NO</v>
      </c>
      <c r="L160" s="12" t="s">
        <v>119</v>
      </c>
      <c r="M160" s="12" t="s">
        <v>910</v>
      </c>
      <c r="N160" s="12" t="s">
        <v>911</v>
      </c>
      <c r="O160" s="12" t="s">
        <v>912</v>
      </c>
    </row>
    <row r="161" spans="1:15" ht="41.5" customHeight="1" x14ac:dyDescent="0.35">
      <c r="A161" s="11">
        <v>156</v>
      </c>
      <c r="B161" s="12" t="s">
        <v>913</v>
      </c>
      <c r="C161" s="12" t="s">
        <v>914</v>
      </c>
      <c r="D161" s="11">
        <v>2025</v>
      </c>
      <c r="E161" s="12" t="s">
        <v>230</v>
      </c>
      <c r="F161" s="12" t="s">
        <v>879</v>
      </c>
      <c r="G161" s="11" t="s">
        <v>118</v>
      </c>
      <c r="H161" s="11" t="s">
        <v>118</v>
      </c>
      <c r="I161" s="11" t="s">
        <v>125</v>
      </c>
      <c r="J161" s="12" t="s">
        <v>296</v>
      </c>
      <c r="K161" s="14" t="str">
        <f t="shared" si="2"/>
        <v>NO</v>
      </c>
      <c r="L161" s="12" t="s">
        <v>119</v>
      </c>
      <c r="M161" s="12" t="s">
        <v>381</v>
      </c>
      <c r="N161" s="12" t="s">
        <v>915</v>
      </c>
      <c r="O161" s="12" t="s">
        <v>916</v>
      </c>
    </row>
    <row r="162" spans="1:15" ht="41.5" customHeight="1" x14ac:dyDescent="0.35">
      <c r="A162" s="11">
        <v>157</v>
      </c>
      <c r="B162" s="12" t="s">
        <v>917</v>
      </c>
      <c r="C162" s="12" t="s">
        <v>918</v>
      </c>
      <c r="D162" s="11">
        <v>2025</v>
      </c>
      <c r="E162" s="12" t="s">
        <v>919</v>
      </c>
      <c r="F162" s="12" t="s">
        <v>879</v>
      </c>
      <c r="G162" s="11" t="s">
        <v>125</v>
      </c>
      <c r="H162" s="11"/>
      <c r="I162" s="11"/>
      <c r="J162" s="12"/>
      <c r="K162" s="14" t="str">
        <f t="shared" si="2"/>
        <v>NO</v>
      </c>
      <c r="L162" s="12" t="s">
        <v>119</v>
      </c>
      <c r="M162" s="12" t="s">
        <v>920</v>
      </c>
      <c r="N162" s="12" t="s">
        <v>921</v>
      </c>
      <c r="O162" s="12" t="s">
        <v>922</v>
      </c>
    </row>
    <row r="163" spans="1:15" ht="41.5" customHeight="1" x14ac:dyDescent="0.35">
      <c r="A163" s="11">
        <v>158</v>
      </c>
      <c r="B163" s="12" t="s">
        <v>923</v>
      </c>
      <c r="C163" s="12" t="s">
        <v>914</v>
      </c>
      <c r="D163" s="11">
        <v>2025</v>
      </c>
      <c r="E163" s="12" t="s">
        <v>230</v>
      </c>
      <c r="F163" s="12" t="s">
        <v>879</v>
      </c>
      <c r="G163" s="11" t="s">
        <v>118</v>
      </c>
      <c r="H163" s="11" t="s">
        <v>125</v>
      </c>
      <c r="I163" s="11"/>
      <c r="J163" s="12"/>
      <c r="K163" s="14" t="str">
        <f t="shared" si="2"/>
        <v>NO</v>
      </c>
      <c r="L163" s="12" t="s">
        <v>119</v>
      </c>
      <c r="M163" s="12" t="s">
        <v>924</v>
      </c>
      <c r="N163" s="12" t="s">
        <v>925</v>
      </c>
      <c r="O163" s="12" t="s">
        <v>926</v>
      </c>
    </row>
    <row r="164" spans="1:15" ht="41.5" customHeight="1" x14ac:dyDescent="0.35">
      <c r="A164" s="11">
        <v>159</v>
      </c>
      <c r="B164" s="12" t="s">
        <v>927</v>
      </c>
      <c r="C164" s="12" t="s">
        <v>928</v>
      </c>
      <c r="D164" s="11">
        <v>2024</v>
      </c>
      <c r="E164" s="12" t="s">
        <v>929</v>
      </c>
      <c r="F164" s="12" t="s">
        <v>879</v>
      </c>
      <c r="G164" s="11" t="s">
        <v>118</v>
      </c>
      <c r="H164" s="11" t="s">
        <v>118</v>
      </c>
      <c r="I164" s="11" t="s">
        <v>118</v>
      </c>
      <c r="J164" s="12"/>
      <c r="K164" s="14" t="str">
        <f t="shared" si="2"/>
        <v>YES</v>
      </c>
      <c r="L164" s="12" t="s">
        <v>119</v>
      </c>
      <c r="M164" s="12"/>
      <c r="N164" s="12" t="s">
        <v>930</v>
      </c>
      <c r="O164" s="12" t="s">
        <v>931</v>
      </c>
    </row>
    <row r="165" spans="1:15" ht="24" customHeight="1" x14ac:dyDescent="0.35">
      <c r="A165" s="11">
        <v>160</v>
      </c>
      <c r="B165" s="12" t="s">
        <v>932</v>
      </c>
      <c r="C165" s="12" t="s">
        <v>933</v>
      </c>
      <c r="D165" s="11">
        <v>2021</v>
      </c>
      <c r="E165" s="12" t="s">
        <v>934</v>
      </c>
      <c r="F165" s="12" t="s">
        <v>879</v>
      </c>
      <c r="G165" s="11" t="s">
        <v>118</v>
      </c>
      <c r="H165" s="11" t="s">
        <v>118</v>
      </c>
      <c r="I165" s="11" t="s">
        <v>118</v>
      </c>
      <c r="J165" s="12"/>
      <c r="K165" s="14" t="str">
        <f t="shared" si="2"/>
        <v>YES</v>
      </c>
      <c r="L165" s="12" t="s">
        <v>119</v>
      </c>
      <c r="M165" s="12"/>
      <c r="N165" s="12" t="s">
        <v>935</v>
      </c>
      <c r="O165" s="12" t="s">
        <v>936</v>
      </c>
    </row>
    <row r="166" spans="1:15" ht="41.5" customHeight="1" x14ac:dyDescent="0.35">
      <c r="A166" s="11">
        <v>161</v>
      </c>
      <c r="B166" s="12" t="s">
        <v>937</v>
      </c>
      <c r="C166" s="12" t="s">
        <v>938</v>
      </c>
      <c r="D166" s="11">
        <v>2026</v>
      </c>
      <c r="E166" s="12" t="s">
        <v>143</v>
      </c>
      <c r="F166" s="12" t="s">
        <v>879</v>
      </c>
      <c r="G166" s="11" t="s">
        <v>125</v>
      </c>
      <c r="H166" s="11"/>
      <c r="I166" s="11"/>
      <c r="J166" s="12"/>
      <c r="K166" s="14" t="str">
        <f t="shared" si="2"/>
        <v>NO</v>
      </c>
      <c r="L166" s="12" t="s">
        <v>119</v>
      </c>
      <c r="M166" s="12" t="s">
        <v>910</v>
      </c>
      <c r="N166" s="12" t="s">
        <v>939</v>
      </c>
      <c r="O166" s="12" t="s">
        <v>940</v>
      </c>
    </row>
    <row r="167" spans="1:15" ht="29" customHeight="1" x14ac:dyDescent="0.35">
      <c r="A167" s="11">
        <v>162</v>
      </c>
      <c r="B167" s="12" t="s">
        <v>941</v>
      </c>
      <c r="C167" s="12" t="s">
        <v>942</v>
      </c>
      <c r="D167" s="11">
        <v>2026</v>
      </c>
      <c r="E167" s="12" t="s">
        <v>143</v>
      </c>
      <c r="F167" s="12" t="s">
        <v>879</v>
      </c>
      <c r="G167" s="11" t="s">
        <v>125</v>
      </c>
      <c r="H167" s="11"/>
      <c r="I167" s="11"/>
      <c r="J167" s="12"/>
      <c r="K167" s="14" t="str">
        <f t="shared" si="2"/>
        <v>NO</v>
      </c>
      <c r="L167" s="12" t="s">
        <v>119</v>
      </c>
      <c r="M167" s="12" t="s">
        <v>894</v>
      </c>
      <c r="N167" s="12" t="s">
        <v>943</v>
      </c>
      <c r="O167" s="12" t="s">
        <v>944</v>
      </c>
    </row>
    <row r="168" spans="1:15" ht="54" customHeight="1" x14ac:dyDescent="0.35">
      <c r="A168" s="11">
        <v>163</v>
      </c>
      <c r="B168" s="12" t="s">
        <v>945</v>
      </c>
      <c r="C168" s="12" t="s">
        <v>946</v>
      </c>
      <c r="D168" s="11">
        <v>2026</v>
      </c>
      <c r="E168" s="12" t="s">
        <v>143</v>
      </c>
      <c r="F168" s="12" t="s">
        <v>879</v>
      </c>
      <c r="G168" s="11" t="s">
        <v>125</v>
      </c>
      <c r="H168" s="11"/>
      <c r="I168" s="11"/>
      <c r="J168" s="12"/>
      <c r="K168" s="14" t="str">
        <f t="shared" si="2"/>
        <v>NO</v>
      </c>
      <c r="L168" s="12" t="s">
        <v>119</v>
      </c>
      <c r="M168" s="12" t="s">
        <v>894</v>
      </c>
      <c r="N168" s="12" t="s">
        <v>947</v>
      </c>
      <c r="O168" s="12" t="s">
        <v>948</v>
      </c>
    </row>
    <row r="169" spans="1:15" ht="41.5" customHeight="1" x14ac:dyDescent="0.35">
      <c r="A169" s="11">
        <v>164</v>
      </c>
      <c r="B169" s="12" t="s">
        <v>949</v>
      </c>
      <c r="C169" s="12" t="s">
        <v>904</v>
      </c>
      <c r="D169" s="11">
        <v>2026</v>
      </c>
      <c r="E169" s="12" t="s">
        <v>143</v>
      </c>
      <c r="F169" s="12" t="s">
        <v>879</v>
      </c>
      <c r="G169" s="11" t="s">
        <v>125</v>
      </c>
      <c r="H169" s="11"/>
      <c r="I169" s="11"/>
      <c r="J169" s="12"/>
      <c r="K169" s="14" t="str">
        <f t="shared" si="2"/>
        <v>NO</v>
      </c>
      <c r="L169" s="12" t="s">
        <v>119</v>
      </c>
      <c r="M169" s="12" t="s">
        <v>905</v>
      </c>
      <c r="N169" s="12" t="s">
        <v>950</v>
      </c>
      <c r="O169" s="12" t="s">
        <v>951</v>
      </c>
    </row>
    <row r="170" spans="1:15" ht="29" customHeight="1" x14ac:dyDescent="0.35">
      <c r="A170" s="11">
        <v>165</v>
      </c>
      <c r="B170" s="12" t="s">
        <v>952</v>
      </c>
      <c r="C170" s="12" t="s">
        <v>953</v>
      </c>
      <c r="D170" s="11">
        <v>2025</v>
      </c>
      <c r="E170" s="12" t="s">
        <v>954</v>
      </c>
      <c r="F170" s="12" t="s">
        <v>879</v>
      </c>
      <c r="G170" s="11" t="s">
        <v>118</v>
      </c>
      <c r="H170" s="11" t="s">
        <v>118</v>
      </c>
      <c r="I170" s="11" t="s">
        <v>118</v>
      </c>
      <c r="J170" s="12"/>
      <c r="K170" s="14" t="str">
        <f t="shared" si="2"/>
        <v>YES</v>
      </c>
      <c r="L170" s="12" t="s">
        <v>119</v>
      </c>
      <c r="M170" s="12"/>
      <c r="N170" s="12" t="s">
        <v>955</v>
      </c>
      <c r="O170" s="12" t="s">
        <v>956</v>
      </c>
    </row>
    <row r="171" spans="1:15" ht="29" customHeight="1" x14ac:dyDescent="0.35">
      <c r="A171" s="11">
        <v>166</v>
      </c>
      <c r="B171" s="12" t="s">
        <v>957</v>
      </c>
      <c r="C171" s="12" t="s">
        <v>958</v>
      </c>
      <c r="D171" s="11">
        <v>2025</v>
      </c>
      <c r="E171" s="12" t="s">
        <v>335</v>
      </c>
      <c r="F171" s="12" t="s">
        <v>879</v>
      </c>
      <c r="G171" s="11" t="s">
        <v>118</v>
      </c>
      <c r="H171" s="11" t="s">
        <v>118</v>
      </c>
      <c r="I171" s="11" t="s">
        <v>118</v>
      </c>
      <c r="J171" s="12"/>
      <c r="K171" s="14" t="str">
        <f t="shared" si="2"/>
        <v>YES</v>
      </c>
      <c r="L171" s="12" t="s">
        <v>119</v>
      </c>
      <c r="M171" s="12"/>
      <c r="N171" s="12" t="s">
        <v>959</v>
      </c>
      <c r="O171" s="12" t="s">
        <v>960</v>
      </c>
    </row>
    <row r="172" spans="1:15" ht="41.5" customHeight="1" x14ac:dyDescent="0.35">
      <c r="A172" s="11">
        <v>167</v>
      </c>
      <c r="B172" s="12" t="s">
        <v>961</v>
      </c>
      <c r="C172" s="12" t="s">
        <v>962</v>
      </c>
      <c r="D172" s="11">
        <v>2026</v>
      </c>
      <c r="E172" s="12" t="s">
        <v>143</v>
      </c>
      <c r="F172" s="12" t="s">
        <v>879</v>
      </c>
      <c r="G172" s="11" t="s">
        <v>125</v>
      </c>
      <c r="H172" s="11"/>
      <c r="I172" s="11"/>
      <c r="J172" s="12"/>
      <c r="K172" s="14" t="str">
        <f t="shared" si="2"/>
        <v>NO</v>
      </c>
      <c r="L172" s="12" t="s">
        <v>119</v>
      </c>
      <c r="M172" s="12" t="s">
        <v>894</v>
      </c>
      <c r="N172" s="12" t="s">
        <v>963</v>
      </c>
      <c r="O172" s="12" t="s">
        <v>964</v>
      </c>
    </row>
    <row r="173" spans="1:15" ht="41.5" customHeight="1" x14ac:dyDescent="0.35">
      <c r="A173" s="11">
        <v>168</v>
      </c>
      <c r="B173" s="12" t="s">
        <v>965</v>
      </c>
      <c r="C173" s="12" t="s">
        <v>966</v>
      </c>
      <c r="D173" s="11">
        <v>2026</v>
      </c>
      <c r="E173" s="12" t="s">
        <v>143</v>
      </c>
      <c r="F173" s="12" t="s">
        <v>879</v>
      </c>
      <c r="G173" s="11" t="s">
        <v>125</v>
      </c>
      <c r="H173" s="11"/>
      <c r="I173" s="11"/>
      <c r="J173" s="12"/>
      <c r="K173" s="14" t="str">
        <f t="shared" si="2"/>
        <v>NO</v>
      </c>
      <c r="L173" s="12" t="s">
        <v>119</v>
      </c>
      <c r="M173" s="12" t="s">
        <v>910</v>
      </c>
      <c r="N173" s="12" t="s">
        <v>967</v>
      </c>
      <c r="O173" s="12" t="s">
        <v>968</v>
      </c>
    </row>
    <row r="174" spans="1:15" ht="24" customHeight="1" x14ac:dyDescent="0.35">
      <c r="A174" s="11">
        <v>169</v>
      </c>
      <c r="B174" s="12" t="s">
        <v>969</v>
      </c>
      <c r="C174" s="12" t="s">
        <v>970</v>
      </c>
      <c r="D174" s="11">
        <v>2026</v>
      </c>
      <c r="E174" s="12" t="s">
        <v>143</v>
      </c>
      <c r="F174" s="12" t="s">
        <v>879</v>
      </c>
      <c r="G174" s="11" t="s">
        <v>125</v>
      </c>
      <c r="H174" s="11"/>
      <c r="I174" s="11"/>
      <c r="J174" s="12"/>
      <c r="K174" s="14" t="str">
        <f t="shared" si="2"/>
        <v>NO</v>
      </c>
      <c r="L174" s="12" t="s">
        <v>119</v>
      </c>
      <c r="M174" s="12" t="s">
        <v>894</v>
      </c>
      <c r="N174" s="12" t="s">
        <v>971</v>
      </c>
      <c r="O174" s="12" t="s">
        <v>972</v>
      </c>
    </row>
    <row r="175" spans="1:15" ht="41.5" customHeight="1" x14ac:dyDescent="0.35">
      <c r="A175" s="11">
        <v>170</v>
      </c>
      <c r="B175" s="12" t="s">
        <v>973</v>
      </c>
      <c r="C175" s="12" t="s">
        <v>974</v>
      </c>
      <c r="D175" s="11">
        <v>2026</v>
      </c>
      <c r="E175" s="12" t="s">
        <v>143</v>
      </c>
      <c r="F175" s="12" t="s">
        <v>879</v>
      </c>
      <c r="G175" s="11" t="s">
        <v>125</v>
      </c>
      <c r="H175" s="11"/>
      <c r="I175" s="11"/>
      <c r="J175" s="12"/>
      <c r="K175" s="14" t="str">
        <f t="shared" si="2"/>
        <v>NO</v>
      </c>
      <c r="L175" s="12" t="s">
        <v>119</v>
      </c>
      <c r="M175" s="12" t="s">
        <v>975</v>
      </c>
      <c r="N175" s="12" t="s">
        <v>976</v>
      </c>
      <c r="O175" s="12" t="s">
        <v>977</v>
      </c>
    </row>
    <row r="176" spans="1:15" ht="29" customHeight="1" x14ac:dyDescent="0.35">
      <c r="A176" s="11">
        <v>171</v>
      </c>
      <c r="B176" s="12" t="s">
        <v>978</v>
      </c>
      <c r="C176" s="12" t="s">
        <v>979</v>
      </c>
      <c r="D176" s="11">
        <v>2026</v>
      </c>
      <c r="E176" s="12" t="s">
        <v>143</v>
      </c>
      <c r="F176" s="12" t="s">
        <v>879</v>
      </c>
      <c r="G176" s="11" t="s">
        <v>125</v>
      </c>
      <c r="H176" s="11"/>
      <c r="I176" s="11"/>
      <c r="J176" s="12"/>
      <c r="K176" s="14" t="str">
        <f t="shared" si="2"/>
        <v>NO</v>
      </c>
      <c r="L176" s="12" t="s">
        <v>119</v>
      </c>
      <c r="M176" s="12" t="s">
        <v>980</v>
      </c>
      <c r="N176" s="12" t="s">
        <v>981</v>
      </c>
      <c r="O176" s="12" t="s">
        <v>982</v>
      </c>
    </row>
    <row r="177" spans="1:15" ht="29" customHeight="1" x14ac:dyDescent="0.35">
      <c r="A177" s="11">
        <v>172</v>
      </c>
      <c r="B177" s="12" t="s">
        <v>983</v>
      </c>
      <c r="C177" s="12" t="s">
        <v>984</v>
      </c>
      <c r="D177" s="11">
        <v>2026</v>
      </c>
      <c r="E177" s="12" t="s">
        <v>143</v>
      </c>
      <c r="F177" s="12" t="s">
        <v>879</v>
      </c>
      <c r="G177" s="11" t="s">
        <v>125</v>
      </c>
      <c r="H177" s="11"/>
      <c r="I177" s="11"/>
      <c r="J177" s="12"/>
      <c r="K177" s="14" t="str">
        <f t="shared" si="2"/>
        <v>NO</v>
      </c>
      <c r="L177" s="12" t="s">
        <v>119</v>
      </c>
      <c r="M177" s="12" t="s">
        <v>894</v>
      </c>
      <c r="N177" s="12" t="s">
        <v>985</v>
      </c>
      <c r="O177" s="12" t="s">
        <v>986</v>
      </c>
    </row>
    <row r="178" spans="1:15" ht="41.5" customHeight="1" x14ac:dyDescent="0.35">
      <c r="A178" s="11">
        <v>173</v>
      </c>
      <c r="B178" s="12" t="s">
        <v>987</v>
      </c>
      <c r="C178" s="12" t="s">
        <v>984</v>
      </c>
      <c r="D178" s="11">
        <v>2026</v>
      </c>
      <c r="E178" s="12" t="s">
        <v>143</v>
      </c>
      <c r="F178" s="12" t="s">
        <v>879</v>
      </c>
      <c r="G178" s="11" t="s">
        <v>125</v>
      </c>
      <c r="H178" s="11"/>
      <c r="I178" s="11"/>
      <c r="J178" s="12"/>
      <c r="K178" s="14" t="str">
        <f t="shared" si="2"/>
        <v>NO</v>
      </c>
      <c r="L178" s="12" t="s">
        <v>119</v>
      </c>
      <c r="M178" s="12" t="s">
        <v>894</v>
      </c>
      <c r="N178" s="12" t="s">
        <v>988</v>
      </c>
      <c r="O178" s="12" t="s">
        <v>989</v>
      </c>
    </row>
    <row r="179" spans="1:15" ht="29" customHeight="1" x14ac:dyDescent="0.35">
      <c r="A179" s="11">
        <v>174</v>
      </c>
      <c r="B179" s="12" t="s">
        <v>990</v>
      </c>
      <c r="C179" s="12" t="s">
        <v>991</v>
      </c>
      <c r="D179" s="11">
        <v>2021</v>
      </c>
      <c r="E179" s="12" t="s">
        <v>992</v>
      </c>
      <c r="F179" s="12" t="s">
        <v>993</v>
      </c>
      <c r="G179" s="11" t="s">
        <v>118</v>
      </c>
      <c r="H179" s="11" t="s">
        <v>118</v>
      </c>
      <c r="I179" s="11" t="s">
        <v>118</v>
      </c>
      <c r="J179" s="12"/>
      <c r="K179" s="14" t="str">
        <f t="shared" si="2"/>
        <v>YES</v>
      </c>
      <c r="L179" s="12" t="s">
        <v>119</v>
      </c>
      <c r="M179" s="12"/>
      <c r="N179" s="12" t="s">
        <v>994</v>
      </c>
      <c r="O179" s="12" t="s">
        <v>995</v>
      </c>
    </row>
    <row r="180" spans="1:15" ht="41.5" customHeight="1" x14ac:dyDescent="0.35">
      <c r="A180" s="11">
        <v>175</v>
      </c>
      <c r="B180" s="12" t="s">
        <v>996</v>
      </c>
      <c r="C180" s="12" t="s">
        <v>997</v>
      </c>
      <c r="D180" s="11">
        <v>2025</v>
      </c>
      <c r="E180" s="12" t="s">
        <v>998</v>
      </c>
      <c r="F180" s="12" t="s">
        <v>993</v>
      </c>
      <c r="G180" s="11" t="s">
        <v>125</v>
      </c>
      <c r="H180" s="11"/>
      <c r="I180" s="11"/>
      <c r="J180" s="12"/>
      <c r="K180" s="14" t="str">
        <f t="shared" si="2"/>
        <v>NO</v>
      </c>
      <c r="L180" s="12" t="s">
        <v>119</v>
      </c>
      <c r="M180" s="12" t="s">
        <v>999</v>
      </c>
      <c r="N180" s="12" t="s">
        <v>1000</v>
      </c>
      <c r="O180" s="12" t="s">
        <v>1001</v>
      </c>
    </row>
    <row r="181" spans="1:15" ht="24" customHeight="1" x14ac:dyDescent="0.35">
      <c r="A181" s="11">
        <v>176</v>
      </c>
      <c r="B181" s="12" t="s">
        <v>1002</v>
      </c>
      <c r="C181" s="12" t="s">
        <v>1003</v>
      </c>
      <c r="D181" s="11">
        <v>2024</v>
      </c>
      <c r="E181" s="12" t="s">
        <v>563</v>
      </c>
      <c r="F181" s="12" t="s">
        <v>993</v>
      </c>
      <c r="G181" s="11" t="s">
        <v>118</v>
      </c>
      <c r="H181" s="11" t="s">
        <v>118</v>
      </c>
      <c r="I181" s="11" t="s">
        <v>118</v>
      </c>
      <c r="J181" s="12"/>
      <c r="K181" s="14" t="str">
        <f t="shared" si="2"/>
        <v>YES</v>
      </c>
      <c r="L181" s="12" t="s">
        <v>119</v>
      </c>
      <c r="M181" s="12"/>
      <c r="N181" s="12" t="s">
        <v>1004</v>
      </c>
      <c r="O181" s="12" t="s">
        <v>1005</v>
      </c>
    </row>
    <row r="182" spans="1:15" ht="41.5" customHeight="1" x14ac:dyDescent="0.35">
      <c r="A182" s="11">
        <v>177</v>
      </c>
      <c r="B182" s="12" t="s">
        <v>1006</v>
      </c>
      <c r="C182" s="12" t="s">
        <v>1007</v>
      </c>
      <c r="D182" s="11">
        <v>2022</v>
      </c>
      <c r="E182" s="12" t="s">
        <v>1008</v>
      </c>
      <c r="F182" s="12" t="s">
        <v>993</v>
      </c>
      <c r="G182" s="11" t="s">
        <v>125</v>
      </c>
      <c r="H182" s="11"/>
      <c r="I182" s="11"/>
      <c r="J182" s="12"/>
      <c r="K182" s="14" t="str">
        <f t="shared" si="2"/>
        <v>NO</v>
      </c>
      <c r="L182" s="12" t="s">
        <v>119</v>
      </c>
      <c r="M182" s="12" t="s">
        <v>1009</v>
      </c>
      <c r="N182" s="12" t="s">
        <v>1010</v>
      </c>
      <c r="O182" s="12" t="s">
        <v>1011</v>
      </c>
    </row>
    <row r="183" spans="1:15" ht="41.5" customHeight="1" x14ac:dyDescent="0.35">
      <c r="A183" s="11">
        <v>178</v>
      </c>
      <c r="B183" s="12" t="s">
        <v>1012</v>
      </c>
      <c r="C183" s="12" t="s">
        <v>1013</v>
      </c>
      <c r="D183" s="11">
        <v>2022</v>
      </c>
      <c r="E183" s="12" t="s">
        <v>1014</v>
      </c>
      <c r="F183" s="12" t="s">
        <v>993</v>
      </c>
      <c r="G183" s="11" t="s">
        <v>125</v>
      </c>
      <c r="H183" s="11"/>
      <c r="I183" s="11"/>
      <c r="J183" s="12"/>
      <c r="K183" s="14" t="str">
        <f t="shared" si="2"/>
        <v>NO</v>
      </c>
      <c r="L183" s="12" t="s">
        <v>119</v>
      </c>
      <c r="M183" s="12" t="s">
        <v>1015</v>
      </c>
      <c r="N183" s="12" t="s">
        <v>1016</v>
      </c>
      <c r="O183" s="12" t="s">
        <v>1017</v>
      </c>
    </row>
    <row r="184" spans="1:15" ht="41.5" customHeight="1" x14ac:dyDescent="0.35">
      <c r="A184" s="11">
        <v>179</v>
      </c>
      <c r="B184" s="12" t="s">
        <v>1018</v>
      </c>
      <c r="C184" s="12" t="s">
        <v>1019</v>
      </c>
      <c r="D184" s="11">
        <v>2024</v>
      </c>
      <c r="E184" s="12" t="s">
        <v>1020</v>
      </c>
      <c r="F184" s="12" t="s">
        <v>993</v>
      </c>
      <c r="G184" s="11" t="s">
        <v>125</v>
      </c>
      <c r="H184" s="11"/>
      <c r="I184" s="11"/>
      <c r="J184" s="12"/>
      <c r="K184" s="14" t="str">
        <f t="shared" si="2"/>
        <v>NO</v>
      </c>
      <c r="L184" s="12" t="s">
        <v>119</v>
      </c>
      <c r="M184" s="12" t="s">
        <v>1021</v>
      </c>
      <c r="N184" s="12" t="s">
        <v>1022</v>
      </c>
      <c r="O184" s="12" t="s">
        <v>1023</v>
      </c>
    </row>
    <row r="185" spans="1:15" ht="41.5" customHeight="1" x14ac:dyDescent="0.35">
      <c r="A185" s="11">
        <v>180</v>
      </c>
      <c r="B185" s="12" t="s">
        <v>1024</v>
      </c>
      <c r="C185" s="12" t="s">
        <v>1025</v>
      </c>
      <c r="D185" s="11">
        <v>2024</v>
      </c>
      <c r="E185" s="12" t="s">
        <v>137</v>
      </c>
      <c r="F185" s="12" t="s">
        <v>993</v>
      </c>
      <c r="G185" s="11" t="s">
        <v>125</v>
      </c>
      <c r="H185" s="11"/>
      <c r="I185" s="11"/>
      <c r="J185" s="12"/>
      <c r="K185" s="14" t="str">
        <f t="shared" si="2"/>
        <v>NO</v>
      </c>
      <c r="L185" s="12" t="s">
        <v>119</v>
      </c>
      <c r="M185" s="12" t="s">
        <v>1026</v>
      </c>
      <c r="N185" s="12" t="s">
        <v>1027</v>
      </c>
      <c r="O185" s="12" t="s">
        <v>1028</v>
      </c>
    </row>
    <row r="186" spans="1:15" ht="29" customHeight="1" x14ac:dyDescent="0.35">
      <c r="A186" s="11">
        <v>181</v>
      </c>
      <c r="B186" s="12" t="s">
        <v>1029</v>
      </c>
      <c r="C186" s="12" t="s">
        <v>1030</v>
      </c>
      <c r="D186" s="11">
        <v>2022</v>
      </c>
      <c r="E186" s="12" t="s">
        <v>172</v>
      </c>
      <c r="F186" s="12" t="s">
        <v>993</v>
      </c>
      <c r="G186" s="11" t="s">
        <v>118</v>
      </c>
      <c r="H186" s="11" t="s">
        <v>125</v>
      </c>
      <c r="I186" s="11"/>
      <c r="J186" s="12"/>
      <c r="K186" s="14" t="str">
        <f t="shared" si="2"/>
        <v>NO</v>
      </c>
      <c r="L186" s="12" t="s">
        <v>119</v>
      </c>
      <c r="M186" s="12" t="s">
        <v>1031</v>
      </c>
      <c r="N186" s="12" t="s">
        <v>1032</v>
      </c>
      <c r="O186" s="12" t="s">
        <v>1033</v>
      </c>
    </row>
    <row r="187" spans="1:15" ht="29" customHeight="1" x14ac:dyDescent="0.35">
      <c r="A187" s="11">
        <v>182</v>
      </c>
      <c r="B187" s="12" t="s">
        <v>1034</v>
      </c>
      <c r="C187" s="12" t="s">
        <v>1035</v>
      </c>
      <c r="D187" s="11">
        <v>2024</v>
      </c>
      <c r="E187" s="12" t="s">
        <v>1036</v>
      </c>
      <c r="F187" s="12" t="s">
        <v>993</v>
      </c>
      <c r="G187" s="11" t="s">
        <v>125</v>
      </c>
      <c r="H187" s="11"/>
      <c r="I187" s="11"/>
      <c r="J187" s="12"/>
      <c r="K187" s="14" t="str">
        <f t="shared" si="2"/>
        <v>NO</v>
      </c>
      <c r="L187" s="12" t="s">
        <v>119</v>
      </c>
      <c r="M187" s="12" t="s">
        <v>1037</v>
      </c>
      <c r="N187" s="12" t="s">
        <v>1038</v>
      </c>
      <c r="O187" s="12" t="s">
        <v>1039</v>
      </c>
    </row>
    <row r="188" spans="1:15" ht="41.5" customHeight="1" x14ac:dyDescent="0.35">
      <c r="A188" s="11">
        <v>183</v>
      </c>
      <c r="B188" s="12" t="s">
        <v>1040</v>
      </c>
      <c r="C188" s="12" t="s">
        <v>1041</v>
      </c>
      <c r="D188" s="11">
        <v>2025</v>
      </c>
      <c r="E188" s="12" t="s">
        <v>1042</v>
      </c>
      <c r="F188" s="12" t="s">
        <v>993</v>
      </c>
      <c r="G188" s="11" t="s">
        <v>125</v>
      </c>
      <c r="H188" s="11"/>
      <c r="I188" s="11"/>
      <c r="J188" s="12"/>
      <c r="K188" s="14" t="str">
        <f t="shared" si="2"/>
        <v>NO</v>
      </c>
      <c r="L188" s="12" t="s">
        <v>119</v>
      </c>
      <c r="M188" s="12" t="s">
        <v>1043</v>
      </c>
      <c r="N188" s="12" t="s">
        <v>1044</v>
      </c>
      <c r="O188" s="12" t="s">
        <v>1045</v>
      </c>
    </row>
    <row r="189" spans="1:15" ht="24" customHeight="1" x14ac:dyDescent="0.35">
      <c r="A189" s="11">
        <v>184</v>
      </c>
      <c r="B189" s="12" t="s">
        <v>1046</v>
      </c>
      <c r="C189" s="12" t="s">
        <v>1047</v>
      </c>
      <c r="D189" s="11">
        <v>2024</v>
      </c>
      <c r="E189" s="12" t="s">
        <v>1048</v>
      </c>
      <c r="F189" s="12" t="s">
        <v>993</v>
      </c>
      <c r="G189" s="11" t="s">
        <v>118</v>
      </c>
      <c r="H189" s="11" t="s">
        <v>118</v>
      </c>
      <c r="I189" s="11" t="s">
        <v>118</v>
      </c>
      <c r="J189" s="12"/>
      <c r="K189" s="14" t="str">
        <f t="shared" si="2"/>
        <v>YES</v>
      </c>
      <c r="L189" s="12" t="s">
        <v>119</v>
      </c>
      <c r="M189" s="12"/>
      <c r="N189" s="12" t="s">
        <v>1049</v>
      </c>
      <c r="O189" s="12" t="s">
        <v>1050</v>
      </c>
    </row>
    <row r="190" spans="1:15" ht="66.5" customHeight="1" x14ac:dyDescent="0.35">
      <c r="A190" s="11">
        <v>185</v>
      </c>
      <c r="B190" s="12" t="s">
        <v>1051</v>
      </c>
      <c r="C190" s="12" t="s">
        <v>1052</v>
      </c>
      <c r="D190" s="11">
        <v>2022</v>
      </c>
      <c r="E190" s="12" t="s">
        <v>1053</v>
      </c>
      <c r="F190" s="12" t="s">
        <v>993</v>
      </c>
      <c r="G190" s="11" t="s">
        <v>125</v>
      </c>
      <c r="H190" s="11"/>
      <c r="I190" s="11"/>
      <c r="J190" s="12"/>
      <c r="K190" s="14" t="str">
        <f t="shared" si="2"/>
        <v>NO</v>
      </c>
      <c r="L190" s="12" t="s">
        <v>119</v>
      </c>
      <c r="M190" s="12" t="s">
        <v>1054</v>
      </c>
      <c r="N190" s="12" t="s">
        <v>1055</v>
      </c>
      <c r="O190" s="12" t="s">
        <v>1056</v>
      </c>
    </row>
    <row r="191" spans="1:15" ht="54" customHeight="1" x14ac:dyDescent="0.35">
      <c r="A191" s="11">
        <v>186</v>
      </c>
      <c r="B191" s="12" t="s">
        <v>1057</v>
      </c>
      <c r="C191" s="12" t="s">
        <v>1058</v>
      </c>
      <c r="D191" s="11">
        <v>2025</v>
      </c>
      <c r="E191" s="12" t="s">
        <v>1059</v>
      </c>
      <c r="F191" s="12" t="s">
        <v>993</v>
      </c>
      <c r="G191" s="11" t="s">
        <v>125</v>
      </c>
      <c r="H191" s="11"/>
      <c r="I191" s="11"/>
      <c r="J191" s="12"/>
      <c r="K191" s="14" t="str">
        <f t="shared" si="2"/>
        <v>NO</v>
      </c>
      <c r="L191" s="12" t="s">
        <v>119</v>
      </c>
      <c r="M191" s="12" t="s">
        <v>1060</v>
      </c>
      <c r="N191" s="12" t="s">
        <v>1061</v>
      </c>
      <c r="O191" s="12" t="s">
        <v>1062</v>
      </c>
    </row>
    <row r="192" spans="1:15" ht="41.5" customHeight="1" x14ac:dyDescent="0.35">
      <c r="A192" s="11">
        <v>187</v>
      </c>
      <c r="B192" s="12" t="s">
        <v>1063</v>
      </c>
      <c r="C192" s="12" t="s">
        <v>1064</v>
      </c>
      <c r="D192" s="11">
        <v>2025</v>
      </c>
      <c r="E192" s="12" t="s">
        <v>1065</v>
      </c>
      <c r="F192" s="12" t="s">
        <v>993</v>
      </c>
      <c r="G192" s="11" t="s">
        <v>125</v>
      </c>
      <c r="H192" s="11"/>
      <c r="I192" s="11"/>
      <c r="J192" s="12"/>
      <c r="K192" s="14" t="str">
        <f t="shared" si="2"/>
        <v>NO</v>
      </c>
      <c r="L192" s="12" t="s">
        <v>119</v>
      </c>
      <c r="M192" s="12" t="s">
        <v>1066</v>
      </c>
      <c r="N192" s="12" t="s">
        <v>1067</v>
      </c>
      <c r="O192" s="12" t="s">
        <v>1068</v>
      </c>
    </row>
    <row r="193" spans="1:15" ht="24" customHeight="1" x14ac:dyDescent="0.35">
      <c r="A193" s="11">
        <v>188</v>
      </c>
      <c r="B193" s="12" t="s">
        <v>1069</v>
      </c>
      <c r="C193" s="12" t="s">
        <v>1070</v>
      </c>
      <c r="D193" s="11">
        <v>2025</v>
      </c>
      <c r="E193" s="12" t="s">
        <v>1071</v>
      </c>
      <c r="F193" s="12" t="s">
        <v>993</v>
      </c>
      <c r="G193" s="11" t="s">
        <v>118</v>
      </c>
      <c r="H193" s="11" t="s">
        <v>118</v>
      </c>
      <c r="I193" s="11" t="s">
        <v>118</v>
      </c>
      <c r="J193" s="12"/>
      <c r="K193" s="14" t="str">
        <f t="shared" si="2"/>
        <v>YES</v>
      </c>
      <c r="L193" s="12" t="s">
        <v>119</v>
      </c>
      <c r="M193" s="12"/>
      <c r="N193" s="12" t="s">
        <v>1072</v>
      </c>
      <c r="O193" s="12" t="s">
        <v>1073</v>
      </c>
    </row>
    <row r="194" spans="1:15" ht="41.5" customHeight="1" x14ac:dyDescent="0.35">
      <c r="A194" s="11">
        <v>189</v>
      </c>
      <c r="B194" s="12" t="s">
        <v>1074</v>
      </c>
      <c r="C194" s="12" t="s">
        <v>1075</v>
      </c>
      <c r="D194" s="11">
        <v>2025</v>
      </c>
      <c r="E194" s="12" t="s">
        <v>212</v>
      </c>
      <c r="F194" s="12" t="s">
        <v>993</v>
      </c>
      <c r="G194" s="11" t="s">
        <v>125</v>
      </c>
      <c r="H194" s="11"/>
      <c r="I194" s="11"/>
      <c r="J194" s="12"/>
      <c r="K194" s="14" t="str">
        <f t="shared" si="2"/>
        <v>NO</v>
      </c>
      <c r="L194" s="12" t="s">
        <v>119</v>
      </c>
      <c r="M194" s="12" t="s">
        <v>1076</v>
      </c>
      <c r="N194" s="12" t="s">
        <v>1077</v>
      </c>
      <c r="O194" s="12" t="s">
        <v>1078</v>
      </c>
    </row>
    <row r="195" spans="1:15" ht="29" customHeight="1" x14ac:dyDescent="0.35">
      <c r="A195" s="11">
        <v>190</v>
      </c>
      <c r="B195" s="12" t="s">
        <v>1079</v>
      </c>
      <c r="C195" s="12" t="s">
        <v>1080</v>
      </c>
      <c r="D195" s="11">
        <v>2025</v>
      </c>
      <c r="E195" s="12" t="s">
        <v>1081</v>
      </c>
      <c r="F195" s="12" t="s">
        <v>993</v>
      </c>
      <c r="G195" s="11" t="s">
        <v>125</v>
      </c>
      <c r="H195" s="11"/>
      <c r="I195" s="11"/>
      <c r="J195" s="12"/>
      <c r="K195" s="14" t="str">
        <f t="shared" si="2"/>
        <v>NO</v>
      </c>
      <c r="L195" s="12" t="s">
        <v>119</v>
      </c>
      <c r="M195" s="12" t="s">
        <v>1082</v>
      </c>
      <c r="N195" s="12" t="s">
        <v>1083</v>
      </c>
      <c r="O195" s="12" t="s">
        <v>1084</v>
      </c>
    </row>
    <row r="196" spans="1:15" ht="29" customHeight="1" x14ac:dyDescent="0.35">
      <c r="A196" s="11">
        <v>191</v>
      </c>
      <c r="B196" s="12" t="s">
        <v>1085</v>
      </c>
      <c r="C196" s="12" t="s">
        <v>1086</v>
      </c>
      <c r="D196" s="11">
        <v>2024</v>
      </c>
      <c r="E196" s="12" t="s">
        <v>172</v>
      </c>
      <c r="F196" s="12" t="s">
        <v>993</v>
      </c>
      <c r="G196" s="11" t="s">
        <v>125</v>
      </c>
      <c r="H196" s="11"/>
      <c r="I196" s="11"/>
      <c r="J196" s="12"/>
      <c r="K196" s="14" t="str">
        <f t="shared" si="2"/>
        <v>NO</v>
      </c>
      <c r="L196" s="12" t="s">
        <v>119</v>
      </c>
      <c r="M196" s="12" t="s">
        <v>1087</v>
      </c>
      <c r="N196" s="12" t="s">
        <v>1088</v>
      </c>
      <c r="O196" s="12" t="s">
        <v>1089</v>
      </c>
    </row>
    <row r="197" spans="1:15" ht="41.5" customHeight="1" x14ac:dyDescent="0.35">
      <c r="A197" s="11">
        <v>192</v>
      </c>
      <c r="B197" s="12" t="s">
        <v>1090</v>
      </c>
      <c r="C197" s="12" t="s">
        <v>1091</v>
      </c>
      <c r="D197" s="11">
        <v>2023</v>
      </c>
      <c r="E197" s="12" t="s">
        <v>1092</v>
      </c>
      <c r="F197" s="12" t="s">
        <v>993</v>
      </c>
      <c r="G197" s="11" t="s">
        <v>118</v>
      </c>
      <c r="H197" s="11" t="s">
        <v>125</v>
      </c>
      <c r="I197" s="11"/>
      <c r="J197" s="12"/>
      <c r="K197" s="14" t="str">
        <f t="shared" si="2"/>
        <v>NO</v>
      </c>
      <c r="L197" s="12" t="s">
        <v>119</v>
      </c>
      <c r="M197" s="12" t="s">
        <v>1093</v>
      </c>
      <c r="N197" s="12" t="s">
        <v>1094</v>
      </c>
      <c r="O197" s="12" t="s">
        <v>1095</v>
      </c>
    </row>
    <row r="198" spans="1:15" ht="54" customHeight="1" x14ac:dyDescent="0.35">
      <c r="A198" s="11">
        <v>193</v>
      </c>
      <c r="B198" s="12" t="s">
        <v>1096</v>
      </c>
      <c r="C198" s="12" t="s">
        <v>1097</v>
      </c>
      <c r="D198" s="11">
        <v>2022</v>
      </c>
      <c r="E198" s="12" t="s">
        <v>1098</v>
      </c>
      <c r="F198" s="12" t="s">
        <v>993</v>
      </c>
      <c r="G198" s="11" t="s">
        <v>125</v>
      </c>
      <c r="H198" s="11"/>
      <c r="I198" s="11"/>
      <c r="J198" s="12"/>
      <c r="K198" s="14" t="str">
        <f t="shared" ref="K198:K235" si="3">IF(AND(G198="KEEP",H198="KEEP",I198="KEEP"),"YES",IF(OR(G198="DROP",H198="DROP",I198="DROP"),"NO",""))</f>
        <v>NO</v>
      </c>
      <c r="L198" s="12" t="s">
        <v>119</v>
      </c>
      <c r="M198" s="12" t="s">
        <v>716</v>
      </c>
      <c r="N198" s="12" t="s">
        <v>1099</v>
      </c>
      <c r="O198" s="12" t="s">
        <v>1100</v>
      </c>
    </row>
    <row r="199" spans="1:15" ht="54" customHeight="1" x14ac:dyDescent="0.35">
      <c r="A199" s="11">
        <v>194</v>
      </c>
      <c r="B199" s="12" t="s">
        <v>1101</v>
      </c>
      <c r="C199" s="12" t="s">
        <v>1102</v>
      </c>
      <c r="D199" s="11">
        <v>2026</v>
      </c>
      <c r="E199" s="12" t="s">
        <v>454</v>
      </c>
      <c r="F199" s="12" t="s">
        <v>993</v>
      </c>
      <c r="G199" s="11" t="s">
        <v>125</v>
      </c>
      <c r="H199" s="11"/>
      <c r="I199" s="11"/>
      <c r="J199" s="12"/>
      <c r="K199" s="14" t="str">
        <f t="shared" si="3"/>
        <v>NO</v>
      </c>
      <c r="L199" s="12" t="s">
        <v>119</v>
      </c>
      <c r="M199" s="12" t="s">
        <v>1103</v>
      </c>
      <c r="N199" s="12" t="s">
        <v>1104</v>
      </c>
      <c r="O199" s="12" t="s">
        <v>1105</v>
      </c>
    </row>
    <row r="200" spans="1:15" ht="29" customHeight="1" x14ac:dyDescent="0.35">
      <c r="A200" s="11">
        <v>195</v>
      </c>
      <c r="B200" s="12" t="s">
        <v>1106</v>
      </c>
      <c r="C200" s="12" t="s">
        <v>1107</v>
      </c>
      <c r="D200" s="11">
        <v>2025</v>
      </c>
      <c r="E200" s="12" t="s">
        <v>1108</v>
      </c>
      <c r="F200" s="12" t="s">
        <v>993</v>
      </c>
      <c r="G200" s="11" t="s">
        <v>125</v>
      </c>
      <c r="H200" s="11"/>
      <c r="I200" s="11"/>
      <c r="J200" s="12"/>
      <c r="K200" s="14" t="str">
        <f t="shared" si="3"/>
        <v>NO</v>
      </c>
      <c r="L200" s="12" t="s">
        <v>119</v>
      </c>
      <c r="M200" s="12" t="s">
        <v>1109</v>
      </c>
      <c r="N200" s="12" t="s">
        <v>1110</v>
      </c>
      <c r="O200" s="12" t="s">
        <v>1111</v>
      </c>
    </row>
    <row r="201" spans="1:15" ht="54" customHeight="1" x14ac:dyDescent="0.35">
      <c r="A201" s="11">
        <v>196</v>
      </c>
      <c r="B201" s="12" t="s">
        <v>1112</v>
      </c>
      <c r="C201" s="12" t="s">
        <v>1113</v>
      </c>
      <c r="D201" s="11">
        <v>2025</v>
      </c>
      <c r="E201" s="12" t="s">
        <v>1114</v>
      </c>
      <c r="F201" s="12" t="s">
        <v>993</v>
      </c>
      <c r="G201" s="11" t="s">
        <v>125</v>
      </c>
      <c r="H201" s="11"/>
      <c r="I201" s="11"/>
      <c r="J201" s="12"/>
      <c r="K201" s="14" t="str">
        <f t="shared" si="3"/>
        <v>NO</v>
      </c>
      <c r="L201" s="12" t="s">
        <v>119</v>
      </c>
      <c r="M201" s="12" t="s">
        <v>1115</v>
      </c>
      <c r="N201" s="12" t="s">
        <v>1116</v>
      </c>
      <c r="O201" s="12" t="s">
        <v>1117</v>
      </c>
    </row>
    <row r="202" spans="1:15" ht="29" customHeight="1" x14ac:dyDescent="0.35">
      <c r="A202" s="11">
        <v>197</v>
      </c>
      <c r="B202" s="12" t="s">
        <v>1118</v>
      </c>
      <c r="C202" s="12" t="s">
        <v>1119</v>
      </c>
      <c r="D202" s="11">
        <v>2024</v>
      </c>
      <c r="E202" s="12" t="s">
        <v>172</v>
      </c>
      <c r="F202" s="12" t="s">
        <v>993</v>
      </c>
      <c r="G202" s="11" t="s">
        <v>125</v>
      </c>
      <c r="H202" s="11"/>
      <c r="I202" s="11"/>
      <c r="J202" s="12"/>
      <c r="K202" s="14" t="str">
        <f t="shared" si="3"/>
        <v>NO</v>
      </c>
      <c r="L202" s="12" t="s">
        <v>119</v>
      </c>
      <c r="M202" s="12" t="s">
        <v>1120</v>
      </c>
      <c r="N202" s="12" t="s">
        <v>1121</v>
      </c>
      <c r="O202" s="12" t="s">
        <v>1122</v>
      </c>
    </row>
    <row r="203" spans="1:15" ht="29" customHeight="1" x14ac:dyDescent="0.35">
      <c r="A203" s="11">
        <v>198</v>
      </c>
      <c r="B203" s="12" t="s">
        <v>1123</v>
      </c>
      <c r="C203" s="12" t="s">
        <v>1124</v>
      </c>
      <c r="D203" s="11">
        <v>2023</v>
      </c>
      <c r="E203" s="12" t="s">
        <v>172</v>
      </c>
      <c r="F203" s="12" t="s">
        <v>993</v>
      </c>
      <c r="G203" s="11" t="s">
        <v>125</v>
      </c>
      <c r="H203" s="11"/>
      <c r="I203" s="11"/>
      <c r="J203" s="12"/>
      <c r="K203" s="14" t="str">
        <f t="shared" si="3"/>
        <v>NO</v>
      </c>
      <c r="L203" s="12" t="s">
        <v>119</v>
      </c>
      <c r="M203" s="12" t="s">
        <v>1125</v>
      </c>
      <c r="N203" s="12" t="s">
        <v>1126</v>
      </c>
      <c r="O203" s="12" t="s">
        <v>1127</v>
      </c>
    </row>
    <row r="204" spans="1:15" ht="54" customHeight="1" x14ac:dyDescent="0.35">
      <c r="A204" s="11">
        <v>199</v>
      </c>
      <c r="B204" s="12" t="s">
        <v>1128</v>
      </c>
      <c r="C204" s="12" t="s">
        <v>1129</v>
      </c>
      <c r="D204" s="11">
        <v>2025</v>
      </c>
      <c r="E204" s="12" t="s">
        <v>1130</v>
      </c>
      <c r="F204" s="12" t="s">
        <v>1131</v>
      </c>
      <c r="G204" s="11" t="s">
        <v>118</v>
      </c>
      <c r="H204" s="11" t="s">
        <v>118</v>
      </c>
      <c r="I204" s="11" t="s">
        <v>118</v>
      </c>
      <c r="J204" s="12"/>
      <c r="K204" s="14" t="str">
        <f t="shared" si="3"/>
        <v>YES</v>
      </c>
      <c r="L204" s="12" t="s">
        <v>1132</v>
      </c>
      <c r="M204" s="12" t="s">
        <v>1133</v>
      </c>
      <c r="N204" s="12"/>
      <c r="O204" s="12" t="s">
        <v>1134</v>
      </c>
    </row>
    <row r="205" spans="1:15" ht="54" customHeight="1" x14ac:dyDescent="0.35">
      <c r="A205" s="11">
        <v>200</v>
      </c>
      <c r="B205" s="12" t="s">
        <v>1135</v>
      </c>
      <c r="C205" s="12" t="s">
        <v>1136</v>
      </c>
      <c r="D205" s="11">
        <v>2021</v>
      </c>
      <c r="E205" s="12" t="s">
        <v>392</v>
      </c>
      <c r="F205" s="12" t="s">
        <v>1131</v>
      </c>
      <c r="G205" s="11" t="s">
        <v>118</v>
      </c>
      <c r="H205" s="11" t="s">
        <v>118</v>
      </c>
      <c r="I205" s="11" t="s">
        <v>118</v>
      </c>
      <c r="J205" s="12"/>
      <c r="K205" s="14" t="str">
        <f t="shared" si="3"/>
        <v>YES</v>
      </c>
      <c r="L205" s="12" t="s">
        <v>1132</v>
      </c>
      <c r="M205" s="12" t="s">
        <v>1137</v>
      </c>
      <c r="N205" s="12"/>
      <c r="O205" s="12" t="s">
        <v>1138</v>
      </c>
    </row>
    <row r="206" spans="1:15" ht="54" customHeight="1" x14ac:dyDescent="0.35">
      <c r="A206" s="11">
        <v>201</v>
      </c>
      <c r="B206" s="12" t="s">
        <v>1139</v>
      </c>
      <c r="C206" s="12" t="s">
        <v>1140</v>
      </c>
      <c r="D206" s="11">
        <v>2017</v>
      </c>
      <c r="E206" s="12" t="s">
        <v>1141</v>
      </c>
      <c r="F206" s="12" t="s">
        <v>1131</v>
      </c>
      <c r="G206" s="11" t="s">
        <v>118</v>
      </c>
      <c r="H206" s="11" t="s">
        <v>118</v>
      </c>
      <c r="I206" s="11" t="s">
        <v>118</v>
      </c>
      <c r="J206" s="12"/>
      <c r="K206" s="14" t="str">
        <f t="shared" si="3"/>
        <v>YES</v>
      </c>
      <c r="L206" s="12" t="s">
        <v>1132</v>
      </c>
      <c r="M206" s="12" t="s">
        <v>1142</v>
      </c>
      <c r="N206" s="12"/>
      <c r="O206" s="12" t="s">
        <v>1143</v>
      </c>
    </row>
    <row r="207" spans="1:15" ht="54" customHeight="1" x14ac:dyDescent="0.35">
      <c r="A207" s="11">
        <v>202</v>
      </c>
      <c r="B207" s="12" t="s">
        <v>1144</v>
      </c>
      <c r="C207" s="12" t="s">
        <v>1145</v>
      </c>
      <c r="D207" s="11">
        <v>2023</v>
      </c>
      <c r="E207" s="12" t="s">
        <v>1146</v>
      </c>
      <c r="F207" s="12" t="s">
        <v>1147</v>
      </c>
      <c r="G207" s="11" t="s">
        <v>118</v>
      </c>
      <c r="H207" s="11" t="s">
        <v>118</v>
      </c>
      <c r="I207" s="11" t="s">
        <v>118</v>
      </c>
      <c r="J207" s="12"/>
      <c r="K207" s="14" t="str">
        <f t="shared" si="3"/>
        <v>YES</v>
      </c>
      <c r="L207" s="12" t="s">
        <v>1132</v>
      </c>
      <c r="M207" s="12" t="s">
        <v>1148</v>
      </c>
      <c r="N207" s="12"/>
      <c r="O207" s="12" t="s">
        <v>1149</v>
      </c>
    </row>
    <row r="208" spans="1:15" ht="54" customHeight="1" x14ac:dyDescent="0.35">
      <c r="A208" s="11">
        <v>203</v>
      </c>
      <c r="B208" s="12" t="s">
        <v>1150</v>
      </c>
      <c r="C208" s="12" t="s">
        <v>1151</v>
      </c>
      <c r="D208" s="11">
        <v>2022</v>
      </c>
      <c r="E208" s="12" t="s">
        <v>1152</v>
      </c>
      <c r="F208" s="12" t="s">
        <v>1131</v>
      </c>
      <c r="G208" s="11" t="s">
        <v>118</v>
      </c>
      <c r="H208" s="11" t="s">
        <v>118</v>
      </c>
      <c r="I208" s="11" t="s">
        <v>118</v>
      </c>
      <c r="J208" s="12"/>
      <c r="K208" s="14" t="str">
        <f t="shared" si="3"/>
        <v>YES</v>
      </c>
      <c r="L208" s="12" t="s">
        <v>1132</v>
      </c>
      <c r="M208" s="12" t="s">
        <v>1153</v>
      </c>
      <c r="N208" s="12"/>
      <c r="O208" s="12" t="s">
        <v>1154</v>
      </c>
    </row>
    <row r="209" spans="1:15" ht="54" customHeight="1" x14ac:dyDescent="0.35">
      <c r="A209" s="11">
        <v>204</v>
      </c>
      <c r="B209" s="12" t="s">
        <v>1155</v>
      </c>
      <c r="C209" s="12" t="s">
        <v>1156</v>
      </c>
      <c r="D209" s="11">
        <v>2023</v>
      </c>
      <c r="E209" s="12" t="s">
        <v>402</v>
      </c>
      <c r="F209" s="12" t="s">
        <v>1131</v>
      </c>
      <c r="G209" s="11" t="s">
        <v>118</v>
      </c>
      <c r="H209" s="11" t="s">
        <v>118</v>
      </c>
      <c r="I209" s="11" t="s">
        <v>118</v>
      </c>
      <c r="J209" s="12"/>
      <c r="K209" s="14" t="str">
        <f t="shared" si="3"/>
        <v>YES</v>
      </c>
      <c r="L209" s="12" t="s">
        <v>1132</v>
      </c>
      <c r="M209" s="12" t="s">
        <v>1157</v>
      </c>
      <c r="N209" s="12"/>
      <c r="O209" s="12" t="s">
        <v>1158</v>
      </c>
    </row>
    <row r="210" spans="1:15" ht="54" customHeight="1" x14ac:dyDescent="0.35">
      <c r="A210" s="11">
        <v>205</v>
      </c>
      <c r="B210" s="12" t="s">
        <v>1159</v>
      </c>
      <c r="C210" s="12" t="s">
        <v>1160</v>
      </c>
      <c r="D210" s="11">
        <v>2023</v>
      </c>
      <c r="E210" s="12" t="s">
        <v>402</v>
      </c>
      <c r="F210" s="12" t="s">
        <v>1131</v>
      </c>
      <c r="G210" s="11" t="s">
        <v>118</v>
      </c>
      <c r="H210" s="11" t="s">
        <v>118</v>
      </c>
      <c r="I210" s="11" t="s">
        <v>118</v>
      </c>
      <c r="J210" s="12"/>
      <c r="K210" s="14" t="str">
        <f t="shared" si="3"/>
        <v>YES</v>
      </c>
      <c r="L210" s="12" t="s">
        <v>1132</v>
      </c>
      <c r="M210" s="12" t="s">
        <v>1161</v>
      </c>
      <c r="N210" s="12"/>
      <c r="O210" s="12" t="s">
        <v>1162</v>
      </c>
    </row>
    <row r="211" spans="1:15" ht="54" customHeight="1" x14ac:dyDescent="0.35">
      <c r="A211" s="11">
        <v>206</v>
      </c>
      <c r="B211" s="12" t="s">
        <v>1163</v>
      </c>
      <c r="C211" s="12" t="s">
        <v>1164</v>
      </c>
      <c r="D211" s="11">
        <v>2023</v>
      </c>
      <c r="E211" s="12" t="s">
        <v>402</v>
      </c>
      <c r="F211" s="12" t="s">
        <v>1131</v>
      </c>
      <c r="G211" s="11" t="s">
        <v>118</v>
      </c>
      <c r="H211" s="11" t="s">
        <v>118</v>
      </c>
      <c r="I211" s="11" t="s">
        <v>118</v>
      </c>
      <c r="J211" s="12"/>
      <c r="K211" s="14" t="str">
        <f t="shared" si="3"/>
        <v>YES</v>
      </c>
      <c r="L211" s="12" t="s">
        <v>1132</v>
      </c>
      <c r="M211" s="12" t="s">
        <v>1165</v>
      </c>
      <c r="N211" s="12"/>
      <c r="O211" s="12" t="s">
        <v>1166</v>
      </c>
    </row>
    <row r="212" spans="1:15" ht="54" customHeight="1" x14ac:dyDescent="0.35">
      <c r="A212" s="11">
        <v>207</v>
      </c>
      <c r="B212" s="12" t="s">
        <v>1167</v>
      </c>
      <c r="C212" s="12" t="s">
        <v>1168</v>
      </c>
      <c r="D212" s="11">
        <v>2024</v>
      </c>
      <c r="E212" s="12" t="s">
        <v>1169</v>
      </c>
      <c r="F212" s="12" t="s">
        <v>1131</v>
      </c>
      <c r="G212" s="11" t="s">
        <v>118</v>
      </c>
      <c r="H212" s="11" t="s">
        <v>118</v>
      </c>
      <c r="I212" s="11" t="s">
        <v>118</v>
      </c>
      <c r="J212" s="12"/>
      <c r="K212" s="14" t="str">
        <f t="shared" si="3"/>
        <v>YES</v>
      </c>
      <c r="L212" s="12" t="s">
        <v>1132</v>
      </c>
      <c r="M212" s="12" t="s">
        <v>1170</v>
      </c>
      <c r="N212" s="12"/>
      <c r="O212" s="12" t="s">
        <v>1171</v>
      </c>
    </row>
    <row r="213" spans="1:15" ht="54" customHeight="1" x14ac:dyDescent="0.35">
      <c r="A213" s="11">
        <v>208</v>
      </c>
      <c r="B213" s="12" t="s">
        <v>1172</v>
      </c>
      <c r="C213" s="12" t="s">
        <v>1173</v>
      </c>
      <c r="D213" s="11">
        <v>2024</v>
      </c>
      <c r="E213" s="12" t="s">
        <v>1174</v>
      </c>
      <c r="F213" s="12" t="s">
        <v>1131</v>
      </c>
      <c r="G213" s="11" t="s">
        <v>118</v>
      </c>
      <c r="H213" s="11" t="s">
        <v>118</v>
      </c>
      <c r="I213" s="11" t="s">
        <v>118</v>
      </c>
      <c r="J213" s="12"/>
      <c r="K213" s="14" t="str">
        <f t="shared" si="3"/>
        <v>YES</v>
      </c>
      <c r="L213" s="12" t="s">
        <v>1132</v>
      </c>
      <c r="M213" s="12" t="s">
        <v>1175</v>
      </c>
      <c r="N213" s="12"/>
      <c r="O213" s="12" t="s">
        <v>1176</v>
      </c>
    </row>
    <row r="214" spans="1:15" ht="54" customHeight="1" x14ac:dyDescent="0.35">
      <c r="A214" s="11">
        <v>209</v>
      </c>
      <c r="B214" s="12" t="s">
        <v>1177</v>
      </c>
      <c r="C214" s="12" t="s">
        <v>1178</v>
      </c>
      <c r="D214" s="11">
        <v>2024</v>
      </c>
      <c r="E214" s="12" t="s">
        <v>1174</v>
      </c>
      <c r="F214" s="12" t="s">
        <v>1131</v>
      </c>
      <c r="G214" s="11" t="s">
        <v>118</v>
      </c>
      <c r="H214" s="11" t="s">
        <v>118</v>
      </c>
      <c r="I214" s="11" t="s">
        <v>118</v>
      </c>
      <c r="J214" s="12"/>
      <c r="K214" s="14" t="str">
        <f t="shared" si="3"/>
        <v>YES</v>
      </c>
      <c r="L214" s="12" t="s">
        <v>1132</v>
      </c>
      <c r="M214" s="12" t="s">
        <v>1179</v>
      </c>
      <c r="N214" s="12"/>
      <c r="O214" s="12" t="s">
        <v>1180</v>
      </c>
    </row>
    <row r="215" spans="1:15" ht="54" customHeight="1" x14ac:dyDescent="0.35">
      <c r="A215" s="11">
        <v>210</v>
      </c>
      <c r="B215" s="12" t="s">
        <v>1181</v>
      </c>
      <c r="C215" s="12" t="s">
        <v>1182</v>
      </c>
      <c r="D215" s="11">
        <v>2021</v>
      </c>
      <c r="E215" s="12" t="s">
        <v>1183</v>
      </c>
      <c r="F215" s="12" t="s">
        <v>1147</v>
      </c>
      <c r="G215" s="11" t="s">
        <v>118</v>
      </c>
      <c r="H215" s="11" t="s">
        <v>118</v>
      </c>
      <c r="I215" s="11" t="s">
        <v>118</v>
      </c>
      <c r="J215" s="12"/>
      <c r="K215" s="14" t="str">
        <f t="shared" si="3"/>
        <v>YES</v>
      </c>
      <c r="L215" s="12" t="s">
        <v>1132</v>
      </c>
      <c r="M215" s="12" t="s">
        <v>1184</v>
      </c>
      <c r="N215" s="12"/>
      <c r="O215" s="12" t="s">
        <v>1185</v>
      </c>
    </row>
    <row r="216" spans="1:15" x14ac:dyDescent="0.35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5" t="str">
        <f t="shared" si="3"/>
        <v/>
      </c>
      <c r="L216" s="12"/>
      <c r="M216" s="12"/>
      <c r="N216" s="12"/>
      <c r="O216" s="12"/>
    </row>
    <row r="217" spans="1:15" x14ac:dyDescent="0.35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5" t="str">
        <f t="shared" si="3"/>
        <v/>
      </c>
      <c r="L217" s="12"/>
      <c r="M217" s="12"/>
      <c r="N217" s="12"/>
      <c r="O217" s="12"/>
    </row>
    <row r="218" spans="1:15" x14ac:dyDescent="0.35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5" t="str">
        <f t="shared" si="3"/>
        <v/>
      </c>
      <c r="L218" s="12"/>
      <c r="M218" s="12"/>
      <c r="N218" s="12"/>
      <c r="O218" s="12"/>
    </row>
    <row r="219" spans="1:15" x14ac:dyDescent="0.35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5" t="str">
        <f t="shared" si="3"/>
        <v/>
      </c>
      <c r="L219" s="12"/>
      <c r="M219" s="12"/>
      <c r="N219" s="12"/>
      <c r="O219" s="12"/>
    </row>
    <row r="220" spans="1:15" x14ac:dyDescent="0.35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5" t="str">
        <f t="shared" si="3"/>
        <v/>
      </c>
      <c r="L220" s="12"/>
      <c r="M220" s="12"/>
      <c r="N220" s="12"/>
      <c r="O220" s="12"/>
    </row>
    <row r="221" spans="1:15" x14ac:dyDescent="0.35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5" t="str">
        <f t="shared" si="3"/>
        <v/>
      </c>
      <c r="L221" s="12"/>
      <c r="M221" s="12"/>
      <c r="N221" s="12"/>
      <c r="O221" s="12"/>
    </row>
    <row r="222" spans="1:15" x14ac:dyDescent="0.35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5" t="str">
        <f t="shared" si="3"/>
        <v/>
      </c>
      <c r="L222" s="12"/>
      <c r="M222" s="12"/>
      <c r="N222" s="12"/>
      <c r="O222" s="12"/>
    </row>
    <row r="223" spans="1:15" x14ac:dyDescent="0.35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5" t="str">
        <f t="shared" si="3"/>
        <v/>
      </c>
      <c r="L223" s="12"/>
      <c r="M223" s="12"/>
      <c r="N223" s="12"/>
      <c r="O223" s="12"/>
    </row>
    <row r="224" spans="1:15" x14ac:dyDescent="0.35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5" t="str">
        <f t="shared" si="3"/>
        <v/>
      </c>
      <c r="L224" s="12"/>
      <c r="M224" s="12"/>
      <c r="N224" s="12"/>
      <c r="O224" s="12"/>
    </row>
    <row r="225" spans="1:15" x14ac:dyDescent="0.3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5" t="str">
        <f t="shared" si="3"/>
        <v/>
      </c>
      <c r="L225" s="12"/>
      <c r="M225" s="12"/>
      <c r="N225" s="12"/>
      <c r="O225" s="12"/>
    </row>
    <row r="226" spans="1:15" x14ac:dyDescent="0.35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5" t="str">
        <f t="shared" si="3"/>
        <v/>
      </c>
      <c r="L226" s="12"/>
      <c r="M226" s="12"/>
      <c r="N226" s="12"/>
      <c r="O226" s="12"/>
    </row>
    <row r="227" spans="1:15" x14ac:dyDescent="0.35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5" t="str">
        <f t="shared" si="3"/>
        <v/>
      </c>
      <c r="L227" s="12"/>
      <c r="M227" s="12"/>
      <c r="N227" s="12"/>
      <c r="O227" s="12"/>
    </row>
    <row r="228" spans="1:15" x14ac:dyDescent="0.35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5" t="str">
        <f t="shared" si="3"/>
        <v/>
      </c>
      <c r="L228" s="12"/>
      <c r="M228" s="12"/>
      <c r="N228" s="12"/>
      <c r="O228" s="12"/>
    </row>
    <row r="229" spans="1:15" x14ac:dyDescent="0.35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5" t="str">
        <f t="shared" si="3"/>
        <v/>
      </c>
      <c r="L229" s="12"/>
      <c r="M229" s="12"/>
      <c r="N229" s="12"/>
      <c r="O229" s="12"/>
    </row>
    <row r="230" spans="1:15" x14ac:dyDescent="0.35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5" t="str">
        <f t="shared" si="3"/>
        <v/>
      </c>
      <c r="L230" s="12"/>
      <c r="M230" s="12"/>
      <c r="N230" s="12"/>
      <c r="O230" s="12"/>
    </row>
    <row r="231" spans="1:15" x14ac:dyDescent="0.35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5" t="str">
        <f t="shared" si="3"/>
        <v/>
      </c>
      <c r="L231" s="12"/>
      <c r="M231" s="12"/>
      <c r="N231" s="12"/>
      <c r="O231" s="12"/>
    </row>
    <row r="232" spans="1:15" x14ac:dyDescent="0.35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5" t="str">
        <f t="shared" si="3"/>
        <v/>
      </c>
      <c r="L232" s="12"/>
      <c r="M232" s="12"/>
      <c r="N232" s="12"/>
      <c r="O232" s="12"/>
    </row>
    <row r="233" spans="1:15" x14ac:dyDescent="0.35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5" t="str">
        <f t="shared" si="3"/>
        <v/>
      </c>
      <c r="L233" s="12"/>
      <c r="M233" s="12"/>
      <c r="N233" s="12"/>
      <c r="O233" s="12"/>
    </row>
    <row r="234" spans="1:15" x14ac:dyDescent="0.35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5" t="str">
        <f t="shared" si="3"/>
        <v/>
      </c>
      <c r="L234" s="12"/>
      <c r="M234" s="12"/>
      <c r="N234" s="12"/>
      <c r="O234" s="12"/>
    </row>
    <row r="235" spans="1:15" x14ac:dyDescent="0.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5" t="str">
        <f t="shared" si="3"/>
        <v/>
      </c>
      <c r="L235" s="12"/>
      <c r="M235" s="12"/>
      <c r="N235" s="12"/>
      <c r="O235" s="12"/>
    </row>
  </sheetData>
  <autoFilter ref="A4:O235" xr:uid="{00000000-0009-0000-0000-000002000000}"/>
  <mergeCells count="1">
    <mergeCell ref="A2:L2"/>
  </mergeCells>
  <conditionalFormatting sqref="K6:K235">
    <cfRule type="cellIs" dxfId="0" priority="1" operator="equal">
      <formula>"YES"</formula>
    </cfRule>
  </conditionalFormatting>
  <dataValidations count="3">
    <dataValidation type="list" allowBlank="1" sqref="G6:I235" xr:uid="{00000000-0002-0000-0200-000000000000}">
      <formula1>"KEEP,DROP"</formula1>
    </dataValidation>
    <dataValidation type="list" allowBlank="1" sqref="J6:J235" xr:uid="{00000000-0002-0000-0200-000001000000}">
      <formula1>"Not peer-reviewed,Outside date range,Outside scope,Free full text unavailable,Duplicate/secondary version"</formula1>
    </dataValidation>
    <dataValidation type="list" allowBlank="1" sqref="L6:L235" xr:uid="{00000000-0002-0000-0200-000002000000}">
      <formula1>"Database search,Citation chasing"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8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24" customWidth="1"/>
    <col min="3" max="3" width="7" customWidth="1"/>
    <col min="4" max="4" width="20" customWidth="1"/>
    <col min="5" max="5" width="15" customWidth="1"/>
    <col min="6" max="6" width="24" customWidth="1"/>
    <col min="7" max="7" width="28" customWidth="1"/>
    <col min="8" max="8" width="32" customWidth="1"/>
    <col min="9" max="9" width="36" customWidth="1"/>
    <col min="10" max="10" width="34" customWidth="1"/>
    <col min="11" max="11" width="22" customWidth="1"/>
    <col min="12" max="12" width="34" customWidth="1"/>
    <col min="13" max="13" width="22" customWidth="1"/>
    <col min="14" max="14" width="26" customWidth="1"/>
    <col min="15" max="15" width="9" customWidth="1"/>
  </cols>
  <sheetData>
    <row r="1" spans="1:15" ht="18" x14ac:dyDescent="0.4">
      <c r="A1" s="10" t="s">
        <v>1186</v>
      </c>
    </row>
    <row r="2" spans="1:15" ht="28" customHeight="1" x14ac:dyDescent="0.35">
      <c r="A2" s="27" t="s">
        <v>1187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4" spans="1:15" ht="42" customHeight="1" x14ac:dyDescent="0.35">
      <c r="A4" s="3" t="s">
        <v>63</v>
      </c>
      <c r="B4" s="3" t="s">
        <v>1188</v>
      </c>
      <c r="C4" s="3" t="s">
        <v>102</v>
      </c>
      <c r="D4" s="3" t="s">
        <v>103</v>
      </c>
      <c r="E4" s="3" t="s">
        <v>1189</v>
      </c>
      <c r="F4" s="3" t="s">
        <v>1190</v>
      </c>
      <c r="G4" s="3" t="s">
        <v>1191</v>
      </c>
      <c r="H4" s="3" t="s">
        <v>1192</v>
      </c>
      <c r="I4" s="3" t="s">
        <v>1193</v>
      </c>
      <c r="J4" s="3" t="s">
        <v>1194</v>
      </c>
      <c r="K4" s="3" t="s">
        <v>1195</v>
      </c>
      <c r="L4" s="16" t="s">
        <v>1196</v>
      </c>
      <c r="M4" s="16" t="s">
        <v>104</v>
      </c>
      <c r="N4" s="16" t="s">
        <v>1197</v>
      </c>
      <c r="O4" s="3" t="s">
        <v>1198</v>
      </c>
    </row>
    <row r="5" spans="1:15" ht="60" customHeight="1" x14ac:dyDescent="0.35">
      <c r="A5" s="11">
        <v>1</v>
      </c>
      <c r="B5" s="12" t="s">
        <v>1199</v>
      </c>
      <c r="C5" s="11">
        <v>2021</v>
      </c>
      <c r="D5" s="12" t="s">
        <v>392</v>
      </c>
      <c r="E5" s="12" t="s">
        <v>1200</v>
      </c>
      <c r="F5" s="12" t="s">
        <v>1201</v>
      </c>
      <c r="G5" s="12" t="s">
        <v>1202</v>
      </c>
      <c r="H5" s="12" t="s">
        <v>1203</v>
      </c>
      <c r="I5" s="12" t="s">
        <v>1204</v>
      </c>
      <c r="J5" s="12" t="s">
        <v>1205</v>
      </c>
      <c r="K5" s="12" t="s">
        <v>48</v>
      </c>
      <c r="L5" s="12" t="s">
        <v>1206</v>
      </c>
      <c r="M5" s="12" t="s">
        <v>386</v>
      </c>
      <c r="N5" s="12" t="s">
        <v>1207</v>
      </c>
      <c r="O5" s="11">
        <v>50</v>
      </c>
    </row>
    <row r="6" spans="1:15" ht="60" customHeight="1" x14ac:dyDescent="0.35">
      <c r="A6" s="11">
        <v>2</v>
      </c>
      <c r="B6" s="12" t="s">
        <v>1208</v>
      </c>
      <c r="C6" s="11">
        <v>2022</v>
      </c>
      <c r="D6" s="12" t="s">
        <v>414</v>
      </c>
      <c r="E6" s="12" t="s">
        <v>1209</v>
      </c>
      <c r="F6" s="12" t="s">
        <v>1210</v>
      </c>
      <c r="G6" s="12" t="s">
        <v>1211</v>
      </c>
      <c r="H6" s="12" t="s">
        <v>1212</v>
      </c>
      <c r="I6" s="12" t="s">
        <v>1213</v>
      </c>
      <c r="J6" s="12" t="s">
        <v>1214</v>
      </c>
      <c r="K6" s="12" t="s">
        <v>48</v>
      </c>
      <c r="L6" s="12" t="s">
        <v>1215</v>
      </c>
      <c r="M6" s="12" t="s">
        <v>386</v>
      </c>
      <c r="N6" s="12" t="s">
        <v>1216</v>
      </c>
      <c r="O6" s="11">
        <v>66</v>
      </c>
    </row>
    <row r="7" spans="1:15" ht="60" customHeight="1" x14ac:dyDescent="0.35">
      <c r="A7" s="11">
        <v>3</v>
      </c>
      <c r="B7" s="12" t="s">
        <v>1217</v>
      </c>
      <c r="C7" s="11">
        <v>2022</v>
      </c>
      <c r="D7" s="12" t="s">
        <v>414</v>
      </c>
      <c r="E7" s="12" t="s">
        <v>1218</v>
      </c>
      <c r="F7" s="12" t="s">
        <v>1219</v>
      </c>
      <c r="G7" s="12" t="s">
        <v>1220</v>
      </c>
      <c r="H7" s="12" t="s">
        <v>1221</v>
      </c>
      <c r="I7" s="12" t="s">
        <v>1222</v>
      </c>
      <c r="J7" s="12" t="s">
        <v>1223</v>
      </c>
      <c r="K7" s="12" t="s">
        <v>48</v>
      </c>
      <c r="L7" s="12" t="s">
        <v>1224</v>
      </c>
      <c r="M7" s="12" t="s">
        <v>386</v>
      </c>
      <c r="N7" s="12" t="s">
        <v>1216</v>
      </c>
      <c r="O7" s="11">
        <v>55</v>
      </c>
    </row>
    <row r="8" spans="1:15" ht="60" customHeight="1" x14ac:dyDescent="0.35">
      <c r="A8" s="11">
        <v>4</v>
      </c>
      <c r="B8" s="12" t="s">
        <v>1225</v>
      </c>
      <c r="C8" s="11">
        <v>2022</v>
      </c>
      <c r="D8" s="12" t="s">
        <v>1152</v>
      </c>
      <c r="E8" s="12" t="s">
        <v>1226</v>
      </c>
      <c r="F8" s="12" t="s">
        <v>1227</v>
      </c>
      <c r="G8" s="12" t="s">
        <v>1228</v>
      </c>
      <c r="H8" s="12" t="s">
        <v>1229</v>
      </c>
      <c r="I8" s="12" t="s">
        <v>1230</v>
      </c>
      <c r="J8" s="12" t="s">
        <v>1231</v>
      </c>
      <c r="K8" s="12" t="s">
        <v>48</v>
      </c>
      <c r="L8" s="12" t="s">
        <v>1232</v>
      </c>
      <c r="M8" s="12" t="s">
        <v>1131</v>
      </c>
      <c r="N8" s="12" t="s">
        <v>1233</v>
      </c>
      <c r="O8" s="11">
        <v>203</v>
      </c>
    </row>
    <row r="9" spans="1:15" ht="60" customHeight="1" x14ac:dyDescent="0.35">
      <c r="A9" s="11">
        <v>5</v>
      </c>
      <c r="B9" s="12" t="s">
        <v>1234</v>
      </c>
      <c r="C9" s="11">
        <v>2022</v>
      </c>
      <c r="D9" s="12" t="s">
        <v>504</v>
      </c>
      <c r="E9" s="12" t="s">
        <v>1235</v>
      </c>
      <c r="F9" s="12" t="s">
        <v>1236</v>
      </c>
      <c r="G9" s="12" t="s">
        <v>1237</v>
      </c>
      <c r="H9" s="12" t="s">
        <v>1238</v>
      </c>
      <c r="I9" s="12" t="s">
        <v>1239</v>
      </c>
      <c r="J9" s="12" t="s">
        <v>1240</v>
      </c>
      <c r="K9" s="12" t="s">
        <v>48</v>
      </c>
      <c r="L9" s="12" t="s">
        <v>1241</v>
      </c>
      <c r="M9" s="12" t="s">
        <v>386</v>
      </c>
      <c r="N9" s="12" t="s">
        <v>1207</v>
      </c>
      <c r="O9" s="11">
        <v>73</v>
      </c>
    </row>
    <row r="10" spans="1:15" ht="60" customHeight="1" x14ac:dyDescent="0.35">
      <c r="A10" s="11">
        <v>6</v>
      </c>
      <c r="B10" s="12" t="s">
        <v>1242</v>
      </c>
      <c r="C10" s="11">
        <v>2023</v>
      </c>
      <c r="D10" s="12" t="s">
        <v>460</v>
      </c>
      <c r="E10" s="12" t="s">
        <v>1243</v>
      </c>
      <c r="F10" s="12" t="s">
        <v>1244</v>
      </c>
      <c r="G10" s="12" t="s">
        <v>1245</v>
      </c>
      <c r="H10" s="12" t="s">
        <v>1246</v>
      </c>
      <c r="I10" s="12" t="s">
        <v>1247</v>
      </c>
      <c r="J10" s="12" t="s">
        <v>1248</v>
      </c>
      <c r="K10" s="12" t="s">
        <v>48</v>
      </c>
      <c r="L10" s="12" t="s">
        <v>1249</v>
      </c>
      <c r="M10" s="12" t="s">
        <v>386</v>
      </c>
      <c r="N10" s="12" t="s">
        <v>1250</v>
      </c>
      <c r="O10" s="11">
        <v>64</v>
      </c>
    </row>
    <row r="11" spans="1:15" ht="60" customHeight="1" x14ac:dyDescent="0.35">
      <c r="A11" s="11">
        <v>7</v>
      </c>
      <c r="B11" s="12" t="s">
        <v>1251</v>
      </c>
      <c r="C11" s="11">
        <v>2023</v>
      </c>
      <c r="D11" s="12" t="s">
        <v>402</v>
      </c>
      <c r="E11" s="12" t="s">
        <v>1252</v>
      </c>
      <c r="F11" s="12" t="s">
        <v>1253</v>
      </c>
      <c r="G11" s="12" t="s">
        <v>1254</v>
      </c>
      <c r="H11" s="12" t="s">
        <v>1255</v>
      </c>
      <c r="I11" s="12" t="s">
        <v>1256</v>
      </c>
      <c r="J11" s="12" t="s">
        <v>1257</v>
      </c>
      <c r="K11" s="12" t="s">
        <v>48</v>
      </c>
      <c r="L11" s="12" t="s">
        <v>1258</v>
      </c>
      <c r="M11" s="12" t="s">
        <v>386</v>
      </c>
      <c r="N11" s="12" t="s">
        <v>1207</v>
      </c>
      <c r="O11" s="11">
        <v>52</v>
      </c>
    </row>
    <row r="12" spans="1:15" ht="60" customHeight="1" x14ac:dyDescent="0.35">
      <c r="A12" s="11">
        <v>8</v>
      </c>
      <c r="B12" s="12" t="s">
        <v>1259</v>
      </c>
      <c r="C12" s="11">
        <v>2023</v>
      </c>
      <c r="D12" s="12" t="s">
        <v>1146</v>
      </c>
      <c r="E12" s="12" t="s">
        <v>1260</v>
      </c>
      <c r="F12" s="12" t="s">
        <v>1261</v>
      </c>
      <c r="G12" s="12" t="s">
        <v>1262</v>
      </c>
      <c r="H12" s="12" t="s">
        <v>1263</v>
      </c>
      <c r="I12" s="12" t="s">
        <v>1264</v>
      </c>
      <c r="J12" s="12" t="s">
        <v>1265</v>
      </c>
      <c r="K12" s="12" t="s">
        <v>48</v>
      </c>
      <c r="L12" s="12" t="s">
        <v>1266</v>
      </c>
      <c r="M12" s="12" t="s">
        <v>1147</v>
      </c>
      <c r="N12" s="12" t="s">
        <v>1267</v>
      </c>
      <c r="O12" s="11">
        <v>202</v>
      </c>
    </row>
    <row r="13" spans="1:15" ht="60" customHeight="1" x14ac:dyDescent="0.35">
      <c r="A13" s="11">
        <v>9</v>
      </c>
      <c r="B13" s="12" t="s">
        <v>1268</v>
      </c>
      <c r="C13" s="11">
        <v>2023</v>
      </c>
      <c r="D13" s="12" t="s">
        <v>402</v>
      </c>
      <c r="E13" s="12" t="s">
        <v>1269</v>
      </c>
      <c r="F13" s="12" t="s">
        <v>1270</v>
      </c>
      <c r="G13" s="12" t="s">
        <v>1271</v>
      </c>
      <c r="H13" s="12" t="s">
        <v>1272</v>
      </c>
      <c r="I13" s="12" t="s">
        <v>1273</v>
      </c>
      <c r="J13" s="12" t="s">
        <v>1274</v>
      </c>
      <c r="K13" s="12" t="s">
        <v>48</v>
      </c>
      <c r="L13" s="12" t="s">
        <v>1275</v>
      </c>
      <c r="M13" s="12" t="s">
        <v>1131</v>
      </c>
      <c r="N13" s="12" t="s">
        <v>1207</v>
      </c>
      <c r="O13" s="11">
        <v>204</v>
      </c>
    </row>
    <row r="14" spans="1:15" ht="60" customHeight="1" x14ac:dyDescent="0.35">
      <c r="A14" s="11">
        <v>10</v>
      </c>
      <c r="B14" s="12" t="s">
        <v>1276</v>
      </c>
      <c r="C14" s="11">
        <v>2023</v>
      </c>
      <c r="D14" s="12" t="s">
        <v>402</v>
      </c>
      <c r="E14" s="12" t="s">
        <v>1277</v>
      </c>
      <c r="F14" s="12" t="s">
        <v>1278</v>
      </c>
      <c r="G14" s="12" t="s">
        <v>1279</v>
      </c>
      <c r="H14" s="12" t="s">
        <v>1280</v>
      </c>
      <c r="I14" s="12" t="s">
        <v>1281</v>
      </c>
      <c r="J14" s="12" t="s">
        <v>1282</v>
      </c>
      <c r="K14" s="12" t="s">
        <v>48</v>
      </c>
      <c r="L14" s="12" t="s">
        <v>1283</v>
      </c>
      <c r="M14" s="12" t="s">
        <v>1131</v>
      </c>
      <c r="N14" s="12" t="s">
        <v>1207</v>
      </c>
      <c r="O14" s="11">
        <v>205</v>
      </c>
    </row>
    <row r="15" spans="1:15" ht="60" customHeight="1" x14ac:dyDescent="0.35">
      <c r="A15" s="11">
        <v>11</v>
      </c>
      <c r="B15" s="12" t="s">
        <v>1284</v>
      </c>
      <c r="C15" s="11">
        <v>2023</v>
      </c>
      <c r="D15" s="12" t="s">
        <v>402</v>
      </c>
      <c r="E15" s="12" t="s">
        <v>1209</v>
      </c>
      <c r="F15" s="12" t="s">
        <v>1285</v>
      </c>
      <c r="G15" s="12" t="s">
        <v>1286</v>
      </c>
      <c r="H15" s="12" t="s">
        <v>1287</v>
      </c>
      <c r="I15" s="12" t="s">
        <v>1288</v>
      </c>
      <c r="J15" s="12" t="s">
        <v>1289</v>
      </c>
      <c r="K15" s="12" t="s">
        <v>48</v>
      </c>
      <c r="L15" s="12" t="s">
        <v>1290</v>
      </c>
      <c r="M15" s="12" t="s">
        <v>1131</v>
      </c>
      <c r="N15" s="12" t="s">
        <v>1207</v>
      </c>
      <c r="O15" s="11">
        <v>206</v>
      </c>
    </row>
    <row r="16" spans="1:15" ht="60" customHeight="1" x14ac:dyDescent="0.35">
      <c r="A16" s="11">
        <v>12</v>
      </c>
      <c r="B16" s="12" t="s">
        <v>1291</v>
      </c>
      <c r="C16" s="11">
        <v>2023</v>
      </c>
      <c r="D16" s="12" t="s">
        <v>397</v>
      </c>
      <c r="E16" s="12" t="s">
        <v>1292</v>
      </c>
      <c r="F16" s="12" t="s">
        <v>1293</v>
      </c>
      <c r="G16" s="12" t="s">
        <v>1294</v>
      </c>
      <c r="H16" s="12" t="s">
        <v>1295</v>
      </c>
      <c r="I16" s="12" t="s">
        <v>1296</v>
      </c>
      <c r="J16" s="12" t="s">
        <v>1297</v>
      </c>
      <c r="K16" s="12" t="s">
        <v>48</v>
      </c>
      <c r="L16" s="12" t="s">
        <v>1298</v>
      </c>
      <c r="M16" s="12" t="s">
        <v>386</v>
      </c>
      <c r="N16" s="12" t="s">
        <v>1207</v>
      </c>
      <c r="O16" s="11">
        <v>62</v>
      </c>
    </row>
    <row r="17" spans="1:15" ht="60" customHeight="1" x14ac:dyDescent="0.35">
      <c r="A17" s="11">
        <v>13</v>
      </c>
      <c r="B17" s="12" t="s">
        <v>1299</v>
      </c>
      <c r="C17" s="11">
        <v>2023</v>
      </c>
      <c r="D17" s="12" t="s">
        <v>397</v>
      </c>
      <c r="E17" s="12" t="s">
        <v>1209</v>
      </c>
      <c r="F17" s="12" t="s">
        <v>1300</v>
      </c>
      <c r="G17" s="12" t="s">
        <v>1301</v>
      </c>
      <c r="H17" s="12" t="s">
        <v>1302</v>
      </c>
      <c r="I17" s="12" t="s">
        <v>1303</v>
      </c>
      <c r="J17" s="12" t="s">
        <v>1304</v>
      </c>
      <c r="K17" s="12" t="s">
        <v>48</v>
      </c>
      <c r="L17" s="12" t="s">
        <v>1305</v>
      </c>
      <c r="M17" s="12" t="s">
        <v>386</v>
      </c>
      <c r="N17" s="12" t="s">
        <v>1207</v>
      </c>
      <c r="O17" s="11">
        <v>51</v>
      </c>
    </row>
    <row r="18" spans="1:15" ht="66.5" customHeight="1" x14ac:dyDescent="0.35">
      <c r="A18" s="11">
        <v>14</v>
      </c>
      <c r="B18" s="12" t="s">
        <v>1306</v>
      </c>
      <c r="C18" s="11">
        <v>2023</v>
      </c>
      <c r="D18" s="12" t="s">
        <v>496</v>
      </c>
      <c r="E18" s="12" t="s">
        <v>1307</v>
      </c>
      <c r="F18" s="12" t="s">
        <v>1308</v>
      </c>
      <c r="G18" s="12" t="s">
        <v>1309</v>
      </c>
      <c r="H18" s="12" t="s">
        <v>1310</v>
      </c>
      <c r="I18" s="12" t="s">
        <v>1311</v>
      </c>
      <c r="J18" s="12" t="s">
        <v>1312</v>
      </c>
      <c r="K18" s="12" t="s">
        <v>48</v>
      </c>
      <c r="L18" s="12" t="s">
        <v>1313</v>
      </c>
      <c r="M18" s="12" t="s">
        <v>386</v>
      </c>
      <c r="N18" s="12" t="s">
        <v>1314</v>
      </c>
      <c r="O18" s="11">
        <v>71</v>
      </c>
    </row>
    <row r="19" spans="1:15" ht="66.5" customHeight="1" x14ac:dyDescent="0.35">
      <c r="A19" s="11">
        <v>15</v>
      </c>
      <c r="B19" s="12" t="s">
        <v>1315</v>
      </c>
      <c r="C19" s="11">
        <v>2024</v>
      </c>
      <c r="D19" s="12" t="s">
        <v>166</v>
      </c>
      <c r="E19" s="12" t="s">
        <v>1316</v>
      </c>
      <c r="F19" s="12" t="s">
        <v>1317</v>
      </c>
      <c r="G19" s="12" t="s">
        <v>1318</v>
      </c>
      <c r="H19" s="12" t="s">
        <v>1319</v>
      </c>
      <c r="I19" s="12" t="s">
        <v>1320</v>
      </c>
      <c r="J19" s="12" t="s">
        <v>1321</v>
      </c>
      <c r="K19" s="12" t="s">
        <v>48</v>
      </c>
      <c r="L19" s="12" t="s">
        <v>1322</v>
      </c>
      <c r="M19" s="12" t="s">
        <v>265</v>
      </c>
      <c r="N19" s="12" t="s">
        <v>1207</v>
      </c>
      <c r="O19" s="11">
        <v>29</v>
      </c>
    </row>
    <row r="20" spans="1:15" ht="60" customHeight="1" x14ac:dyDescent="0.35">
      <c r="A20" s="11">
        <v>16</v>
      </c>
      <c r="B20" s="12" t="s">
        <v>1323</v>
      </c>
      <c r="C20" s="11">
        <v>2024</v>
      </c>
      <c r="D20" s="12" t="s">
        <v>1174</v>
      </c>
      <c r="E20" s="12" t="s">
        <v>1324</v>
      </c>
      <c r="F20" s="12" t="s">
        <v>1325</v>
      </c>
      <c r="G20" s="12" t="s">
        <v>1326</v>
      </c>
      <c r="H20" s="12" t="s">
        <v>1327</v>
      </c>
      <c r="I20" s="12" t="s">
        <v>1328</v>
      </c>
      <c r="J20" s="12" t="s">
        <v>1329</v>
      </c>
      <c r="K20" s="12" t="s">
        <v>48</v>
      </c>
      <c r="L20" s="12" t="s">
        <v>1330</v>
      </c>
      <c r="M20" s="12" t="s">
        <v>1131</v>
      </c>
      <c r="N20" s="12" t="s">
        <v>1207</v>
      </c>
      <c r="O20" s="11">
        <v>208</v>
      </c>
    </row>
    <row r="21" spans="1:15" ht="60" customHeight="1" x14ac:dyDescent="0.35">
      <c r="A21" s="11">
        <v>17</v>
      </c>
      <c r="B21" s="12" t="s">
        <v>1331</v>
      </c>
      <c r="C21" s="11">
        <v>2025</v>
      </c>
      <c r="D21" s="12" t="s">
        <v>259</v>
      </c>
      <c r="E21" s="12" t="s">
        <v>1277</v>
      </c>
      <c r="F21" s="12" t="s">
        <v>1332</v>
      </c>
      <c r="G21" s="12" t="s">
        <v>1333</v>
      </c>
      <c r="H21" s="12" t="s">
        <v>1334</v>
      </c>
      <c r="I21" s="12" t="s">
        <v>1335</v>
      </c>
      <c r="J21" s="12" t="s">
        <v>1336</v>
      </c>
      <c r="K21" s="12" t="s">
        <v>48</v>
      </c>
      <c r="L21" s="12" t="s">
        <v>1337</v>
      </c>
      <c r="M21" s="12" t="s">
        <v>117</v>
      </c>
      <c r="N21" s="12" t="s">
        <v>1338</v>
      </c>
      <c r="O21" s="11">
        <v>25</v>
      </c>
    </row>
    <row r="22" spans="1:15" ht="60" customHeight="1" x14ac:dyDescent="0.35">
      <c r="A22" s="11">
        <v>18</v>
      </c>
      <c r="B22" s="12" t="s">
        <v>1339</v>
      </c>
      <c r="C22" s="11">
        <v>2025</v>
      </c>
      <c r="D22" s="12" t="s">
        <v>116</v>
      </c>
      <c r="E22" s="12" t="s">
        <v>1260</v>
      </c>
      <c r="F22" s="12" t="s">
        <v>1340</v>
      </c>
      <c r="G22" s="12" t="s">
        <v>1341</v>
      </c>
      <c r="H22" s="12" t="s">
        <v>1342</v>
      </c>
      <c r="I22" s="12" t="s">
        <v>1343</v>
      </c>
      <c r="J22" s="12" t="s">
        <v>1344</v>
      </c>
      <c r="K22" s="12" t="s">
        <v>48</v>
      </c>
      <c r="L22" s="12" t="s">
        <v>1345</v>
      </c>
      <c r="M22" s="12" t="s">
        <v>117</v>
      </c>
      <c r="N22" s="12" t="s">
        <v>1267</v>
      </c>
      <c r="O22" s="11">
        <v>1</v>
      </c>
    </row>
    <row r="23" spans="1:15" ht="60" customHeight="1" x14ac:dyDescent="0.35">
      <c r="A23" s="11">
        <v>19</v>
      </c>
      <c r="B23" s="12" t="s">
        <v>1346</v>
      </c>
      <c r="C23" s="11">
        <v>2025</v>
      </c>
      <c r="D23" s="12" t="s">
        <v>360</v>
      </c>
      <c r="E23" s="12" t="s">
        <v>1316</v>
      </c>
      <c r="F23" s="12" t="s">
        <v>1347</v>
      </c>
      <c r="G23" s="12" t="s">
        <v>1348</v>
      </c>
      <c r="H23" s="12" t="s">
        <v>1349</v>
      </c>
      <c r="I23" s="12" t="s">
        <v>1350</v>
      </c>
      <c r="J23" s="12" t="s">
        <v>1351</v>
      </c>
      <c r="K23" s="12" t="s">
        <v>48</v>
      </c>
      <c r="L23" s="12" t="s">
        <v>1352</v>
      </c>
      <c r="M23" s="12" t="s">
        <v>265</v>
      </c>
      <c r="N23" s="12" t="s">
        <v>1207</v>
      </c>
      <c r="O23" s="11">
        <v>44</v>
      </c>
    </row>
    <row r="24" spans="1:15" ht="60" customHeight="1" x14ac:dyDescent="0.35">
      <c r="A24" s="11">
        <v>20</v>
      </c>
      <c r="B24" s="12" t="s">
        <v>1353</v>
      </c>
      <c r="C24" s="11">
        <v>2022</v>
      </c>
      <c r="D24" s="12" t="s">
        <v>264</v>
      </c>
      <c r="E24" s="12" t="s">
        <v>1269</v>
      </c>
      <c r="F24" s="12" t="s">
        <v>1354</v>
      </c>
      <c r="G24" s="12" t="s">
        <v>1355</v>
      </c>
      <c r="H24" s="12" t="s">
        <v>1356</v>
      </c>
      <c r="I24" s="12" t="s">
        <v>1357</v>
      </c>
      <c r="J24" s="12" t="s">
        <v>1358</v>
      </c>
      <c r="K24" s="12" t="s">
        <v>49</v>
      </c>
      <c r="L24" s="12" t="s">
        <v>1359</v>
      </c>
      <c r="M24" s="12" t="s">
        <v>265</v>
      </c>
      <c r="N24" s="12" t="s">
        <v>1207</v>
      </c>
      <c r="O24" s="11">
        <v>26</v>
      </c>
    </row>
    <row r="25" spans="1:15" ht="60" customHeight="1" x14ac:dyDescent="0.35">
      <c r="A25" s="11">
        <v>21</v>
      </c>
      <c r="B25" s="12" t="s">
        <v>1360</v>
      </c>
      <c r="C25" s="11">
        <v>2024</v>
      </c>
      <c r="D25" s="12" t="s">
        <v>149</v>
      </c>
      <c r="E25" s="12" t="s">
        <v>1361</v>
      </c>
      <c r="F25" s="12" t="s">
        <v>1362</v>
      </c>
      <c r="G25" s="12" t="s">
        <v>1363</v>
      </c>
      <c r="H25" s="12" t="s">
        <v>1364</v>
      </c>
      <c r="I25" s="12" t="s">
        <v>1365</v>
      </c>
      <c r="J25" s="12" t="s">
        <v>1366</v>
      </c>
      <c r="K25" s="12" t="s">
        <v>49</v>
      </c>
      <c r="L25" s="12" t="s">
        <v>1367</v>
      </c>
      <c r="M25" s="12" t="s">
        <v>117</v>
      </c>
      <c r="N25" s="12" t="s">
        <v>1368</v>
      </c>
      <c r="O25" s="11">
        <v>6</v>
      </c>
    </row>
    <row r="26" spans="1:15" ht="60" customHeight="1" x14ac:dyDescent="0.35">
      <c r="A26" s="11">
        <v>22</v>
      </c>
      <c r="B26" s="12" t="s">
        <v>1369</v>
      </c>
      <c r="C26" s="11">
        <v>2024</v>
      </c>
      <c r="D26" s="12" t="s">
        <v>166</v>
      </c>
      <c r="E26" s="12" t="s">
        <v>1370</v>
      </c>
      <c r="F26" s="12" t="s">
        <v>1371</v>
      </c>
      <c r="G26" s="12" t="s">
        <v>1372</v>
      </c>
      <c r="H26" s="12" t="s">
        <v>1373</v>
      </c>
      <c r="I26" s="12" t="s">
        <v>1374</v>
      </c>
      <c r="J26" s="12" t="s">
        <v>1375</v>
      </c>
      <c r="K26" s="12" t="s">
        <v>49</v>
      </c>
      <c r="L26" s="12" t="s">
        <v>1376</v>
      </c>
      <c r="M26" s="12" t="s">
        <v>117</v>
      </c>
      <c r="N26" s="12" t="s">
        <v>1216</v>
      </c>
      <c r="O26" s="11">
        <v>9</v>
      </c>
    </row>
    <row r="27" spans="1:15" ht="60" customHeight="1" x14ac:dyDescent="0.35">
      <c r="A27" s="11">
        <v>23</v>
      </c>
      <c r="B27" s="12" t="s">
        <v>1377</v>
      </c>
      <c r="C27" s="11">
        <v>2025</v>
      </c>
      <c r="D27" s="12" t="s">
        <v>335</v>
      </c>
      <c r="E27" s="12" t="s">
        <v>1370</v>
      </c>
      <c r="F27" s="12" t="s">
        <v>1378</v>
      </c>
      <c r="G27" s="12" t="s">
        <v>1379</v>
      </c>
      <c r="H27" s="12" t="s">
        <v>1380</v>
      </c>
      <c r="I27" s="12" t="s">
        <v>1381</v>
      </c>
      <c r="J27" s="12" t="s">
        <v>1382</v>
      </c>
      <c r="K27" s="12" t="s">
        <v>49</v>
      </c>
      <c r="L27" s="12" t="s">
        <v>1383</v>
      </c>
      <c r="M27" s="12" t="s">
        <v>265</v>
      </c>
      <c r="N27" s="12" t="s">
        <v>1207</v>
      </c>
      <c r="O27" s="11">
        <v>39</v>
      </c>
    </row>
    <row r="28" spans="1:15" ht="60" customHeight="1" x14ac:dyDescent="0.35">
      <c r="A28" s="11">
        <v>24</v>
      </c>
      <c r="B28" s="12" t="s">
        <v>1384</v>
      </c>
      <c r="C28" s="11">
        <v>2025</v>
      </c>
      <c r="D28" s="12" t="s">
        <v>243</v>
      </c>
      <c r="E28" s="12" t="s">
        <v>1385</v>
      </c>
      <c r="F28" s="12" t="s">
        <v>1386</v>
      </c>
      <c r="G28" s="12" t="s">
        <v>1387</v>
      </c>
      <c r="H28" s="12" t="s">
        <v>1388</v>
      </c>
      <c r="I28" s="12" t="s">
        <v>1389</v>
      </c>
      <c r="J28" s="12" t="s">
        <v>1390</v>
      </c>
      <c r="K28" s="12" t="s">
        <v>49</v>
      </c>
      <c r="L28" s="12" t="s">
        <v>1391</v>
      </c>
      <c r="M28" s="12" t="s">
        <v>231</v>
      </c>
      <c r="N28" s="12" t="s">
        <v>1338</v>
      </c>
      <c r="O28" s="11">
        <v>22</v>
      </c>
    </row>
    <row r="29" spans="1:15" ht="60" customHeight="1" x14ac:dyDescent="0.35">
      <c r="A29" s="11">
        <v>25</v>
      </c>
      <c r="B29" s="12" t="s">
        <v>1392</v>
      </c>
      <c r="C29" s="11">
        <v>2026</v>
      </c>
      <c r="D29" s="12" t="s">
        <v>350</v>
      </c>
      <c r="E29" s="12" t="s">
        <v>1393</v>
      </c>
      <c r="F29" s="12" t="s">
        <v>1394</v>
      </c>
      <c r="G29" s="12" t="s">
        <v>1395</v>
      </c>
      <c r="H29" s="12" t="s">
        <v>1396</v>
      </c>
      <c r="I29" s="12" t="s">
        <v>1397</v>
      </c>
      <c r="J29" s="12" t="s">
        <v>1398</v>
      </c>
      <c r="K29" s="12" t="s">
        <v>49</v>
      </c>
      <c r="L29" s="12" t="s">
        <v>1399</v>
      </c>
      <c r="M29" s="12" t="s">
        <v>265</v>
      </c>
      <c r="N29" s="12" t="s">
        <v>1400</v>
      </c>
      <c r="O29" s="11">
        <v>42</v>
      </c>
    </row>
    <row r="30" spans="1:15" ht="60" customHeight="1" x14ac:dyDescent="0.35">
      <c r="A30" s="11">
        <v>26</v>
      </c>
      <c r="B30" s="12" t="s">
        <v>1401</v>
      </c>
      <c r="C30" s="11">
        <v>2017</v>
      </c>
      <c r="D30" s="12" t="s">
        <v>878</v>
      </c>
      <c r="E30" s="12" t="s">
        <v>1402</v>
      </c>
      <c r="F30" s="12" t="s">
        <v>1403</v>
      </c>
      <c r="G30" s="12" t="s">
        <v>1404</v>
      </c>
      <c r="H30" s="12" t="s">
        <v>1405</v>
      </c>
      <c r="I30" s="12" t="s">
        <v>1406</v>
      </c>
      <c r="J30" s="12" t="s">
        <v>1407</v>
      </c>
      <c r="K30" s="12" t="s">
        <v>50</v>
      </c>
      <c r="L30" s="12" t="s">
        <v>1408</v>
      </c>
      <c r="M30" s="12" t="s">
        <v>879</v>
      </c>
      <c r="N30" s="12" t="s">
        <v>1207</v>
      </c>
      <c r="O30" s="11">
        <v>149</v>
      </c>
    </row>
    <row r="31" spans="1:15" ht="60" customHeight="1" x14ac:dyDescent="0.35">
      <c r="A31" s="11">
        <v>27</v>
      </c>
      <c r="B31" s="12" t="s">
        <v>1409</v>
      </c>
      <c r="C31" s="11">
        <v>2020</v>
      </c>
      <c r="D31" s="12" t="s">
        <v>509</v>
      </c>
      <c r="E31" s="12" t="s">
        <v>1269</v>
      </c>
      <c r="F31" s="12" t="s">
        <v>1410</v>
      </c>
      <c r="G31" s="12" t="s">
        <v>1411</v>
      </c>
      <c r="H31" s="12" t="s">
        <v>1412</v>
      </c>
      <c r="I31" s="12" t="s">
        <v>1413</v>
      </c>
      <c r="J31" s="12" t="s">
        <v>1414</v>
      </c>
      <c r="K31" s="12" t="s">
        <v>50</v>
      </c>
      <c r="L31" s="12" t="s">
        <v>1415</v>
      </c>
      <c r="M31" s="12" t="s">
        <v>510</v>
      </c>
      <c r="N31" s="12" t="s">
        <v>1400</v>
      </c>
      <c r="O31" s="11">
        <v>74</v>
      </c>
    </row>
    <row r="32" spans="1:15" ht="60" customHeight="1" x14ac:dyDescent="0.35">
      <c r="A32" s="11">
        <v>28</v>
      </c>
      <c r="B32" s="12" t="s">
        <v>1416</v>
      </c>
      <c r="C32" s="11">
        <v>2020</v>
      </c>
      <c r="D32" s="12" t="s">
        <v>538</v>
      </c>
      <c r="E32" s="12" t="s">
        <v>1417</v>
      </c>
      <c r="F32" s="12" t="s">
        <v>1418</v>
      </c>
      <c r="G32" s="12" t="s">
        <v>1419</v>
      </c>
      <c r="H32" s="12" t="s">
        <v>1420</v>
      </c>
      <c r="I32" s="12" t="s">
        <v>1421</v>
      </c>
      <c r="J32" s="12" t="s">
        <v>1422</v>
      </c>
      <c r="K32" s="12" t="s">
        <v>50</v>
      </c>
      <c r="L32" s="12" t="s">
        <v>1423</v>
      </c>
      <c r="M32" s="12" t="s">
        <v>510</v>
      </c>
      <c r="N32" s="12" t="s">
        <v>1207</v>
      </c>
      <c r="O32" s="11">
        <v>80</v>
      </c>
    </row>
    <row r="33" spans="1:15" ht="60" customHeight="1" x14ac:dyDescent="0.35">
      <c r="A33" s="11">
        <v>29</v>
      </c>
      <c r="B33" s="12" t="s">
        <v>1424</v>
      </c>
      <c r="C33" s="11">
        <v>2020</v>
      </c>
      <c r="D33" s="12" t="s">
        <v>524</v>
      </c>
      <c r="E33" s="12" t="s">
        <v>1425</v>
      </c>
      <c r="F33" s="12" t="s">
        <v>1426</v>
      </c>
      <c r="G33" s="12" t="s">
        <v>1419</v>
      </c>
      <c r="H33" s="12" t="s">
        <v>1427</v>
      </c>
      <c r="I33" s="12" t="s">
        <v>1428</v>
      </c>
      <c r="J33" s="12" t="s">
        <v>1429</v>
      </c>
      <c r="K33" s="12" t="s">
        <v>50</v>
      </c>
      <c r="L33" s="12" t="s">
        <v>1430</v>
      </c>
      <c r="M33" s="12" t="s">
        <v>510</v>
      </c>
      <c r="N33" s="12" t="s">
        <v>1207</v>
      </c>
      <c r="O33" s="11">
        <v>78</v>
      </c>
    </row>
    <row r="34" spans="1:15" ht="60" customHeight="1" x14ac:dyDescent="0.35">
      <c r="A34" s="11">
        <v>30</v>
      </c>
      <c r="B34" s="12" t="s">
        <v>1431</v>
      </c>
      <c r="C34" s="11">
        <v>2020</v>
      </c>
      <c r="D34" s="12" t="s">
        <v>524</v>
      </c>
      <c r="E34" s="12" t="s">
        <v>1417</v>
      </c>
      <c r="F34" s="12" t="s">
        <v>1432</v>
      </c>
      <c r="G34" s="12" t="s">
        <v>1419</v>
      </c>
      <c r="H34" s="12" t="s">
        <v>1433</v>
      </c>
      <c r="I34" s="12" t="s">
        <v>1434</v>
      </c>
      <c r="J34" s="12" t="s">
        <v>1435</v>
      </c>
      <c r="K34" s="12" t="s">
        <v>50</v>
      </c>
      <c r="L34" s="12" t="s">
        <v>1436</v>
      </c>
      <c r="M34" s="12" t="s">
        <v>510</v>
      </c>
      <c r="N34" s="12" t="s">
        <v>1207</v>
      </c>
      <c r="O34" s="11">
        <v>77</v>
      </c>
    </row>
    <row r="35" spans="1:15" ht="60" customHeight="1" x14ac:dyDescent="0.35">
      <c r="A35" s="11">
        <v>31</v>
      </c>
      <c r="B35" s="12" t="s">
        <v>1437</v>
      </c>
      <c r="C35" s="11">
        <v>2021</v>
      </c>
      <c r="D35" s="12" t="s">
        <v>519</v>
      </c>
      <c r="E35" s="12" t="s">
        <v>1269</v>
      </c>
      <c r="F35" s="12" t="s">
        <v>1438</v>
      </c>
      <c r="G35" s="12" t="s">
        <v>1439</v>
      </c>
      <c r="H35" s="12" t="s">
        <v>1440</v>
      </c>
      <c r="I35" s="12" t="s">
        <v>1441</v>
      </c>
      <c r="J35" s="12" t="s">
        <v>1442</v>
      </c>
      <c r="K35" s="12" t="s">
        <v>50</v>
      </c>
      <c r="L35" s="12" t="s">
        <v>1443</v>
      </c>
      <c r="M35" s="12" t="s">
        <v>510</v>
      </c>
      <c r="N35" s="12" t="s">
        <v>1314</v>
      </c>
      <c r="O35" s="11">
        <v>76</v>
      </c>
    </row>
    <row r="36" spans="1:15" ht="60" customHeight="1" x14ac:dyDescent="0.35">
      <c r="A36" s="11">
        <v>32</v>
      </c>
      <c r="B36" s="12" t="s">
        <v>1444</v>
      </c>
      <c r="C36" s="11">
        <v>2021</v>
      </c>
      <c r="D36" s="12" t="s">
        <v>603</v>
      </c>
      <c r="E36" s="12" t="s">
        <v>1417</v>
      </c>
      <c r="F36" s="12" t="s">
        <v>1445</v>
      </c>
      <c r="G36" s="12" t="s">
        <v>1446</v>
      </c>
      <c r="H36" s="12" t="s">
        <v>1447</v>
      </c>
      <c r="I36" s="12" t="s">
        <v>1448</v>
      </c>
      <c r="J36" s="12" t="s">
        <v>1449</v>
      </c>
      <c r="K36" s="12" t="s">
        <v>50</v>
      </c>
      <c r="L36" s="12" t="s">
        <v>1450</v>
      </c>
      <c r="M36" s="12" t="s">
        <v>510</v>
      </c>
      <c r="N36" s="12" t="s">
        <v>1207</v>
      </c>
      <c r="O36" s="11">
        <v>95</v>
      </c>
    </row>
    <row r="37" spans="1:15" ht="60" customHeight="1" x14ac:dyDescent="0.35">
      <c r="A37" s="11">
        <v>33</v>
      </c>
      <c r="B37" s="12" t="s">
        <v>1451</v>
      </c>
      <c r="C37" s="11">
        <v>2021</v>
      </c>
      <c r="D37" s="12" t="s">
        <v>934</v>
      </c>
      <c r="E37" s="12" t="s">
        <v>1452</v>
      </c>
      <c r="F37" s="12" t="s">
        <v>1453</v>
      </c>
      <c r="G37" s="12" t="s">
        <v>1454</v>
      </c>
      <c r="H37" s="12" t="s">
        <v>1455</v>
      </c>
      <c r="I37" s="12" t="s">
        <v>1456</v>
      </c>
      <c r="J37" s="12" t="s">
        <v>1457</v>
      </c>
      <c r="K37" s="12" t="s">
        <v>50</v>
      </c>
      <c r="L37" s="12" t="s">
        <v>1458</v>
      </c>
      <c r="M37" s="12" t="s">
        <v>879</v>
      </c>
      <c r="N37" s="12" t="s">
        <v>1207</v>
      </c>
      <c r="O37" s="11">
        <v>160</v>
      </c>
    </row>
    <row r="38" spans="1:15" ht="60" customHeight="1" x14ac:dyDescent="0.35">
      <c r="A38" s="11">
        <v>34</v>
      </c>
      <c r="B38" s="12" t="s">
        <v>1459</v>
      </c>
      <c r="C38" s="11">
        <v>2021</v>
      </c>
      <c r="D38" s="12" t="s">
        <v>392</v>
      </c>
      <c r="E38" s="12" t="s">
        <v>1417</v>
      </c>
      <c r="F38" s="12" t="s">
        <v>1460</v>
      </c>
      <c r="G38" s="12" t="s">
        <v>1419</v>
      </c>
      <c r="H38" s="12" t="s">
        <v>1461</v>
      </c>
      <c r="I38" s="12" t="s">
        <v>1462</v>
      </c>
      <c r="J38" s="12" t="s">
        <v>1463</v>
      </c>
      <c r="K38" s="12" t="s">
        <v>50</v>
      </c>
      <c r="L38" s="12" t="s">
        <v>1464</v>
      </c>
      <c r="M38" s="12" t="s">
        <v>510</v>
      </c>
      <c r="N38" s="12" t="s">
        <v>1207</v>
      </c>
      <c r="O38" s="11">
        <v>84</v>
      </c>
    </row>
    <row r="39" spans="1:15" ht="60" customHeight="1" x14ac:dyDescent="0.35">
      <c r="A39" s="11">
        <v>35</v>
      </c>
      <c r="B39" s="12" t="s">
        <v>1465</v>
      </c>
      <c r="C39" s="11">
        <v>2021</v>
      </c>
      <c r="D39" s="12" t="s">
        <v>567</v>
      </c>
      <c r="E39" s="12" t="s">
        <v>1417</v>
      </c>
      <c r="F39" s="12" t="s">
        <v>1466</v>
      </c>
      <c r="G39" s="12" t="s">
        <v>1419</v>
      </c>
      <c r="H39" s="12" t="s">
        <v>1467</v>
      </c>
      <c r="I39" s="12" t="s">
        <v>1468</v>
      </c>
      <c r="J39" s="12" t="s">
        <v>1469</v>
      </c>
      <c r="K39" s="12" t="s">
        <v>50</v>
      </c>
      <c r="L39" s="12" t="s">
        <v>1470</v>
      </c>
      <c r="M39" s="12" t="s">
        <v>510</v>
      </c>
      <c r="N39" s="12" t="s">
        <v>1207</v>
      </c>
      <c r="O39" s="11">
        <v>92</v>
      </c>
    </row>
    <row r="40" spans="1:15" ht="60" customHeight="1" x14ac:dyDescent="0.35">
      <c r="A40" s="11">
        <v>36</v>
      </c>
      <c r="B40" s="12" t="s">
        <v>1471</v>
      </c>
      <c r="C40" s="11">
        <v>2021</v>
      </c>
      <c r="D40" s="12" t="s">
        <v>533</v>
      </c>
      <c r="E40" s="12" t="s">
        <v>1472</v>
      </c>
      <c r="F40" s="12" t="s">
        <v>1473</v>
      </c>
      <c r="G40" s="12" t="s">
        <v>1474</v>
      </c>
      <c r="H40" s="12" t="s">
        <v>1475</v>
      </c>
      <c r="I40" s="12" t="s">
        <v>1476</v>
      </c>
      <c r="J40" s="12" t="s">
        <v>1477</v>
      </c>
      <c r="K40" s="12" t="s">
        <v>50</v>
      </c>
      <c r="L40" s="12" t="s">
        <v>1478</v>
      </c>
      <c r="M40" s="12" t="s">
        <v>510</v>
      </c>
      <c r="N40" s="12" t="s">
        <v>1207</v>
      </c>
      <c r="O40" s="11">
        <v>79</v>
      </c>
    </row>
    <row r="41" spans="1:15" ht="60" customHeight="1" x14ac:dyDescent="0.35">
      <c r="A41" s="11">
        <v>37</v>
      </c>
      <c r="B41" s="12" t="s">
        <v>1479</v>
      </c>
      <c r="C41" s="11">
        <v>2021</v>
      </c>
      <c r="D41" s="12" t="s">
        <v>567</v>
      </c>
      <c r="E41" s="12" t="s">
        <v>1417</v>
      </c>
      <c r="F41" s="12" t="s">
        <v>1480</v>
      </c>
      <c r="G41" s="12" t="s">
        <v>1419</v>
      </c>
      <c r="H41" s="12" t="s">
        <v>1481</v>
      </c>
      <c r="I41" s="12" t="s">
        <v>1482</v>
      </c>
      <c r="J41" s="12" t="s">
        <v>1483</v>
      </c>
      <c r="K41" s="12" t="s">
        <v>50</v>
      </c>
      <c r="L41" s="12" t="s">
        <v>1484</v>
      </c>
      <c r="M41" s="12" t="s">
        <v>510</v>
      </c>
      <c r="N41" s="12" t="s">
        <v>1207</v>
      </c>
      <c r="O41" s="11">
        <v>87</v>
      </c>
    </row>
    <row r="42" spans="1:15" ht="60" customHeight="1" x14ac:dyDescent="0.35">
      <c r="A42" s="11">
        <v>38</v>
      </c>
      <c r="B42" s="12" t="s">
        <v>1485</v>
      </c>
      <c r="C42" s="11">
        <v>2022</v>
      </c>
      <c r="D42" s="12" t="s">
        <v>548</v>
      </c>
      <c r="E42" s="12" t="s">
        <v>1486</v>
      </c>
      <c r="F42" s="12" t="s">
        <v>1487</v>
      </c>
      <c r="G42" s="12" t="s">
        <v>1488</v>
      </c>
      <c r="H42" s="12" t="s">
        <v>1489</v>
      </c>
      <c r="I42" s="12" t="s">
        <v>1490</v>
      </c>
      <c r="J42" s="12" t="s">
        <v>1491</v>
      </c>
      <c r="K42" s="12" t="s">
        <v>50</v>
      </c>
      <c r="L42" s="12" t="s">
        <v>1492</v>
      </c>
      <c r="M42" s="12" t="s">
        <v>510</v>
      </c>
      <c r="N42" s="12" t="s">
        <v>1207</v>
      </c>
      <c r="O42" s="11">
        <v>82</v>
      </c>
    </row>
    <row r="43" spans="1:15" ht="60" customHeight="1" x14ac:dyDescent="0.35">
      <c r="A43" s="11">
        <v>39</v>
      </c>
      <c r="B43" s="12" t="s">
        <v>1493</v>
      </c>
      <c r="C43" s="11">
        <v>2022</v>
      </c>
      <c r="D43" s="12" t="s">
        <v>414</v>
      </c>
      <c r="E43" s="12" t="s">
        <v>1494</v>
      </c>
      <c r="F43" s="12" t="s">
        <v>1495</v>
      </c>
      <c r="G43" s="12" t="s">
        <v>1496</v>
      </c>
      <c r="H43" s="12" t="s">
        <v>1497</v>
      </c>
      <c r="I43" s="12" t="s">
        <v>1498</v>
      </c>
      <c r="J43" s="12" t="s">
        <v>1499</v>
      </c>
      <c r="K43" s="12" t="s">
        <v>50</v>
      </c>
      <c r="L43" s="12" t="s">
        <v>1500</v>
      </c>
      <c r="M43" s="12" t="s">
        <v>510</v>
      </c>
      <c r="N43" s="12" t="s">
        <v>1207</v>
      </c>
      <c r="O43" s="11">
        <v>91</v>
      </c>
    </row>
    <row r="44" spans="1:15" ht="60" customHeight="1" x14ac:dyDescent="0.35">
      <c r="A44" s="11">
        <v>40</v>
      </c>
      <c r="B44" s="12" t="s">
        <v>1501</v>
      </c>
      <c r="C44" s="11">
        <v>2022</v>
      </c>
      <c r="D44" s="12" t="s">
        <v>264</v>
      </c>
      <c r="E44" s="12" t="s">
        <v>1425</v>
      </c>
      <c r="F44" s="12" t="s">
        <v>1502</v>
      </c>
      <c r="G44" s="12" t="s">
        <v>1503</v>
      </c>
      <c r="H44" s="12" t="s">
        <v>1504</v>
      </c>
      <c r="I44" s="12" t="s">
        <v>1505</v>
      </c>
      <c r="J44" s="12" t="s">
        <v>1506</v>
      </c>
      <c r="K44" s="12" t="s">
        <v>50</v>
      </c>
      <c r="L44" s="12" t="s">
        <v>1507</v>
      </c>
      <c r="M44" s="12" t="s">
        <v>510</v>
      </c>
      <c r="N44" s="12" t="s">
        <v>1207</v>
      </c>
      <c r="O44" s="11">
        <v>94</v>
      </c>
    </row>
    <row r="45" spans="1:15" ht="60" customHeight="1" x14ac:dyDescent="0.35">
      <c r="A45" s="11">
        <v>41</v>
      </c>
      <c r="B45" s="12" t="s">
        <v>1508</v>
      </c>
      <c r="C45" s="11">
        <v>2022</v>
      </c>
      <c r="D45" s="12" t="s">
        <v>548</v>
      </c>
      <c r="E45" s="12" t="s">
        <v>1486</v>
      </c>
      <c r="F45" s="12" t="s">
        <v>1509</v>
      </c>
      <c r="G45" s="12" t="s">
        <v>1510</v>
      </c>
      <c r="H45" s="12" t="s">
        <v>1511</v>
      </c>
      <c r="I45" s="12" t="s">
        <v>1512</v>
      </c>
      <c r="J45" s="12" t="s">
        <v>1513</v>
      </c>
      <c r="K45" s="12" t="s">
        <v>50</v>
      </c>
      <c r="L45" s="12" t="s">
        <v>1514</v>
      </c>
      <c r="M45" s="12" t="s">
        <v>510</v>
      </c>
      <c r="N45" s="12" t="s">
        <v>1207</v>
      </c>
      <c r="O45" s="11">
        <v>85</v>
      </c>
    </row>
    <row r="46" spans="1:15" ht="66.5" customHeight="1" x14ac:dyDescent="0.35">
      <c r="A46" s="11">
        <v>42</v>
      </c>
      <c r="B46" s="12" t="s">
        <v>1515</v>
      </c>
      <c r="C46" s="11">
        <v>2022</v>
      </c>
      <c r="D46" s="12" t="s">
        <v>581</v>
      </c>
      <c r="E46" s="12" t="s">
        <v>1417</v>
      </c>
      <c r="F46" s="12" t="s">
        <v>1516</v>
      </c>
      <c r="G46" s="12" t="s">
        <v>1419</v>
      </c>
      <c r="H46" s="12" t="s">
        <v>1517</v>
      </c>
      <c r="I46" s="12" t="s">
        <v>1518</v>
      </c>
      <c r="J46" s="12" t="s">
        <v>1519</v>
      </c>
      <c r="K46" s="12" t="s">
        <v>50</v>
      </c>
      <c r="L46" s="12" t="s">
        <v>1520</v>
      </c>
      <c r="M46" s="12" t="s">
        <v>510</v>
      </c>
      <c r="N46" s="12" t="s">
        <v>1207</v>
      </c>
      <c r="O46" s="11">
        <v>90</v>
      </c>
    </row>
    <row r="47" spans="1:15" ht="60" customHeight="1" x14ac:dyDescent="0.35">
      <c r="A47" s="11">
        <v>43</v>
      </c>
      <c r="B47" s="12" t="s">
        <v>1521</v>
      </c>
      <c r="C47" s="11">
        <v>2023</v>
      </c>
      <c r="D47" s="12" t="s">
        <v>514</v>
      </c>
      <c r="E47" s="12" t="s">
        <v>1243</v>
      </c>
      <c r="F47" s="12" t="s">
        <v>1522</v>
      </c>
      <c r="G47" s="12" t="s">
        <v>1523</v>
      </c>
      <c r="H47" s="12" t="s">
        <v>1524</v>
      </c>
      <c r="I47" s="12" t="s">
        <v>1525</v>
      </c>
      <c r="J47" s="12" t="s">
        <v>1526</v>
      </c>
      <c r="K47" s="12" t="s">
        <v>50</v>
      </c>
      <c r="L47" s="12" t="s">
        <v>1527</v>
      </c>
      <c r="M47" s="12" t="s">
        <v>510</v>
      </c>
      <c r="N47" s="12" t="s">
        <v>1207</v>
      </c>
      <c r="O47" s="11">
        <v>75</v>
      </c>
    </row>
    <row r="48" spans="1:15" ht="60" customHeight="1" x14ac:dyDescent="0.35">
      <c r="A48" s="11">
        <v>44</v>
      </c>
      <c r="B48" s="12" t="s">
        <v>1528</v>
      </c>
      <c r="C48" s="11">
        <v>2024</v>
      </c>
      <c r="D48" s="12" t="s">
        <v>884</v>
      </c>
      <c r="E48" s="12" t="s">
        <v>1269</v>
      </c>
      <c r="F48" s="12" t="s">
        <v>1529</v>
      </c>
      <c r="G48" s="12" t="s">
        <v>1530</v>
      </c>
      <c r="H48" s="12" t="s">
        <v>1531</v>
      </c>
      <c r="I48" s="12" t="s">
        <v>1532</v>
      </c>
      <c r="J48" s="12" t="s">
        <v>1533</v>
      </c>
      <c r="K48" s="12" t="s">
        <v>50</v>
      </c>
      <c r="L48" s="12" t="s">
        <v>1534</v>
      </c>
      <c r="M48" s="12" t="s">
        <v>879</v>
      </c>
      <c r="N48" s="12" t="s">
        <v>1535</v>
      </c>
      <c r="O48" s="11">
        <v>150</v>
      </c>
    </row>
    <row r="49" spans="1:15" ht="60" customHeight="1" x14ac:dyDescent="0.35">
      <c r="A49" s="11">
        <v>45</v>
      </c>
      <c r="B49" s="12" t="s">
        <v>1536</v>
      </c>
      <c r="C49" s="11">
        <v>2024</v>
      </c>
      <c r="D49" s="12" t="s">
        <v>563</v>
      </c>
      <c r="E49" s="12" t="s">
        <v>1537</v>
      </c>
      <c r="F49" s="12" t="s">
        <v>1538</v>
      </c>
      <c r="G49" s="12" t="s">
        <v>1539</v>
      </c>
      <c r="H49" s="12" t="s">
        <v>1540</v>
      </c>
      <c r="I49" s="12" t="s">
        <v>1541</v>
      </c>
      <c r="J49" s="12" t="s">
        <v>1542</v>
      </c>
      <c r="K49" s="12" t="s">
        <v>50</v>
      </c>
      <c r="L49" s="12" t="s">
        <v>1543</v>
      </c>
      <c r="M49" s="12" t="s">
        <v>510</v>
      </c>
      <c r="N49" s="12" t="s">
        <v>1400</v>
      </c>
      <c r="O49" s="11">
        <v>86</v>
      </c>
    </row>
    <row r="50" spans="1:15" ht="60" customHeight="1" x14ac:dyDescent="0.35">
      <c r="A50" s="11">
        <v>46</v>
      </c>
      <c r="B50" s="12" t="s">
        <v>1544</v>
      </c>
      <c r="C50" s="11">
        <v>2024</v>
      </c>
      <c r="D50" s="12" t="s">
        <v>608</v>
      </c>
      <c r="E50" s="12" t="s">
        <v>1243</v>
      </c>
      <c r="F50" s="12" t="s">
        <v>1545</v>
      </c>
      <c r="G50" s="12" t="s">
        <v>1546</v>
      </c>
      <c r="H50" s="12" t="s">
        <v>1547</v>
      </c>
      <c r="I50" s="12" t="s">
        <v>1548</v>
      </c>
      <c r="J50" s="12" t="s">
        <v>1549</v>
      </c>
      <c r="K50" s="12" t="s">
        <v>50</v>
      </c>
      <c r="L50" s="12" t="s">
        <v>1550</v>
      </c>
      <c r="M50" s="12" t="s">
        <v>510</v>
      </c>
      <c r="N50" s="12" t="s">
        <v>1338</v>
      </c>
      <c r="O50" s="11">
        <v>96</v>
      </c>
    </row>
    <row r="51" spans="1:15" ht="60" customHeight="1" x14ac:dyDescent="0.35">
      <c r="A51" s="11">
        <v>47</v>
      </c>
      <c r="B51" s="12" t="s">
        <v>1551</v>
      </c>
      <c r="C51" s="11">
        <v>2025</v>
      </c>
      <c r="D51" s="12" t="s">
        <v>335</v>
      </c>
      <c r="E51" s="12" t="s">
        <v>1552</v>
      </c>
      <c r="F51" s="12" t="s">
        <v>1553</v>
      </c>
      <c r="G51" s="12" t="s">
        <v>1554</v>
      </c>
      <c r="H51" s="12" t="s">
        <v>1555</v>
      </c>
      <c r="I51" s="12" t="s">
        <v>1556</v>
      </c>
      <c r="J51" s="12" t="s">
        <v>1557</v>
      </c>
      <c r="K51" s="12" t="s">
        <v>50</v>
      </c>
      <c r="L51" s="12" t="s">
        <v>1558</v>
      </c>
      <c r="M51" s="12" t="s">
        <v>879</v>
      </c>
      <c r="N51" s="12" t="s">
        <v>1207</v>
      </c>
      <c r="O51" s="11">
        <v>166</v>
      </c>
    </row>
    <row r="52" spans="1:15" ht="60" customHeight="1" x14ac:dyDescent="0.35">
      <c r="A52" s="11">
        <v>48</v>
      </c>
      <c r="B52" s="12" t="s">
        <v>1559</v>
      </c>
      <c r="C52" s="11">
        <v>2025</v>
      </c>
      <c r="D52" s="12" t="s">
        <v>954</v>
      </c>
      <c r="E52" s="12" t="s">
        <v>1560</v>
      </c>
      <c r="F52" s="12" t="s">
        <v>1561</v>
      </c>
      <c r="G52" s="12" t="s">
        <v>1562</v>
      </c>
      <c r="H52" s="12" t="s">
        <v>1563</v>
      </c>
      <c r="I52" s="12" t="s">
        <v>1564</v>
      </c>
      <c r="J52" s="12" t="s">
        <v>1565</v>
      </c>
      <c r="K52" s="12" t="s">
        <v>50</v>
      </c>
      <c r="L52" s="12" t="s">
        <v>1566</v>
      </c>
      <c r="M52" s="12" t="s">
        <v>879</v>
      </c>
      <c r="N52" s="12" t="s">
        <v>1535</v>
      </c>
      <c r="O52" s="11">
        <v>165</v>
      </c>
    </row>
    <row r="53" spans="1:15" ht="60" customHeight="1" x14ac:dyDescent="0.35">
      <c r="A53" s="11">
        <v>49</v>
      </c>
      <c r="B53" s="12" t="s">
        <v>1567</v>
      </c>
      <c r="C53" s="11">
        <v>2025</v>
      </c>
      <c r="D53" s="12" t="s">
        <v>543</v>
      </c>
      <c r="E53" s="12" t="s">
        <v>1417</v>
      </c>
      <c r="F53" s="12" t="s">
        <v>1568</v>
      </c>
      <c r="G53" s="12" t="s">
        <v>1569</v>
      </c>
      <c r="H53" s="12" t="s">
        <v>1570</v>
      </c>
      <c r="I53" s="12" t="s">
        <v>1571</v>
      </c>
      <c r="J53" s="12" t="s">
        <v>1572</v>
      </c>
      <c r="K53" s="12" t="s">
        <v>50</v>
      </c>
      <c r="L53" s="12" t="s">
        <v>1573</v>
      </c>
      <c r="M53" s="12" t="s">
        <v>510</v>
      </c>
      <c r="N53" s="12" t="s">
        <v>1574</v>
      </c>
      <c r="O53" s="11">
        <v>81</v>
      </c>
    </row>
    <row r="54" spans="1:15" ht="60" customHeight="1" x14ac:dyDescent="0.35">
      <c r="A54" s="11">
        <v>50</v>
      </c>
      <c r="B54" s="12" t="s">
        <v>1575</v>
      </c>
      <c r="C54" s="11">
        <v>2025</v>
      </c>
      <c r="D54" s="12" t="s">
        <v>360</v>
      </c>
      <c r="E54" s="12" t="s">
        <v>1576</v>
      </c>
      <c r="F54" s="12" t="s">
        <v>1577</v>
      </c>
      <c r="G54" s="12" t="s">
        <v>1578</v>
      </c>
      <c r="H54" s="12" t="s">
        <v>1579</v>
      </c>
      <c r="I54" s="12" t="s">
        <v>1580</v>
      </c>
      <c r="J54" s="12" t="s">
        <v>1581</v>
      </c>
      <c r="K54" s="12" t="s">
        <v>50</v>
      </c>
      <c r="L54" s="12" t="s">
        <v>1582</v>
      </c>
      <c r="M54" s="12" t="s">
        <v>510</v>
      </c>
      <c r="N54" s="12" t="s">
        <v>1207</v>
      </c>
      <c r="O54" s="11">
        <v>97</v>
      </c>
    </row>
    <row r="55" spans="1:15" ht="60" customHeight="1" x14ac:dyDescent="0.35">
      <c r="A55" s="11">
        <v>51</v>
      </c>
      <c r="B55" s="12" t="s">
        <v>1583</v>
      </c>
      <c r="C55" s="11">
        <v>2021</v>
      </c>
      <c r="D55" s="12" t="s">
        <v>392</v>
      </c>
      <c r="E55" s="12" t="s">
        <v>1269</v>
      </c>
      <c r="F55" s="12" t="s">
        <v>1584</v>
      </c>
      <c r="G55" s="12" t="s">
        <v>1585</v>
      </c>
      <c r="H55" s="12" t="s">
        <v>1586</v>
      </c>
      <c r="I55" s="12" t="s">
        <v>1587</v>
      </c>
      <c r="J55" s="12" t="s">
        <v>1588</v>
      </c>
      <c r="K55" s="12" t="s">
        <v>51</v>
      </c>
      <c r="L55" s="12" t="s">
        <v>1589</v>
      </c>
      <c r="M55" s="12" t="s">
        <v>1131</v>
      </c>
      <c r="N55" s="12" t="s">
        <v>1207</v>
      </c>
      <c r="O55" s="11">
        <v>200</v>
      </c>
    </row>
    <row r="56" spans="1:15" ht="60" customHeight="1" x14ac:dyDescent="0.35">
      <c r="A56" s="11">
        <v>52</v>
      </c>
      <c r="B56" s="12" t="s">
        <v>1590</v>
      </c>
      <c r="C56" s="11">
        <v>2021</v>
      </c>
      <c r="D56" s="12" t="s">
        <v>1183</v>
      </c>
      <c r="E56" s="12" t="s">
        <v>1361</v>
      </c>
      <c r="F56" s="12" t="s">
        <v>1591</v>
      </c>
      <c r="G56" s="12" t="s">
        <v>1592</v>
      </c>
      <c r="H56" s="12" t="s">
        <v>1593</v>
      </c>
      <c r="I56" s="12" t="s">
        <v>1594</v>
      </c>
      <c r="J56" s="12" t="s">
        <v>1595</v>
      </c>
      <c r="K56" s="12" t="s">
        <v>51</v>
      </c>
      <c r="L56" s="12" t="s">
        <v>1596</v>
      </c>
      <c r="M56" s="12" t="s">
        <v>1147</v>
      </c>
      <c r="N56" s="12" t="s">
        <v>1207</v>
      </c>
      <c r="O56" s="11">
        <v>210</v>
      </c>
    </row>
    <row r="57" spans="1:15" ht="60" customHeight="1" x14ac:dyDescent="0.35">
      <c r="A57" s="11">
        <v>53</v>
      </c>
      <c r="B57" s="12" t="s">
        <v>1597</v>
      </c>
      <c r="C57" s="11">
        <v>2023</v>
      </c>
      <c r="D57" s="12" t="s">
        <v>671</v>
      </c>
      <c r="E57" s="12" t="s">
        <v>1260</v>
      </c>
      <c r="F57" s="12" t="s">
        <v>1598</v>
      </c>
      <c r="G57" s="12" t="s">
        <v>1599</v>
      </c>
      <c r="H57" s="12" t="s">
        <v>1600</v>
      </c>
      <c r="I57" s="12" t="s">
        <v>1601</v>
      </c>
      <c r="J57" s="12" t="s">
        <v>1602</v>
      </c>
      <c r="K57" s="12" t="s">
        <v>51</v>
      </c>
      <c r="L57" s="12" t="s">
        <v>1603</v>
      </c>
      <c r="M57" s="12" t="s">
        <v>624</v>
      </c>
      <c r="N57" s="12" t="s">
        <v>1267</v>
      </c>
      <c r="O57" s="11">
        <v>107</v>
      </c>
    </row>
    <row r="58" spans="1:15" ht="60" customHeight="1" x14ac:dyDescent="0.35">
      <c r="A58" s="11">
        <v>54</v>
      </c>
      <c r="B58" s="12" t="s">
        <v>1604</v>
      </c>
      <c r="C58" s="11">
        <v>2024</v>
      </c>
      <c r="D58" s="12" t="s">
        <v>929</v>
      </c>
      <c r="E58" s="12" t="s">
        <v>1605</v>
      </c>
      <c r="F58" s="12" t="s">
        <v>1606</v>
      </c>
      <c r="G58" s="12" t="s">
        <v>1607</v>
      </c>
      <c r="H58" s="12" t="s">
        <v>1608</v>
      </c>
      <c r="I58" s="12" t="s">
        <v>1609</v>
      </c>
      <c r="J58" s="12" t="s">
        <v>1610</v>
      </c>
      <c r="K58" s="12" t="s">
        <v>51</v>
      </c>
      <c r="L58" s="12" t="s">
        <v>1611</v>
      </c>
      <c r="M58" s="12" t="s">
        <v>879</v>
      </c>
      <c r="N58" s="12" t="s">
        <v>1207</v>
      </c>
      <c r="O58" s="11">
        <v>159</v>
      </c>
    </row>
    <row r="59" spans="1:15" ht="60" customHeight="1" x14ac:dyDescent="0.35">
      <c r="A59" s="11">
        <v>55</v>
      </c>
      <c r="B59" s="12" t="s">
        <v>1612</v>
      </c>
      <c r="C59" s="11">
        <v>2024</v>
      </c>
      <c r="D59" s="12" t="s">
        <v>1174</v>
      </c>
      <c r="E59" s="12" t="s">
        <v>1269</v>
      </c>
      <c r="F59" s="12" t="s">
        <v>1613</v>
      </c>
      <c r="G59" s="12" t="s">
        <v>1614</v>
      </c>
      <c r="H59" s="12" t="s">
        <v>1615</v>
      </c>
      <c r="I59" s="12" t="s">
        <v>1616</v>
      </c>
      <c r="J59" s="12" t="s">
        <v>1617</v>
      </c>
      <c r="K59" s="12" t="s">
        <v>51</v>
      </c>
      <c r="L59" s="12" t="s">
        <v>1618</v>
      </c>
      <c r="M59" s="12" t="s">
        <v>1131</v>
      </c>
      <c r="N59" s="12" t="s">
        <v>1207</v>
      </c>
      <c r="O59" s="11">
        <v>209</v>
      </c>
    </row>
    <row r="60" spans="1:15" ht="60" customHeight="1" x14ac:dyDescent="0.35">
      <c r="A60" s="11">
        <v>56</v>
      </c>
      <c r="B60" s="12" t="s">
        <v>1619</v>
      </c>
      <c r="C60" s="11">
        <v>2022</v>
      </c>
      <c r="D60" s="12" t="s">
        <v>264</v>
      </c>
      <c r="E60" s="12" t="s">
        <v>1605</v>
      </c>
      <c r="F60" s="12" t="s">
        <v>1620</v>
      </c>
      <c r="G60" s="12" t="s">
        <v>1621</v>
      </c>
      <c r="H60" s="12" t="s">
        <v>1622</v>
      </c>
      <c r="I60" s="12" t="s">
        <v>1623</v>
      </c>
      <c r="J60" s="12" t="s">
        <v>1624</v>
      </c>
      <c r="K60" s="12" t="s">
        <v>52</v>
      </c>
      <c r="L60" s="12" t="s">
        <v>1625</v>
      </c>
      <c r="M60" s="12" t="s">
        <v>763</v>
      </c>
      <c r="N60" s="12" t="s">
        <v>1207</v>
      </c>
      <c r="O60" s="11">
        <v>126</v>
      </c>
    </row>
    <row r="61" spans="1:15" ht="66.5" customHeight="1" x14ac:dyDescent="0.35">
      <c r="A61" s="11">
        <v>57</v>
      </c>
      <c r="B61" s="12" t="s">
        <v>1626</v>
      </c>
      <c r="C61" s="11">
        <v>2024</v>
      </c>
      <c r="D61" s="12" t="s">
        <v>848</v>
      </c>
      <c r="E61" s="12" t="s">
        <v>1627</v>
      </c>
      <c r="F61" s="12" t="s">
        <v>1628</v>
      </c>
      <c r="G61" s="12" t="s">
        <v>1629</v>
      </c>
      <c r="H61" s="12" t="s">
        <v>1630</v>
      </c>
      <c r="I61" s="12" t="s">
        <v>1631</v>
      </c>
      <c r="J61" s="12" t="s">
        <v>1632</v>
      </c>
      <c r="K61" s="12" t="s">
        <v>52</v>
      </c>
      <c r="L61" s="12" t="s">
        <v>1633</v>
      </c>
      <c r="M61" s="12" t="s">
        <v>763</v>
      </c>
      <c r="N61" s="12" t="s">
        <v>1574</v>
      </c>
      <c r="O61" s="11">
        <v>142</v>
      </c>
    </row>
    <row r="62" spans="1:15" ht="60" customHeight="1" x14ac:dyDescent="0.35">
      <c r="A62" s="11">
        <v>58</v>
      </c>
      <c r="B62" s="12" t="s">
        <v>1634</v>
      </c>
      <c r="C62" s="11">
        <v>2017</v>
      </c>
      <c r="D62" s="12" t="s">
        <v>1141</v>
      </c>
      <c r="E62" s="12" t="s">
        <v>1635</v>
      </c>
      <c r="F62" s="12" t="s">
        <v>1636</v>
      </c>
      <c r="G62" s="12" t="s">
        <v>1637</v>
      </c>
      <c r="H62" s="12" t="s">
        <v>1638</v>
      </c>
      <c r="I62" s="12" t="s">
        <v>1639</v>
      </c>
      <c r="J62" s="12" t="s">
        <v>1640</v>
      </c>
      <c r="K62" s="12" t="s">
        <v>53</v>
      </c>
      <c r="L62" s="12" t="s">
        <v>1143</v>
      </c>
      <c r="M62" s="12" t="s">
        <v>1131</v>
      </c>
      <c r="N62" s="12" t="s">
        <v>1641</v>
      </c>
      <c r="O62" s="11">
        <v>201</v>
      </c>
    </row>
    <row r="63" spans="1:15" ht="60" customHeight="1" x14ac:dyDescent="0.35">
      <c r="A63" s="11">
        <v>59</v>
      </c>
      <c r="B63" s="12" t="s">
        <v>1642</v>
      </c>
      <c r="C63" s="11">
        <v>2021</v>
      </c>
      <c r="D63" s="12" t="s">
        <v>992</v>
      </c>
      <c r="E63" s="12" t="s">
        <v>1643</v>
      </c>
      <c r="F63" s="12" t="s">
        <v>1644</v>
      </c>
      <c r="G63" s="12" t="s">
        <v>1645</v>
      </c>
      <c r="H63" s="12" t="s">
        <v>1646</v>
      </c>
      <c r="I63" s="12" t="s">
        <v>1647</v>
      </c>
      <c r="J63" s="12" t="s">
        <v>1648</v>
      </c>
      <c r="K63" s="12" t="s">
        <v>53</v>
      </c>
      <c r="L63" s="12" t="s">
        <v>1649</v>
      </c>
      <c r="M63" s="12" t="s">
        <v>993</v>
      </c>
      <c r="N63" s="12" t="s">
        <v>1267</v>
      </c>
      <c r="O63" s="11">
        <v>174</v>
      </c>
    </row>
    <row r="64" spans="1:15" ht="60" customHeight="1" x14ac:dyDescent="0.35">
      <c r="A64" s="11">
        <v>60</v>
      </c>
      <c r="B64" s="12" t="s">
        <v>1650</v>
      </c>
      <c r="C64" s="11">
        <v>2024</v>
      </c>
      <c r="D64" s="12" t="s">
        <v>563</v>
      </c>
      <c r="E64" s="12" t="s">
        <v>1643</v>
      </c>
      <c r="F64" s="12" t="s">
        <v>1651</v>
      </c>
      <c r="G64" s="12" t="s">
        <v>1652</v>
      </c>
      <c r="H64" s="12" t="s">
        <v>1653</v>
      </c>
      <c r="I64" s="12" t="s">
        <v>1654</v>
      </c>
      <c r="J64" s="12" t="s">
        <v>1655</v>
      </c>
      <c r="K64" s="12" t="s">
        <v>53</v>
      </c>
      <c r="L64" s="12" t="s">
        <v>1656</v>
      </c>
      <c r="M64" s="12" t="s">
        <v>993</v>
      </c>
      <c r="N64" s="12" t="s">
        <v>1400</v>
      </c>
      <c r="O64" s="11">
        <v>176</v>
      </c>
    </row>
    <row r="65" spans="1:15" ht="60" customHeight="1" x14ac:dyDescent="0.35">
      <c r="A65" s="11">
        <v>61</v>
      </c>
      <c r="B65" s="12" t="s">
        <v>1657</v>
      </c>
      <c r="C65" s="11">
        <v>2024</v>
      </c>
      <c r="D65" s="12" t="s">
        <v>1048</v>
      </c>
      <c r="E65" s="12" t="s">
        <v>1658</v>
      </c>
      <c r="F65" s="12" t="s">
        <v>1659</v>
      </c>
      <c r="G65" s="12" t="s">
        <v>1660</v>
      </c>
      <c r="H65" s="12" t="s">
        <v>1661</v>
      </c>
      <c r="I65" s="12" t="s">
        <v>1662</v>
      </c>
      <c r="J65" s="12" t="s">
        <v>1663</v>
      </c>
      <c r="K65" s="12" t="s">
        <v>53</v>
      </c>
      <c r="L65" s="12" t="s">
        <v>1664</v>
      </c>
      <c r="M65" s="12" t="s">
        <v>993</v>
      </c>
      <c r="N65" s="12" t="s">
        <v>1338</v>
      </c>
      <c r="O65" s="11">
        <v>184</v>
      </c>
    </row>
    <row r="66" spans="1:15" ht="60" customHeight="1" x14ac:dyDescent="0.35">
      <c r="A66" s="11">
        <v>62</v>
      </c>
      <c r="B66" s="12" t="s">
        <v>1665</v>
      </c>
      <c r="C66" s="11">
        <v>2024</v>
      </c>
      <c r="D66" s="12" t="s">
        <v>1169</v>
      </c>
      <c r="E66" s="12" t="s">
        <v>1666</v>
      </c>
      <c r="F66" s="12" t="s">
        <v>1667</v>
      </c>
      <c r="G66" s="12" t="s">
        <v>1668</v>
      </c>
      <c r="H66" s="12" t="s">
        <v>1669</v>
      </c>
      <c r="I66" s="12" t="s">
        <v>1670</v>
      </c>
      <c r="J66" s="12" t="s">
        <v>1671</v>
      </c>
      <c r="K66" s="12" t="s">
        <v>53</v>
      </c>
      <c r="L66" s="12" t="s">
        <v>1171</v>
      </c>
      <c r="M66" s="12" t="s">
        <v>1131</v>
      </c>
      <c r="N66" s="12" t="s">
        <v>1672</v>
      </c>
      <c r="O66" s="11">
        <v>207</v>
      </c>
    </row>
    <row r="67" spans="1:15" ht="60" customHeight="1" x14ac:dyDescent="0.35">
      <c r="A67" s="11">
        <v>63</v>
      </c>
      <c r="B67" s="12" t="s">
        <v>1673</v>
      </c>
      <c r="C67" s="11">
        <v>2025</v>
      </c>
      <c r="D67" s="12" t="s">
        <v>1130</v>
      </c>
      <c r="E67" s="12" t="s">
        <v>1643</v>
      </c>
      <c r="F67" s="12" t="s">
        <v>1674</v>
      </c>
      <c r="G67" s="12" t="s">
        <v>1675</v>
      </c>
      <c r="H67" s="12" t="s">
        <v>1676</v>
      </c>
      <c r="I67" s="12" t="s">
        <v>1677</v>
      </c>
      <c r="J67" s="12" t="s">
        <v>1678</v>
      </c>
      <c r="K67" s="12" t="s">
        <v>53</v>
      </c>
      <c r="L67" s="12" t="s">
        <v>1679</v>
      </c>
      <c r="M67" s="12" t="s">
        <v>1131</v>
      </c>
      <c r="N67" s="12" t="s">
        <v>1267</v>
      </c>
      <c r="O67" s="11">
        <v>199</v>
      </c>
    </row>
    <row r="68" spans="1:15" ht="60" customHeight="1" x14ac:dyDescent="0.35">
      <c r="A68" s="11">
        <v>64</v>
      </c>
      <c r="B68" s="12" t="s">
        <v>1680</v>
      </c>
      <c r="C68" s="11">
        <v>2025</v>
      </c>
      <c r="D68" s="12" t="s">
        <v>1071</v>
      </c>
      <c r="E68" s="12" t="s">
        <v>1658</v>
      </c>
      <c r="F68" s="12" t="s">
        <v>1681</v>
      </c>
      <c r="G68" s="12" t="s">
        <v>1682</v>
      </c>
      <c r="H68" s="12" t="s">
        <v>1683</v>
      </c>
      <c r="I68" s="12" t="s">
        <v>1684</v>
      </c>
      <c r="J68" s="12" t="s">
        <v>1685</v>
      </c>
      <c r="K68" s="12" t="s">
        <v>53</v>
      </c>
      <c r="L68" s="12" t="s">
        <v>1686</v>
      </c>
      <c r="M68" s="12" t="s">
        <v>993</v>
      </c>
      <c r="N68" s="12" t="s">
        <v>1267</v>
      </c>
      <c r="O68" s="11">
        <v>188</v>
      </c>
    </row>
  </sheetData>
  <autoFilter ref="A4:O68" xr:uid="{00000000-0009-0000-0000-000003000000}"/>
  <mergeCells count="1">
    <mergeCell ref="A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42"/>
  <sheetViews>
    <sheetView workbookViewId="0"/>
  </sheetViews>
  <sheetFormatPr defaultRowHeight="14.5" x14ac:dyDescent="0.35"/>
  <cols>
    <col min="1" max="1" width="3" customWidth="1"/>
    <col min="2" max="2" width="58" customWidth="1"/>
    <col min="3" max="3" width="12" customWidth="1"/>
    <col min="4" max="4" width="60" customWidth="1"/>
  </cols>
  <sheetData>
    <row r="2" spans="2:4" ht="18" x14ac:dyDescent="0.4">
      <c r="B2" s="10" t="s">
        <v>1687</v>
      </c>
    </row>
    <row r="3" spans="2:4" x14ac:dyDescent="0.35">
      <c r="B3" s="17" t="s">
        <v>1688</v>
      </c>
    </row>
    <row r="5" spans="2:4" x14ac:dyDescent="0.35">
      <c r="B5" s="3" t="s">
        <v>1689</v>
      </c>
      <c r="C5" s="3" t="s">
        <v>1690</v>
      </c>
      <c r="D5" s="3" t="s">
        <v>1691</v>
      </c>
    </row>
    <row r="6" spans="2:4" x14ac:dyDescent="0.35">
      <c r="B6" s="5" t="s">
        <v>1692</v>
      </c>
    </row>
    <row r="7" spans="2:4" x14ac:dyDescent="0.35">
      <c r="B7" s="4" t="s">
        <v>1693</v>
      </c>
      <c r="C7" s="18">
        <f>'01 Search log'!E28</f>
        <v>3235</v>
      </c>
      <c r="D7" s="19" t="s">
        <v>1694</v>
      </c>
    </row>
    <row r="8" spans="2:4" x14ac:dyDescent="0.35">
      <c r="B8" s="4" t="s">
        <v>1695</v>
      </c>
      <c r="C8" s="18">
        <f>C7-C9</f>
        <v>3035</v>
      </c>
      <c r="D8" s="19" t="s">
        <v>1696</v>
      </c>
    </row>
    <row r="9" spans="2:4" x14ac:dyDescent="0.35">
      <c r="B9" s="4" t="s">
        <v>68</v>
      </c>
      <c r="C9" s="18">
        <f>'01 Search log'!F28</f>
        <v>200</v>
      </c>
      <c r="D9" s="19" t="s">
        <v>1697</v>
      </c>
    </row>
    <row r="10" spans="2:4" ht="25" x14ac:dyDescent="0.35">
      <c r="B10" s="4" t="s">
        <v>1698</v>
      </c>
      <c r="C10" s="18">
        <f>C9-C11</f>
        <v>2</v>
      </c>
      <c r="D10" s="19" t="s">
        <v>1699</v>
      </c>
    </row>
    <row r="11" spans="2:4" x14ac:dyDescent="0.35">
      <c r="B11" s="4" t="s">
        <v>1700</v>
      </c>
      <c r="C11" s="18">
        <f>COUNTIF('02 Screening log'!$L$6:$L$400,"Database search")</f>
        <v>198</v>
      </c>
      <c r="D11" s="19" t="s">
        <v>1701</v>
      </c>
    </row>
    <row r="12" spans="2:4" x14ac:dyDescent="0.35">
      <c r="B12" s="4" t="s">
        <v>1702</v>
      </c>
      <c r="C12" s="18">
        <f>COUNTIFS('02 Screening log'!$L$6:$L$400,"Database search",'02 Screening log'!$G$6:$G$400,"DROP")</f>
        <v>112</v>
      </c>
      <c r="D12" s="19" t="s">
        <v>1703</v>
      </c>
    </row>
    <row r="13" spans="2:4" x14ac:dyDescent="0.35">
      <c r="B13" s="4" t="s">
        <v>1704</v>
      </c>
      <c r="C13" s="18">
        <f>COUNTIFS('02 Screening log'!$L$6:$L$400,"Database search",'02 Screening log'!$H$6:$H$400,"DROP")</f>
        <v>16</v>
      </c>
      <c r="D13" s="19" t="s">
        <v>1705</v>
      </c>
    </row>
    <row r="14" spans="2:4" x14ac:dyDescent="0.35">
      <c r="B14" s="4" t="s">
        <v>1706</v>
      </c>
      <c r="C14" s="18">
        <f>C11-C12-C13</f>
        <v>70</v>
      </c>
      <c r="D14" s="19" t="s">
        <v>1707</v>
      </c>
    </row>
    <row r="15" spans="2:4" x14ac:dyDescent="0.35">
      <c r="B15" s="4" t="s">
        <v>1708</v>
      </c>
      <c r="C15" s="18">
        <f>COUNTIFS('02 Screening log'!$L$6:$L$400,"Database search",'02 Screening log'!$I$6:$I$400,"DROP")</f>
        <v>18</v>
      </c>
      <c r="D15" s="19" t="s">
        <v>1709</v>
      </c>
    </row>
    <row r="16" spans="2:4" x14ac:dyDescent="0.35">
      <c r="B16" s="4" t="s">
        <v>1710</v>
      </c>
      <c r="C16" s="18">
        <f>C14-C15</f>
        <v>52</v>
      </c>
      <c r="D16" s="19" t="s">
        <v>1711</v>
      </c>
    </row>
    <row r="17" spans="2:4" x14ac:dyDescent="0.35">
      <c r="B17" s="5" t="s">
        <v>1712</v>
      </c>
    </row>
    <row r="18" spans="2:4" x14ac:dyDescent="0.35">
      <c r="B18" s="4" t="s">
        <v>1713</v>
      </c>
      <c r="C18" s="18">
        <f>COUNTIF('02 Screening log'!$L$6:$L$400,"Citation chasing")</f>
        <v>12</v>
      </c>
      <c r="D18" s="19" t="s">
        <v>1714</v>
      </c>
    </row>
    <row r="19" spans="2:4" x14ac:dyDescent="0.35">
      <c r="B19" s="4" t="s">
        <v>1708</v>
      </c>
      <c r="C19" s="18">
        <f>COUNTIFS('02 Screening log'!$L$6:$L$400,"Citation chasing",'02 Screening log'!$I$6:$I$400,"DROP")</f>
        <v>0</v>
      </c>
      <c r="D19" s="19" t="s">
        <v>1715</v>
      </c>
    </row>
    <row r="20" spans="2:4" x14ac:dyDescent="0.35">
      <c r="B20" s="4" t="s">
        <v>1716</v>
      </c>
      <c r="C20" s="18">
        <f>C18-C19</f>
        <v>12</v>
      </c>
      <c r="D20" s="19" t="s">
        <v>1717</v>
      </c>
    </row>
    <row r="21" spans="2:4" x14ac:dyDescent="0.35">
      <c r="B21" s="4" t="s">
        <v>1718</v>
      </c>
      <c r="C21" s="18">
        <f>C16+C20</f>
        <v>64</v>
      </c>
      <c r="D21" s="19" t="s">
        <v>1719</v>
      </c>
    </row>
    <row r="22" spans="2:4" x14ac:dyDescent="0.35">
      <c r="B22" s="4" t="s">
        <v>1720</v>
      </c>
      <c r="C22" s="18">
        <f>COUNTIF('02 Screening log'!$K$6:$K$400,"YES")</f>
        <v>64</v>
      </c>
      <c r="D22" s="19" t="s">
        <v>1721</v>
      </c>
    </row>
    <row r="25" spans="2:4" x14ac:dyDescent="0.35">
      <c r="B25" s="5" t="s">
        <v>1722</v>
      </c>
    </row>
    <row r="26" spans="2:4" x14ac:dyDescent="0.35">
      <c r="B26" s="3" t="s">
        <v>1723</v>
      </c>
      <c r="C26" s="3" t="s">
        <v>1690</v>
      </c>
      <c r="D26" s="3" t="s">
        <v>1724</v>
      </c>
    </row>
    <row r="27" spans="2:4" ht="30" customHeight="1" x14ac:dyDescent="0.35">
      <c r="B27" s="7" t="s">
        <v>173</v>
      </c>
      <c r="C27" s="20">
        <f>COUNTIF('02 Screening log'!$J$6:$J$400,B27)</f>
        <v>7</v>
      </c>
      <c r="D27" s="19" t="s">
        <v>1725</v>
      </c>
    </row>
    <row r="28" spans="2:4" ht="30" customHeight="1" x14ac:dyDescent="0.35">
      <c r="B28" s="7" t="s">
        <v>1726</v>
      </c>
      <c r="C28" s="20">
        <f>COUNTIF('02 Screening log'!$J$6:$J$400,B28)</f>
        <v>0</v>
      </c>
      <c r="D28" s="19" t="s">
        <v>1727</v>
      </c>
    </row>
    <row r="29" spans="2:4" ht="30" customHeight="1" x14ac:dyDescent="0.35">
      <c r="B29" s="7" t="s">
        <v>1728</v>
      </c>
      <c r="C29" s="20">
        <f>COUNTIF('02 Screening log'!$J$6:$J$400,B29)</f>
        <v>0</v>
      </c>
      <c r="D29" s="19" t="s">
        <v>1729</v>
      </c>
    </row>
    <row r="30" spans="2:4" ht="30" customHeight="1" x14ac:dyDescent="0.35">
      <c r="B30" s="7" t="s">
        <v>296</v>
      </c>
      <c r="C30" s="20">
        <f>COUNTIF('02 Screening log'!$J$6:$J$400,B30)</f>
        <v>8</v>
      </c>
      <c r="D30" s="19" t="s">
        <v>1730</v>
      </c>
    </row>
    <row r="31" spans="2:4" ht="30" customHeight="1" x14ac:dyDescent="0.35">
      <c r="B31" s="7" t="s">
        <v>274</v>
      </c>
      <c r="C31" s="20">
        <f>COUNTIF('02 Screening log'!$J$6:$J$400,B31)</f>
        <v>3</v>
      </c>
      <c r="D31" s="19" t="s">
        <v>1731</v>
      </c>
    </row>
    <row r="32" spans="2:4" x14ac:dyDescent="0.35">
      <c r="B32" s="5" t="s">
        <v>1732</v>
      </c>
      <c r="C32" s="13">
        <f>SUM(C27:C31)</f>
        <v>18</v>
      </c>
      <c r="D32" s="17" t="s">
        <v>1733</v>
      </c>
    </row>
    <row r="35" spans="2:4" x14ac:dyDescent="0.35">
      <c r="B35" s="5" t="s">
        <v>1734</v>
      </c>
    </row>
    <row r="36" spans="2:4" x14ac:dyDescent="0.35">
      <c r="B36" s="3" t="s">
        <v>1735</v>
      </c>
      <c r="C36" s="3" t="s">
        <v>1690</v>
      </c>
      <c r="D36" s="3" t="s">
        <v>1736</v>
      </c>
    </row>
    <row r="37" spans="2:4" x14ac:dyDescent="0.35">
      <c r="B37" s="21" t="s">
        <v>1737</v>
      </c>
      <c r="C37" s="20">
        <f>COUNTIF('03 Extraction matrix'!$K$5:$K$68,B37&amp;"*")</f>
        <v>19</v>
      </c>
      <c r="D37" s="7" t="s">
        <v>1738</v>
      </c>
    </row>
    <row r="38" spans="2:4" x14ac:dyDescent="0.35">
      <c r="B38" s="21" t="s">
        <v>1739</v>
      </c>
      <c r="C38" s="20">
        <f>COUNTIF('03 Extraction matrix'!$K$5:$K$68,B38&amp;"*")</f>
        <v>6</v>
      </c>
      <c r="D38" s="7" t="s">
        <v>1740</v>
      </c>
    </row>
    <row r="39" spans="2:4" x14ac:dyDescent="0.35">
      <c r="B39" s="21" t="s">
        <v>1741</v>
      </c>
      <c r="C39" s="20">
        <f>COUNTIF('03 Extraction matrix'!$K$5:$K$68,B39&amp;"*")</f>
        <v>25</v>
      </c>
      <c r="D39" s="7" t="s">
        <v>1742</v>
      </c>
    </row>
    <row r="40" spans="2:4" x14ac:dyDescent="0.35">
      <c r="B40" s="21" t="s">
        <v>1743</v>
      </c>
      <c r="C40" s="20">
        <f>COUNTIF('03 Extraction matrix'!$K$5:$K$68,B40&amp;"*")</f>
        <v>5</v>
      </c>
      <c r="D40" s="7" t="s">
        <v>1744</v>
      </c>
    </row>
    <row r="41" spans="2:4" x14ac:dyDescent="0.35">
      <c r="B41" s="21" t="s">
        <v>1745</v>
      </c>
      <c r="C41" s="20">
        <f>COUNTIF('03 Extraction matrix'!$K$5:$K$68,B41&amp;"*")</f>
        <v>2</v>
      </c>
      <c r="D41" s="7" t="s">
        <v>1746</v>
      </c>
    </row>
    <row r="42" spans="2:4" x14ac:dyDescent="0.35">
      <c r="B42" s="21" t="s">
        <v>1747</v>
      </c>
      <c r="C42" s="20">
        <f>COUNTIF('03 Extraction matrix'!$K$5:$K$68,B42&amp;"*")</f>
        <v>7</v>
      </c>
      <c r="D42" s="7" t="s">
        <v>1748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8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5" customWidth="1"/>
    <col min="2" max="2" width="50" customWidth="1"/>
    <col min="3" max="3" width="24" customWidth="1"/>
    <col min="4" max="4" width="18" customWidth="1"/>
    <col min="5" max="5" width="52" customWidth="1"/>
  </cols>
  <sheetData>
    <row r="1" spans="1:5" ht="18" x14ac:dyDescent="0.4">
      <c r="A1" s="10" t="s">
        <v>1749</v>
      </c>
    </row>
    <row r="2" spans="1:5" x14ac:dyDescent="0.35">
      <c r="A2" s="27" t="s">
        <v>1750</v>
      </c>
      <c r="B2" s="25"/>
      <c r="C2" s="25"/>
      <c r="D2" s="25"/>
      <c r="E2" s="25"/>
    </row>
    <row r="4" spans="1:5" ht="30" customHeight="1" x14ac:dyDescent="0.35">
      <c r="A4" s="3" t="s">
        <v>63</v>
      </c>
      <c r="B4" s="3" t="s">
        <v>1751</v>
      </c>
      <c r="C4" s="3" t="s">
        <v>1752</v>
      </c>
      <c r="D4" s="3" t="s">
        <v>1753</v>
      </c>
      <c r="E4" s="3" t="s">
        <v>1754</v>
      </c>
    </row>
    <row r="5" spans="1:5" ht="30" customHeight="1" x14ac:dyDescent="0.35">
      <c r="A5" s="11">
        <v>1</v>
      </c>
      <c r="B5" s="12" t="s">
        <v>1755</v>
      </c>
      <c r="C5" s="12" t="s">
        <v>1299</v>
      </c>
      <c r="D5" s="12" t="s">
        <v>1756</v>
      </c>
      <c r="E5" s="12" t="s">
        <v>1757</v>
      </c>
    </row>
    <row r="6" spans="1:5" ht="30" customHeight="1" x14ac:dyDescent="0.35">
      <c r="A6" s="11">
        <v>2</v>
      </c>
      <c r="B6" s="12" t="s">
        <v>1758</v>
      </c>
      <c r="C6" s="12" t="s">
        <v>1323</v>
      </c>
      <c r="D6" s="12" t="s">
        <v>1756</v>
      </c>
      <c r="E6" s="12" t="s">
        <v>1759</v>
      </c>
    </row>
    <row r="7" spans="1:5" ht="30" customHeight="1" x14ac:dyDescent="0.35">
      <c r="A7" s="11">
        <v>3</v>
      </c>
      <c r="B7" s="12" t="s">
        <v>1760</v>
      </c>
      <c r="C7" s="12" t="s">
        <v>1369</v>
      </c>
      <c r="D7" s="12" t="s">
        <v>1761</v>
      </c>
      <c r="E7" s="12" t="s">
        <v>1762</v>
      </c>
    </row>
    <row r="8" spans="1:5" ht="30" customHeight="1" x14ac:dyDescent="0.35">
      <c r="A8" s="11">
        <v>4</v>
      </c>
      <c r="B8" s="12" t="s">
        <v>1763</v>
      </c>
      <c r="C8" s="12" t="s">
        <v>1353</v>
      </c>
      <c r="D8" s="12" t="s">
        <v>1764</v>
      </c>
      <c r="E8" s="12" t="s">
        <v>1765</v>
      </c>
    </row>
    <row r="9" spans="1:5" ht="30" customHeight="1" x14ac:dyDescent="0.35">
      <c r="A9" s="11">
        <v>5</v>
      </c>
      <c r="B9" s="12" t="s">
        <v>1766</v>
      </c>
      <c r="C9" s="12" t="s">
        <v>1377</v>
      </c>
      <c r="D9" s="12" t="s">
        <v>1767</v>
      </c>
      <c r="E9" s="12" t="s">
        <v>1768</v>
      </c>
    </row>
    <row r="10" spans="1:5" ht="30" customHeight="1" x14ac:dyDescent="0.35">
      <c r="A10" s="11">
        <v>6</v>
      </c>
      <c r="B10" s="12" t="s">
        <v>1769</v>
      </c>
      <c r="C10" s="12" t="s">
        <v>1437</v>
      </c>
      <c r="D10" s="12" t="s">
        <v>1770</v>
      </c>
      <c r="E10" s="12" t="s">
        <v>1771</v>
      </c>
    </row>
    <row r="11" spans="1:5" ht="30" customHeight="1" x14ac:dyDescent="0.35">
      <c r="A11" s="11">
        <v>7</v>
      </c>
      <c r="B11" s="12" t="s">
        <v>1772</v>
      </c>
      <c r="C11" s="12" t="s">
        <v>1528</v>
      </c>
      <c r="D11" s="12" t="s">
        <v>1773</v>
      </c>
      <c r="E11" s="12" t="s">
        <v>1774</v>
      </c>
    </row>
    <row r="12" spans="1:5" ht="30" customHeight="1" x14ac:dyDescent="0.35">
      <c r="A12" s="11">
        <v>8</v>
      </c>
      <c r="B12" s="12" t="s">
        <v>1775</v>
      </c>
      <c r="C12" s="12" t="s">
        <v>1612</v>
      </c>
      <c r="D12" s="12" t="s">
        <v>1776</v>
      </c>
      <c r="E12" s="12" t="s">
        <v>1777</v>
      </c>
    </row>
    <row r="13" spans="1:5" ht="30" customHeight="1" x14ac:dyDescent="0.35">
      <c r="A13" s="11">
        <v>9</v>
      </c>
      <c r="B13" s="12" t="s">
        <v>1778</v>
      </c>
      <c r="C13" s="12" t="s">
        <v>1619</v>
      </c>
      <c r="D13" s="12" t="s">
        <v>1779</v>
      </c>
      <c r="E13" s="12" t="s">
        <v>1780</v>
      </c>
    </row>
    <row r="14" spans="1:5" ht="30" customHeight="1" x14ac:dyDescent="0.35">
      <c r="A14" s="11">
        <v>10</v>
      </c>
      <c r="B14" s="12" t="s">
        <v>1781</v>
      </c>
      <c r="C14" s="12" t="s">
        <v>1626</v>
      </c>
      <c r="D14" s="12" t="s">
        <v>1782</v>
      </c>
      <c r="E14" s="12" t="s">
        <v>1783</v>
      </c>
    </row>
    <row r="15" spans="1:5" ht="41.5" customHeight="1" x14ac:dyDescent="0.35">
      <c r="A15" s="11">
        <v>11</v>
      </c>
      <c r="B15" s="12" t="s">
        <v>1784</v>
      </c>
      <c r="C15" s="12" t="s">
        <v>1665</v>
      </c>
      <c r="D15" s="12" t="s">
        <v>1785</v>
      </c>
      <c r="E15" s="12" t="s">
        <v>1786</v>
      </c>
    </row>
    <row r="16" spans="1:5" ht="30" customHeight="1" x14ac:dyDescent="0.35">
      <c r="A16" s="11">
        <v>12</v>
      </c>
      <c r="B16" s="12" t="s">
        <v>1787</v>
      </c>
      <c r="C16" s="12" t="s">
        <v>1642</v>
      </c>
      <c r="D16" s="12" t="s">
        <v>1785</v>
      </c>
      <c r="E16" s="12" t="s">
        <v>1788</v>
      </c>
    </row>
    <row r="17" spans="1:5" ht="30" customHeight="1" x14ac:dyDescent="0.35">
      <c r="A17" s="11">
        <v>13</v>
      </c>
      <c r="B17" s="12" t="s">
        <v>1789</v>
      </c>
      <c r="C17" s="12" t="s">
        <v>1346</v>
      </c>
      <c r="D17" s="12" t="s">
        <v>1790</v>
      </c>
      <c r="E17" s="12" t="s">
        <v>1791</v>
      </c>
    </row>
    <row r="18" spans="1:5" ht="30" customHeight="1" x14ac:dyDescent="0.35">
      <c r="A18" s="11">
        <v>14</v>
      </c>
      <c r="B18" s="12" t="s">
        <v>1792</v>
      </c>
      <c r="C18" s="12" t="s">
        <v>1315</v>
      </c>
      <c r="D18" s="12" t="s">
        <v>1770</v>
      </c>
      <c r="E18" s="12" t="s">
        <v>1793</v>
      </c>
    </row>
  </sheetData>
  <mergeCells count="1">
    <mergeCell ref="A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1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5" customWidth="1"/>
    <col min="2" max="2" width="24" customWidth="1"/>
    <col min="3" max="3" width="40" customWidth="1"/>
    <col min="4" max="4" width="50" customWidth="1"/>
    <col min="5" max="5" width="34" customWidth="1"/>
  </cols>
  <sheetData>
    <row r="1" spans="1:5" ht="18" x14ac:dyDescent="0.4">
      <c r="A1" s="10" t="s">
        <v>1794</v>
      </c>
    </row>
    <row r="2" spans="1:5" ht="28" customHeight="1" x14ac:dyDescent="0.35">
      <c r="A2" s="27" t="s">
        <v>1795</v>
      </c>
      <c r="B2" s="25"/>
      <c r="C2" s="25"/>
      <c r="D2" s="25"/>
      <c r="E2" s="25"/>
    </row>
    <row r="4" spans="1:5" ht="30" customHeight="1" x14ac:dyDescent="0.35">
      <c r="A4" s="3" t="s">
        <v>63</v>
      </c>
      <c r="B4" s="3" t="s">
        <v>1796</v>
      </c>
      <c r="C4" s="3" t="s">
        <v>1797</v>
      </c>
      <c r="D4" s="3" t="s">
        <v>1798</v>
      </c>
      <c r="E4" s="3" t="s">
        <v>1799</v>
      </c>
    </row>
    <row r="5" spans="1:5" ht="54" customHeight="1" x14ac:dyDescent="0.35">
      <c r="A5" s="11">
        <v>1</v>
      </c>
      <c r="B5" s="12" t="s">
        <v>1800</v>
      </c>
      <c r="C5" s="12" t="s">
        <v>1801</v>
      </c>
      <c r="D5" s="12" t="s">
        <v>1802</v>
      </c>
      <c r="E5" s="12" t="s">
        <v>1803</v>
      </c>
    </row>
    <row r="6" spans="1:5" ht="54" customHeight="1" x14ac:dyDescent="0.35">
      <c r="A6" s="11">
        <v>2</v>
      </c>
      <c r="B6" s="12" t="s">
        <v>1804</v>
      </c>
      <c r="C6" s="12" t="s">
        <v>1805</v>
      </c>
      <c r="D6" s="12" t="s">
        <v>1806</v>
      </c>
      <c r="E6" s="12" t="s">
        <v>1807</v>
      </c>
    </row>
    <row r="7" spans="1:5" ht="41.5" customHeight="1" x14ac:dyDescent="0.35">
      <c r="A7" s="11">
        <v>3</v>
      </c>
      <c r="B7" s="12" t="s">
        <v>1808</v>
      </c>
      <c r="C7" s="12" t="s">
        <v>1809</v>
      </c>
      <c r="D7" s="12" t="s">
        <v>1810</v>
      </c>
      <c r="E7" s="12" t="s">
        <v>1634</v>
      </c>
    </row>
    <row r="8" spans="1:5" ht="54" customHeight="1" x14ac:dyDescent="0.35">
      <c r="A8" s="11">
        <v>4</v>
      </c>
      <c r="B8" s="12" t="s">
        <v>1811</v>
      </c>
      <c r="C8" s="12" t="s">
        <v>1812</v>
      </c>
      <c r="D8" s="12" t="s">
        <v>1813</v>
      </c>
      <c r="E8" s="12" t="s">
        <v>1814</v>
      </c>
    </row>
    <row r="9" spans="1:5" ht="54" customHeight="1" x14ac:dyDescent="0.35">
      <c r="A9" s="11">
        <v>5</v>
      </c>
      <c r="B9" s="12" t="s">
        <v>1815</v>
      </c>
      <c r="C9" s="12" t="s">
        <v>1816</v>
      </c>
      <c r="D9" s="12" t="s">
        <v>1817</v>
      </c>
      <c r="E9" s="12" t="s">
        <v>1818</v>
      </c>
    </row>
    <row r="10" spans="1:5" ht="41.5" customHeight="1" x14ac:dyDescent="0.35">
      <c r="A10" s="11">
        <v>6</v>
      </c>
      <c r="B10" s="12" t="s">
        <v>1819</v>
      </c>
      <c r="C10" s="12" t="s">
        <v>1820</v>
      </c>
      <c r="D10" s="12" t="s">
        <v>1821</v>
      </c>
      <c r="E10" s="12" t="s">
        <v>1822</v>
      </c>
    </row>
    <row r="11" spans="1:5" ht="40" customHeight="1" x14ac:dyDescent="0.35">
      <c r="A11" s="11">
        <v>7</v>
      </c>
      <c r="B11" s="12" t="s">
        <v>1823</v>
      </c>
      <c r="C11" s="12" t="s">
        <v>1824</v>
      </c>
      <c r="D11" s="12" t="s">
        <v>1825</v>
      </c>
      <c r="E11" s="12" t="s">
        <v>1826</v>
      </c>
    </row>
  </sheetData>
  <mergeCells count="1">
    <mergeCell ref="A2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8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5" customWidth="1"/>
    <col min="2" max="2" width="26" customWidth="1"/>
    <col min="3" max="3" width="90" customWidth="1"/>
    <col min="4" max="4" width="40" customWidth="1"/>
  </cols>
  <sheetData>
    <row r="1" spans="1:4" ht="18" x14ac:dyDescent="0.4">
      <c r="A1" s="10" t="s">
        <v>1827</v>
      </c>
    </row>
    <row r="2" spans="1:4" x14ac:dyDescent="0.35">
      <c r="A2" s="17" t="s">
        <v>1828</v>
      </c>
    </row>
    <row r="4" spans="1:4" ht="30" customHeight="1" x14ac:dyDescent="0.35">
      <c r="A4" s="3" t="s">
        <v>63</v>
      </c>
      <c r="B4" s="3" t="s">
        <v>1829</v>
      </c>
      <c r="C4" s="3" t="s">
        <v>1830</v>
      </c>
      <c r="D4" s="3" t="s">
        <v>1196</v>
      </c>
    </row>
    <row r="5" spans="1:4" ht="54" customHeight="1" x14ac:dyDescent="0.35">
      <c r="A5" s="22">
        <v>1</v>
      </c>
      <c r="B5" s="23" t="s">
        <v>1437</v>
      </c>
      <c r="C5" s="23" t="s">
        <v>1831</v>
      </c>
      <c r="D5" s="23" t="s">
        <v>1443</v>
      </c>
    </row>
    <row r="6" spans="1:4" ht="41.5" customHeight="1" x14ac:dyDescent="0.35">
      <c r="A6" s="22">
        <v>2</v>
      </c>
      <c r="B6" s="23" t="s">
        <v>1673</v>
      </c>
      <c r="C6" s="23" t="s">
        <v>1832</v>
      </c>
      <c r="D6" s="23" t="s">
        <v>1679</v>
      </c>
    </row>
    <row r="7" spans="1:4" ht="29" customHeight="1" x14ac:dyDescent="0.35">
      <c r="A7" s="22">
        <v>3</v>
      </c>
      <c r="B7" s="23" t="s">
        <v>1650</v>
      </c>
      <c r="C7" s="23" t="s">
        <v>1833</v>
      </c>
      <c r="D7" s="23" t="s">
        <v>1656</v>
      </c>
    </row>
    <row r="8" spans="1:4" ht="29" customHeight="1" x14ac:dyDescent="0.35">
      <c r="A8" s="22">
        <v>4</v>
      </c>
      <c r="B8" s="23" t="s">
        <v>1642</v>
      </c>
      <c r="C8" s="23" t="s">
        <v>1834</v>
      </c>
      <c r="D8" s="23" t="s">
        <v>1649</v>
      </c>
    </row>
    <row r="9" spans="1:4" ht="41.5" customHeight="1" x14ac:dyDescent="0.35">
      <c r="A9" s="22">
        <v>5</v>
      </c>
      <c r="B9" s="23" t="s">
        <v>1521</v>
      </c>
      <c r="C9" s="23" t="s">
        <v>1835</v>
      </c>
      <c r="D9" s="23" t="s">
        <v>1527</v>
      </c>
    </row>
    <row r="10" spans="1:4" ht="41.5" customHeight="1" x14ac:dyDescent="0.35">
      <c r="A10" s="22">
        <v>6</v>
      </c>
      <c r="B10" s="23" t="s">
        <v>1409</v>
      </c>
      <c r="C10" s="23" t="s">
        <v>1836</v>
      </c>
      <c r="D10" s="23" t="s">
        <v>1415</v>
      </c>
    </row>
    <row r="11" spans="1:4" ht="54" customHeight="1" x14ac:dyDescent="0.35">
      <c r="A11" s="22">
        <v>7</v>
      </c>
      <c r="B11" s="23" t="s">
        <v>1583</v>
      </c>
      <c r="C11" s="23" t="s">
        <v>1837</v>
      </c>
      <c r="D11" s="23" t="s">
        <v>1589</v>
      </c>
    </row>
    <row r="12" spans="1:4" ht="41.5" customHeight="1" x14ac:dyDescent="0.35">
      <c r="A12" s="22">
        <v>8</v>
      </c>
      <c r="B12" s="23" t="s">
        <v>1331</v>
      </c>
      <c r="C12" s="23" t="s">
        <v>1838</v>
      </c>
      <c r="D12" s="23" t="s">
        <v>1337</v>
      </c>
    </row>
    <row r="13" spans="1:4" ht="41.5" customHeight="1" x14ac:dyDescent="0.35">
      <c r="A13" s="22">
        <v>9</v>
      </c>
      <c r="B13" s="23" t="s">
        <v>1551</v>
      </c>
      <c r="C13" s="23" t="s">
        <v>1839</v>
      </c>
      <c r="D13" s="23" t="s">
        <v>1558</v>
      </c>
    </row>
    <row r="14" spans="1:4" ht="41.5" customHeight="1" x14ac:dyDescent="0.35">
      <c r="A14" s="22">
        <v>10</v>
      </c>
      <c r="B14" s="23" t="s">
        <v>1657</v>
      </c>
      <c r="C14" s="23" t="s">
        <v>1840</v>
      </c>
      <c r="D14" s="23" t="s">
        <v>1664</v>
      </c>
    </row>
    <row r="15" spans="1:4" ht="41.5" customHeight="1" x14ac:dyDescent="0.35">
      <c r="A15" s="22">
        <v>11</v>
      </c>
      <c r="B15" s="23" t="s">
        <v>1559</v>
      </c>
      <c r="C15" s="23" t="s">
        <v>1841</v>
      </c>
      <c r="D15" s="23" t="s">
        <v>1566</v>
      </c>
    </row>
    <row r="16" spans="1:4" ht="41.5" customHeight="1" x14ac:dyDescent="0.35">
      <c r="A16" s="22">
        <v>12</v>
      </c>
      <c r="B16" s="23" t="s">
        <v>1597</v>
      </c>
      <c r="C16" s="23" t="s">
        <v>1842</v>
      </c>
      <c r="D16" s="23" t="s">
        <v>1603</v>
      </c>
    </row>
    <row r="17" spans="1:4" ht="54" customHeight="1" x14ac:dyDescent="0.35">
      <c r="A17" s="22">
        <v>13</v>
      </c>
      <c r="B17" s="23" t="s">
        <v>1444</v>
      </c>
      <c r="C17" s="23" t="s">
        <v>1843</v>
      </c>
      <c r="D17" s="23" t="s">
        <v>1450</v>
      </c>
    </row>
    <row r="18" spans="1:4" ht="54" customHeight="1" x14ac:dyDescent="0.35">
      <c r="A18" s="22">
        <v>14</v>
      </c>
      <c r="B18" s="23" t="s">
        <v>1208</v>
      </c>
      <c r="C18" s="23" t="s">
        <v>1844</v>
      </c>
      <c r="D18" s="23" t="s">
        <v>1215</v>
      </c>
    </row>
    <row r="19" spans="1:4" ht="41.5" customHeight="1" x14ac:dyDescent="0.35">
      <c r="A19" s="22">
        <v>15</v>
      </c>
      <c r="B19" s="23" t="s">
        <v>1242</v>
      </c>
      <c r="C19" s="23" t="s">
        <v>1845</v>
      </c>
      <c r="D19" s="23" t="s">
        <v>1249</v>
      </c>
    </row>
    <row r="20" spans="1:4" ht="54" customHeight="1" x14ac:dyDescent="0.35">
      <c r="A20" s="22">
        <v>16</v>
      </c>
      <c r="B20" s="23" t="s">
        <v>1251</v>
      </c>
      <c r="C20" s="23" t="s">
        <v>1846</v>
      </c>
      <c r="D20" s="23" t="s">
        <v>1258</v>
      </c>
    </row>
    <row r="21" spans="1:4" ht="54" customHeight="1" x14ac:dyDescent="0.35">
      <c r="A21" s="22">
        <v>17</v>
      </c>
      <c r="B21" s="23" t="s">
        <v>1485</v>
      </c>
      <c r="C21" s="23" t="s">
        <v>1847</v>
      </c>
      <c r="D21" s="23" t="s">
        <v>1492</v>
      </c>
    </row>
    <row r="22" spans="1:4" ht="29" customHeight="1" x14ac:dyDescent="0.35">
      <c r="A22" s="22">
        <v>18</v>
      </c>
      <c r="B22" s="23" t="s">
        <v>1634</v>
      </c>
      <c r="C22" s="23" t="s">
        <v>1848</v>
      </c>
      <c r="D22" s="23" t="s">
        <v>1143</v>
      </c>
    </row>
    <row r="23" spans="1:4" ht="41.5" customHeight="1" x14ac:dyDescent="0.35">
      <c r="A23" s="22">
        <v>19</v>
      </c>
      <c r="B23" s="23" t="s">
        <v>1626</v>
      </c>
      <c r="C23" s="23" t="s">
        <v>1849</v>
      </c>
      <c r="D23" s="23" t="s">
        <v>1633</v>
      </c>
    </row>
    <row r="24" spans="1:4" ht="54" customHeight="1" x14ac:dyDescent="0.35">
      <c r="A24" s="22">
        <v>20</v>
      </c>
      <c r="B24" s="23" t="s">
        <v>1217</v>
      </c>
      <c r="C24" s="23" t="s">
        <v>1850</v>
      </c>
      <c r="D24" s="23" t="s">
        <v>1224</v>
      </c>
    </row>
    <row r="25" spans="1:4" ht="54" customHeight="1" x14ac:dyDescent="0.35">
      <c r="A25" s="22">
        <v>21</v>
      </c>
      <c r="B25" s="23" t="s">
        <v>1199</v>
      </c>
      <c r="C25" s="23" t="s">
        <v>1851</v>
      </c>
      <c r="D25" s="23" t="s">
        <v>1206</v>
      </c>
    </row>
    <row r="26" spans="1:4" ht="54" customHeight="1" x14ac:dyDescent="0.35">
      <c r="A26" s="22">
        <v>22</v>
      </c>
      <c r="B26" s="23" t="s">
        <v>1493</v>
      </c>
      <c r="C26" s="23" t="s">
        <v>1852</v>
      </c>
      <c r="D26" s="23" t="s">
        <v>1500</v>
      </c>
    </row>
    <row r="27" spans="1:4" ht="41.5" customHeight="1" x14ac:dyDescent="0.35">
      <c r="A27" s="22">
        <v>23</v>
      </c>
      <c r="B27" s="23" t="s">
        <v>1339</v>
      </c>
      <c r="C27" s="23" t="s">
        <v>1853</v>
      </c>
      <c r="D27" s="23" t="s">
        <v>1345</v>
      </c>
    </row>
    <row r="28" spans="1:4" ht="41.5" customHeight="1" x14ac:dyDescent="0.35">
      <c r="A28" s="22">
        <v>24</v>
      </c>
      <c r="B28" s="23" t="s">
        <v>1259</v>
      </c>
      <c r="C28" s="23" t="s">
        <v>1854</v>
      </c>
      <c r="D28" s="23" t="s">
        <v>1266</v>
      </c>
    </row>
    <row r="29" spans="1:4" ht="41.5" customHeight="1" x14ac:dyDescent="0.35">
      <c r="A29" s="22">
        <v>25</v>
      </c>
      <c r="B29" s="23" t="s">
        <v>1225</v>
      </c>
      <c r="C29" s="23" t="s">
        <v>1855</v>
      </c>
      <c r="D29" s="23" t="s">
        <v>1232</v>
      </c>
    </row>
    <row r="30" spans="1:4" ht="54" customHeight="1" x14ac:dyDescent="0.35">
      <c r="A30" s="22">
        <v>26</v>
      </c>
      <c r="B30" s="23" t="s">
        <v>1268</v>
      </c>
      <c r="C30" s="23" t="s">
        <v>1856</v>
      </c>
      <c r="D30" s="23" t="s">
        <v>1275</v>
      </c>
    </row>
    <row r="31" spans="1:4" ht="54" customHeight="1" x14ac:dyDescent="0.35">
      <c r="A31" s="22">
        <v>27</v>
      </c>
      <c r="B31" s="23" t="s">
        <v>1353</v>
      </c>
      <c r="C31" s="23" t="s">
        <v>1857</v>
      </c>
      <c r="D31" s="23" t="s">
        <v>1359</v>
      </c>
    </row>
    <row r="32" spans="1:4" ht="54" customHeight="1" x14ac:dyDescent="0.35">
      <c r="A32" s="22">
        <v>28</v>
      </c>
      <c r="B32" s="23" t="s">
        <v>1234</v>
      </c>
      <c r="C32" s="23" t="s">
        <v>1858</v>
      </c>
      <c r="D32" s="23" t="s">
        <v>1241</v>
      </c>
    </row>
    <row r="33" spans="1:4" ht="54" customHeight="1" x14ac:dyDescent="0.35">
      <c r="A33" s="22">
        <v>29</v>
      </c>
      <c r="B33" s="23" t="s">
        <v>1619</v>
      </c>
      <c r="C33" s="23" t="s">
        <v>1859</v>
      </c>
      <c r="D33" s="23" t="s">
        <v>1625</v>
      </c>
    </row>
    <row r="34" spans="1:4" ht="41.5" customHeight="1" x14ac:dyDescent="0.35">
      <c r="A34" s="22">
        <v>30</v>
      </c>
      <c r="B34" s="23" t="s">
        <v>1276</v>
      </c>
      <c r="C34" s="23" t="s">
        <v>1860</v>
      </c>
      <c r="D34" s="23" t="s">
        <v>1283</v>
      </c>
    </row>
    <row r="35" spans="1:4" ht="54" customHeight="1" x14ac:dyDescent="0.35">
      <c r="A35" s="22">
        <v>31</v>
      </c>
      <c r="B35" s="23" t="s">
        <v>1284</v>
      </c>
      <c r="C35" s="23" t="s">
        <v>1861</v>
      </c>
      <c r="D35" s="23" t="s">
        <v>1290</v>
      </c>
    </row>
    <row r="36" spans="1:4" ht="41.5" customHeight="1" x14ac:dyDescent="0.35">
      <c r="A36" s="22">
        <v>32</v>
      </c>
      <c r="B36" s="23" t="s">
        <v>1360</v>
      </c>
      <c r="C36" s="23" t="s">
        <v>1862</v>
      </c>
      <c r="D36" s="23" t="s">
        <v>1367</v>
      </c>
    </row>
    <row r="37" spans="1:4" ht="29" customHeight="1" x14ac:dyDescent="0.35">
      <c r="A37" s="22">
        <v>33</v>
      </c>
      <c r="B37" s="23" t="s">
        <v>1665</v>
      </c>
      <c r="C37" s="23" t="s">
        <v>1863</v>
      </c>
      <c r="D37" s="23" t="s">
        <v>1171</v>
      </c>
    </row>
    <row r="38" spans="1:4" ht="54" customHeight="1" x14ac:dyDescent="0.35">
      <c r="A38" s="22">
        <v>34</v>
      </c>
      <c r="B38" s="23" t="s">
        <v>1369</v>
      </c>
      <c r="C38" s="23" t="s">
        <v>1864</v>
      </c>
      <c r="D38" s="23" t="s">
        <v>1376</v>
      </c>
    </row>
    <row r="39" spans="1:4" ht="41.5" customHeight="1" x14ac:dyDescent="0.35">
      <c r="A39" s="22">
        <v>35</v>
      </c>
      <c r="B39" s="23" t="s">
        <v>1501</v>
      </c>
      <c r="C39" s="23" t="s">
        <v>1865</v>
      </c>
      <c r="D39" s="23" t="s">
        <v>1507</v>
      </c>
    </row>
    <row r="40" spans="1:4" ht="54" customHeight="1" x14ac:dyDescent="0.35">
      <c r="A40" s="22">
        <v>36</v>
      </c>
      <c r="B40" s="23" t="s">
        <v>1315</v>
      </c>
      <c r="C40" s="23" t="s">
        <v>1866</v>
      </c>
      <c r="D40" s="23" t="s">
        <v>1322</v>
      </c>
    </row>
    <row r="41" spans="1:4" ht="41.5" customHeight="1" x14ac:dyDescent="0.35">
      <c r="A41" s="22">
        <v>37</v>
      </c>
      <c r="B41" s="23" t="s">
        <v>1451</v>
      </c>
      <c r="C41" s="23" t="s">
        <v>1867</v>
      </c>
      <c r="D41" s="23" t="s">
        <v>1458</v>
      </c>
    </row>
    <row r="42" spans="1:4" ht="54" customHeight="1" x14ac:dyDescent="0.35">
      <c r="A42" s="22">
        <v>38</v>
      </c>
      <c r="B42" s="23" t="s">
        <v>1377</v>
      </c>
      <c r="C42" s="23" t="s">
        <v>1868</v>
      </c>
      <c r="D42" s="23" t="s">
        <v>1383</v>
      </c>
    </row>
    <row r="43" spans="1:4" ht="41.5" customHeight="1" x14ac:dyDescent="0.35">
      <c r="A43" s="22">
        <v>39</v>
      </c>
      <c r="B43" s="23" t="s">
        <v>1346</v>
      </c>
      <c r="C43" s="23" t="s">
        <v>1869</v>
      </c>
      <c r="D43" s="23" t="s">
        <v>1352</v>
      </c>
    </row>
    <row r="44" spans="1:4" ht="54" customHeight="1" x14ac:dyDescent="0.35">
      <c r="A44" s="22">
        <v>40</v>
      </c>
      <c r="B44" s="23" t="s">
        <v>1604</v>
      </c>
      <c r="C44" s="23" t="s">
        <v>1870</v>
      </c>
      <c r="D44" s="23" t="s">
        <v>1611</v>
      </c>
    </row>
    <row r="45" spans="1:4" ht="41.5" customHeight="1" x14ac:dyDescent="0.35">
      <c r="A45" s="22">
        <v>41</v>
      </c>
      <c r="B45" s="23" t="s">
        <v>1416</v>
      </c>
      <c r="C45" s="23" t="s">
        <v>1871</v>
      </c>
      <c r="D45" s="23" t="s">
        <v>1423</v>
      </c>
    </row>
    <row r="46" spans="1:4" ht="41.5" customHeight="1" x14ac:dyDescent="0.35">
      <c r="A46" s="22">
        <v>42</v>
      </c>
      <c r="B46" s="23" t="s">
        <v>1459</v>
      </c>
      <c r="C46" s="23" t="s">
        <v>1872</v>
      </c>
      <c r="D46" s="23" t="s">
        <v>1464</v>
      </c>
    </row>
    <row r="47" spans="1:4" ht="41.5" customHeight="1" x14ac:dyDescent="0.35">
      <c r="A47" s="22">
        <v>43</v>
      </c>
      <c r="B47" s="23" t="s">
        <v>1392</v>
      </c>
      <c r="C47" s="23" t="s">
        <v>1873</v>
      </c>
      <c r="D47" s="23" t="s">
        <v>1399</v>
      </c>
    </row>
    <row r="48" spans="1:4" ht="41.5" customHeight="1" x14ac:dyDescent="0.35">
      <c r="A48" s="22">
        <v>44</v>
      </c>
      <c r="B48" s="23" t="s">
        <v>1323</v>
      </c>
      <c r="C48" s="23" t="s">
        <v>1874</v>
      </c>
      <c r="D48" s="23" t="s">
        <v>1330</v>
      </c>
    </row>
    <row r="49" spans="1:4" ht="54" customHeight="1" x14ac:dyDescent="0.35">
      <c r="A49" s="22">
        <v>45</v>
      </c>
      <c r="B49" s="23" t="s">
        <v>1384</v>
      </c>
      <c r="C49" s="23" t="s">
        <v>1875</v>
      </c>
      <c r="D49" s="23" t="s">
        <v>1391</v>
      </c>
    </row>
    <row r="50" spans="1:4" ht="41.5" customHeight="1" x14ac:dyDescent="0.35">
      <c r="A50" s="22">
        <v>46</v>
      </c>
      <c r="B50" s="23" t="s">
        <v>1401</v>
      </c>
      <c r="C50" s="23" t="s">
        <v>1876</v>
      </c>
      <c r="D50" s="23" t="s">
        <v>1408</v>
      </c>
    </row>
    <row r="51" spans="1:4" ht="41.5" customHeight="1" x14ac:dyDescent="0.35">
      <c r="A51" s="22">
        <v>47</v>
      </c>
      <c r="B51" s="23" t="s">
        <v>1528</v>
      </c>
      <c r="C51" s="23" t="s">
        <v>1877</v>
      </c>
      <c r="D51" s="23" t="s">
        <v>1534</v>
      </c>
    </row>
    <row r="52" spans="1:4" ht="41.5" customHeight="1" x14ac:dyDescent="0.35">
      <c r="A52" s="22">
        <v>48</v>
      </c>
      <c r="B52" s="23" t="s">
        <v>1680</v>
      </c>
      <c r="C52" s="23" t="s">
        <v>1878</v>
      </c>
      <c r="D52" s="23" t="s">
        <v>1686</v>
      </c>
    </row>
    <row r="53" spans="1:4" ht="41.5" customHeight="1" x14ac:dyDescent="0.35">
      <c r="A53" s="22">
        <v>49</v>
      </c>
      <c r="B53" s="23" t="s">
        <v>1465</v>
      </c>
      <c r="C53" s="23" t="s">
        <v>1879</v>
      </c>
      <c r="D53" s="23" t="s">
        <v>1470</v>
      </c>
    </row>
    <row r="54" spans="1:4" ht="54" customHeight="1" x14ac:dyDescent="0.35">
      <c r="A54" s="22">
        <v>50</v>
      </c>
      <c r="B54" s="23" t="s">
        <v>1471</v>
      </c>
      <c r="C54" s="23" t="s">
        <v>1880</v>
      </c>
      <c r="D54" s="23" t="s">
        <v>1478</v>
      </c>
    </row>
    <row r="55" spans="1:4" ht="41.5" customHeight="1" x14ac:dyDescent="0.35">
      <c r="A55" s="22">
        <v>51</v>
      </c>
      <c r="B55" s="23" t="s">
        <v>1536</v>
      </c>
      <c r="C55" s="23" t="s">
        <v>1881</v>
      </c>
      <c r="D55" s="23" t="s">
        <v>1543</v>
      </c>
    </row>
    <row r="56" spans="1:4" ht="41.5" customHeight="1" x14ac:dyDescent="0.35">
      <c r="A56" s="22">
        <v>52</v>
      </c>
      <c r="B56" s="23" t="s">
        <v>1567</v>
      </c>
      <c r="C56" s="23" t="s">
        <v>1882</v>
      </c>
      <c r="D56" s="23" t="s">
        <v>1573</v>
      </c>
    </row>
    <row r="57" spans="1:4" ht="54" customHeight="1" x14ac:dyDescent="0.35">
      <c r="A57" s="22">
        <v>53</v>
      </c>
      <c r="B57" s="23" t="s">
        <v>1291</v>
      </c>
      <c r="C57" s="23" t="s">
        <v>1883</v>
      </c>
      <c r="D57" s="23" t="s">
        <v>1298</v>
      </c>
    </row>
    <row r="58" spans="1:4" ht="41.5" customHeight="1" x14ac:dyDescent="0.35">
      <c r="A58" s="22">
        <v>54</v>
      </c>
      <c r="B58" s="23" t="s">
        <v>1479</v>
      </c>
      <c r="C58" s="23" t="s">
        <v>1884</v>
      </c>
      <c r="D58" s="23" t="s">
        <v>1484</v>
      </c>
    </row>
    <row r="59" spans="1:4" ht="54" customHeight="1" x14ac:dyDescent="0.35">
      <c r="A59" s="22">
        <v>55</v>
      </c>
      <c r="B59" s="23" t="s">
        <v>1424</v>
      </c>
      <c r="C59" s="23" t="s">
        <v>1885</v>
      </c>
      <c r="D59" s="23" t="s">
        <v>1430</v>
      </c>
    </row>
    <row r="60" spans="1:4" ht="41.5" customHeight="1" x14ac:dyDescent="0.35">
      <c r="A60" s="22">
        <v>56</v>
      </c>
      <c r="B60" s="23" t="s">
        <v>1575</v>
      </c>
      <c r="C60" s="23" t="s">
        <v>1886</v>
      </c>
      <c r="D60" s="23" t="s">
        <v>1582</v>
      </c>
    </row>
    <row r="61" spans="1:4" ht="41.5" customHeight="1" x14ac:dyDescent="0.35">
      <c r="A61" s="22">
        <v>57</v>
      </c>
      <c r="B61" s="23" t="s">
        <v>1299</v>
      </c>
      <c r="C61" s="23" t="s">
        <v>1887</v>
      </c>
      <c r="D61" s="23" t="s">
        <v>1305</v>
      </c>
    </row>
    <row r="62" spans="1:4" ht="29" customHeight="1" x14ac:dyDescent="0.35">
      <c r="A62" s="22">
        <v>58</v>
      </c>
      <c r="B62" s="23" t="s">
        <v>1306</v>
      </c>
      <c r="C62" s="23" t="s">
        <v>1888</v>
      </c>
      <c r="D62" s="23" t="s">
        <v>1313</v>
      </c>
    </row>
    <row r="63" spans="1:4" ht="41.5" customHeight="1" x14ac:dyDescent="0.35">
      <c r="A63" s="22">
        <v>59</v>
      </c>
      <c r="B63" s="23" t="s">
        <v>1544</v>
      </c>
      <c r="C63" s="23" t="s">
        <v>1889</v>
      </c>
      <c r="D63" s="23" t="s">
        <v>1550</v>
      </c>
    </row>
    <row r="64" spans="1:4" ht="41.5" customHeight="1" x14ac:dyDescent="0.35">
      <c r="A64" s="22">
        <v>60</v>
      </c>
      <c r="B64" s="23" t="s">
        <v>1431</v>
      </c>
      <c r="C64" s="23" t="s">
        <v>1890</v>
      </c>
      <c r="D64" s="23" t="s">
        <v>1436</v>
      </c>
    </row>
    <row r="65" spans="1:4" ht="54" customHeight="1" x14ac:dyDescent="0.35">
      <c r="A65" s="22">
        <v>61</v>
      </c>
      <c r="B65" s="23" t="s">
        <v>1612</v>
      </c>
      <c r="C65" s="23" t="s">
        <v>1891</v>
      </c>
      <c r="D65" s="23" t="s">
        <v>1618</v>
      </c>
    </row>
    <row r="66" spans="1:4" ht="54" customHeight="1" x14ac:dyDescent="0.35">
      <c r="A66" s="22">
        <v>62</v>
      </c>
      <c r="B66" s="23" t="s">
        <v>1508</v>
      </c>
      <c r="C66" s="23" t="s">
        <v>1892</v>
      </c>
      <c r="D66" s="23" t="s">
        <v>1514</v>
      </c>
    </row>
    <row r="67" spans="1:4" ht="41.5" customHeight="1" x14ac:dyDescent="0.35">
      <c r="A67" s="22">
        <v>63</v>
      </c>
      <c r="B67" s="23" t="s">
        <v>1515</v>
      </c>
      <c r="C67" s="23" t="s">
        <v>1893</v>
      </c>
      <c r="D67" s="23" t="s">
        <v>1520</v>
      </c>
    </row>
    <row r="68" spans="1:4" ht="54" customHeight="1" x14ac:dyDescent="0.35">
      <c r="A68" s="22">
        <v>64</v>
      </c>
      <c r="B68" s="23" t="s">
        <v>1590</v>
      </c>
      <c r="C68" s="23" t="s">
        <v>1894</v>
      </c>
      <c r="D68" s="23" t="s">
        <v>1596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 How to use</vt:lpstr>
      <vt:lpstr>01 Search log</vt:lpstr>
      <vt:lpstr>02 Screening log</vt:lpstr>
      <vt:lpstr>03 Extraction matrix</vt:lpstr>
      <vt:lpstr>04 PRISMA counts</vt:lpstr>
      <vt:lpstr>05 Gaps register</vt:lpstr>
      <vt:lpstr>06 Technology comparison</vt:lpstr>
      <vt:lpstr>07 Reference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 T</cp:lastModifiedBy>
  <dcterms:created xsi:type="dcterms:W3CDTF">2026-10-26T04:03:48Z</dcterms:created>
  <dcterms:modified xsi:type="dcterms:W3CDTF">2026-10-26T04:04:21Z</dcterms:modified>
</cp:coreProperties>
</file>