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mohsh\AppData\Local\Temp\claude\C--Users-mohsh-Documents-Faithgurd\3138b89d-a9e8-4af8-b6b1-502fd4023457\scratchpad\docs-papers\out\"/>
    </mc:Choice>
  </mc:AlternateContent>
  <xr:revisionPtr revIDLastSave="0" documentId="13_ncr:1_{45B3369F-C7E1-47F1-BA93-12FE15313165}" xr6:coauthVersionLast="47" xr6:coauthVersionMax="47" xr10:uidLastSave="{00000000-0000-0000-0000-000000000000}"/>
  <bookViews>
    <workbookView xWindow="-110" yWindow="-110" windowWidth="25820" windowHeight="15500" xr2:uid="{00000000-000D-0000-FFFF-FFFF00000000}"/>
  </bookViews>
  <sheets>
    <sheet name="00 How to use" sheetId="1" r:id="rId1"/>
    <sheet name="01 Search log" sheetId="2" r:id="rId2"/>
    <sheet name="02 Screening log" sheetId="3" r:id="rId3"/>
    <sheet name="03 Extraction matrix" sheetId="4" r:id="rId4"/>
    <sheet name="04 PRISMA counts" sheetId="5" r:id="rId5"/>
    <sheet name="05 Gaps register" sheetId="6" r:id="rId6"/>
    <sheet name="06 Technology comparison" sheetId="7" r:id="rId7"/>
    <sheet name="07 Reference list" sheetId="8" r:id="rId8"/>
  </sheets>
  <definedNames>
    <definedName name="_xlnm._FilterDatabase" localSheetId="2" hidden="1">'02 Screening log'!$A$4:$O$231</definedName>
    <definedName name="_xlnm._FilterDatabase" localSheetId="3" hidden="1">'03 Extraction matrix'!$A$4:$O$63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3" i="5" l="1"/>
  <c r="C42" i="5"/>
  <c r="C41" i="5"/>
  <c r="C40" i="5"/>
  <c r="C39" i="5"/>
  <c r="C38" i="5"/>
  <c r="C37" i="5"/>
  <c r="C31" i="5"/>
  <c r="C30" i="5"/>
  <c r="C29" i="5"/>
  <c r="C28" i="5"/>
  <c r="C27" i="5"/>
  <c r="C32" i="5" s="1"/>
  <c r="C19" i="5"/>
  <c r="C18" i="5"/>
  <c r="C20" i="5" s="1"/>
  <c r="C15" i="5"/>
  <c r="C13" i="5"/>
  <c r="C12" i="5"/>
  <c r="C11" i="5"/>
  <c r="C9" i="5"/>
  <c r="C7" i="5"/>
  <c r="C8" i="5" s="1"/>
  <c r="K231" i="3"/>
  <c r="K230" i="3"/>
  <c r="K229" i="3"/>
  <c r="K228" i="3"/>
  <c r="K227" i="3"/>
  <c r="K226" i="3"/>
  <c r="K225" i="3"/>
  <c r="K224" i="3"/>
  <c r="K223" i="3"/>
  <c r="K222" i="3"/>
  <c r="K221" i="3"/>
  <c r="K220" i="3"/>
  <c r="K219" i="3"/>
  <c r="K218" i="3"/>
  <c r="K217" i="3"/>
  <c r="K216" i="3"/>
  <c r="K215" i="3"/>
  <c r="K214" i="3"/>
  <c r="K213" i="3"/>
  <c r="K212" i="3"/>
  <c r="K211" i="3"/>
  <c r="K210" i="3"/>
  <c r="K209" i="3"/>
  <c r="K208" i="3"/>
  <c r="K207" i="3"/>
  <c r="K206" i="3"/>
  <c r="K205" i="3"/>
  <c r="K204" i="3"/>
  <c r="K203" i="3"/>
  <c r="K202" i="3"/>
  <c r="K201" i="3"/>
  <c r="K200" i="3"/>
  <c r="K199" i="3"/>
  <c r="K198" i="3"/>
  <c r="K197" i="3"/>
  <c r="K196" i="3"/>
  <c r="K195" i="3"/>
  <c r="K194" i="3"/>
  <c r="K193" i="3"/>
  <c r="K192" i="3"/>
  <c r="K191" i="3"/>
  <c r="K190" i="3"/>
  <c r="K189" i="3"/>
  <c r="K188" i="3"/>
  <c r="K187" i="3"/>
  <c r="K186" i="3"/>
  <c r="K185" i="3"/>
  <c r="K184" i="3"/>
  <c r="K183" i="3"/>
  <c r="K182" i="3"/>
  <c r="K181" i="3"/>
  <c r="K180" i="3"/>
  <c r="K179" i="3"/>
  <c r="K178" i="3"/>
  <c r="K177" i="3"/>
  <c r="K176" i="3"/>
  <c r="K175" i="3"/>
  <c r="K174" i="3"/>
  <c r="K173" i="3"/>
  <c r="K172" i="3"/>
  <c r="K171" i="3"/>
  <c r="K170" i="3"/>
  <c r="K169" i="3"/>
  <c r="K168" i="3"/>
  <c r="K167" i="3"/>
  <c r="K166" i="3"/>
  <c r="K165" i="3"/>
  <c r="K164" i="3"/>
  <c r="K163" i="3"/>
  <c r="K162" i="3"/>
  <c r="K161" i="3"/>
  <c r="K160" i="3"/>
  <c r="K159" i="3"/>
  <c r="K158" i="3"/>
  <c r="K157" i="3"/>
  <c r="K156" i="3"/>
  <c r="K155" i="3"/>
  <c r="K154" i="3"/>
  <c r="K153" i="3"/>
  <c r="K152" i="3"/>
  <c r="K151" i="3"/>
  <c r="K150" i="3"/>
  <c r="K149" i="3"/>
  <c r="K148" i="3"/>
  <c r="K147" i="3"/>
  <c r="K146" i="3"/>
  <c r="K145" i="3"/>
  <c r="K144" i="3"/>
  <c r="K143" i="3"/>
  <c r="K142" i="3"/>
  <c r="K141" i="3"/>
  <c r="K140" i="3"/>
  <c r="K139" i="3"/>
  <c r="K138" i="3"/>
  <c r="K137" i="3"/>
  <c r="K136" i="3"/>
  <c r="K135" i="3"/>
  <c r="K134" i="3"/>
  <c r="K133" i="3"/>
  <c r="K132" i="3"/>
  <c r="K131" i="3"/>
  <c r="K130" i="3"/>
  <c r="K129" i="3"/>
  <c r="K128" i="3"/>
  <c r="K127" i="3"/>
  <c r="K126" i="3"/>
  <c r="K125" i="3"/>
  <c r="K124" i="3"/>
  <c r="K123" i="3"/>
  <c r="K122" i="3"/>
  <c r="K121" i="3"/>
  <c r="K120" i="3"/>
  <c r="K119" i="3"/>
  <c r="K118" i="3"/>
  <c r="K117" i="3"/>
  <c r="K116" i="3"/>
  <c r="K115" i="3"/>
  <c r="K114" i="3"/>
  <c r="K113" i="3"/>
  <c r="K112" i="3"/>
  <c r="K111" i="3"/>
  <c r="K110" i="3"/>
  <c r="K109" i="3"/>
  <c r="K108" i="3"/>
  <c r="K107" i="3"/>
  <c r="K106" i="3"/>
  <c r="K105" i="3"/>
  <c r="K104" i="3"/>
  <c r="K103" i="3"/>
  <c r="K102" i="3"/>
  <c r="K101" i="3"/>
  <c r="K100" i="3"/>
  <c r="K99" i="3"/>
  <c r="K98" i="3"/>
  <c r="K97" i="3"/>
  <c r="K96" i="3"/>
  <c r="K95" i="3"/>
  <c r="K94" i="3"/>
  <c r="K93" i="3"/>
  <c r="K92" i="3"/>
  <c r="K91" i="3"/>
  <c r="K90" i="3"/>
  <c r="K89" i="3"/>
  <c r="K88" i="3"/>
  <c r="K87" i="3"/>
  <c r="K86" i="3"/>
  <c r="K85" i="3"/>
  <c r="K84" i="3"/>
  <c r="K83" i="3"/>
  <c r="K82" i="3"/>
  <c r="K81" i="3"/>
  <c r="K80" i="3"/>
  <c r="K79" i="3"/>
  <c r="K78" i="3"/>
  <c r="K77" i="3"/>
  <c r="K76" i="3"/>
  <c r="K75" i="3"/>
  <c r="K74" i="3"/>
  <c r="K73" i="3"/>
  <c r="K72" i="3"/>
  <c r="K71" i="3"/>
  <c r="K70" i="3"/>
  <c r="K69" i="3"/>
  <c r="K68" i="3"/>
  <c r="K67" i="3"/>
  <c r="K66" i="3"/>
  <c r="K65" i="3"/>
  <c r="K64" i="3"/>
  <c r="K63" i="3"/>
  <c r="K62" i="3"/>
  <c r="K61" i="3"/>
  <c r="K60" i="3"/>
  <c r="K59" i="3"/>
  <c r="K58" i="3"/>
  <c r="K57" i="3"/>
  <c r="K56" i="3"/>
  <c r="K55"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F28" i="2"/>
  <c r="E28" i="2"/>
  <c r="C10" i="5" l="1"/>
  <c r="C22" i="5"/>
  <c r="B20" i="1"/>
  <c r="C14" i="5"/>
  <c r="C16" i="5" s="1"/>
  <c r="C21" i="5" s="1"/>
</calcChain>
</file>

<file path=xl/sharedStrings.xml><?xml version="1.0" encoding="utf-8"?>
<sst xmlns="http://schemas.openxmlformats.org/spreadsheetml/2006/main" count="3178" uniqueCount="1914">
  <si>
    <t>FaithGuard Literature Review Workbook - Member: Decision policy</t>
  </si>
  <si>
    <t>Member: Sharaf  |  Component: Decision policy: LightGBM outcome models P(unsafe) and P(fix), answer/repair/abstain choice certified with Learn-then-Test</t>
  </si>
  <si>
    <t>Review question: How should a system decide to answer, repair or abstain with a statistical guarantee on its error rate, and how should that guarantee be kept under distribution shift and cost limits?</t>
  </si>
  <si>
    <t>Note added 30 Oct 2026: this workbook was made with Claude (Anthropic) at the team's direction, and some cells were corrected; see 'Provenance and corrections' at the end of this sheet.</t>
  </si>
  <si>
    <t>Sheet</t>
  </si>
  <si>
    <t>What it is for</t>
  </si>
  <si>
    <t>Feeds</t>
  </si>
  <si>
    <t>01 Search log</t>
  </si>
  <si>
    <t>Every search exactly as run, with date, total hits and records exported; citation-chasing lookups listed separately</t>
  </si>
  <si>
    <t>04 PRISMA counts</t>
  </si>
  <si>
    <t>02 Screening log</t>
  </si>
  <si>
    <t>One row per record with title (P1), abstract (P2) and full-text (P3) decisions, exclusion reason and notes</t>
  </si>
  <si>
    <t>03, 04</t>
  </si>
  <si>
    <t>03 Extraction matrix</t>
  </si>
  <si>
    <t>Included studies: focus, setting, method, key results, authors' stated limitations, subtopic, free full-text route</t>
  </si>
  <si>
    <t>05, 06, 07</t>
  </si>
  <si>
    <t>PRISMA flow counts and exclusion reasons, all calculated by formula</t>
  </si>
  <si>
    <t>Report / slides</t>
  </si>
  <si>
    <t>05 Gaps register</t>
  </si>
  <si>
    <t>Gaps stated by authors and how FaithGuard addresses each (or not)</t>
  </si>
  <si>
    <t>Problem statement, novelty</t>
  </si>
  <si>
    <t>06 Technology comparison</t>
  </si>
  <si>
    <t>Alternatives, criteria and FaithGuard's provisional decision for each design choice</t>
  </si>
  <si>
    <t>Methodology chapter</t>
  </si>
  <si>
    <t>07 Reference list</t>
  </si>
  <si>
    <t>Full APA 7 references for every included study</t>
  </si>
  <si>
    <t>Report bibliography</t>
  </si>
  <si>
    <t>Colour key</t>
  </si>
  <si>
    <t>Pale yellow cells: You type here</t>
  </si>
  <si>
    <t>White cells with formulas: Calculated - do not overwrite</t>
  </si>
  <si>
    <t>Green INCLUDED cell: the record passed all three screening passes</t>
  </si>
  <si>
    <t>Golden rule</t>
  </si>
  <si>
    <t>Every included study has a verified peer-reviewed venue and a legal free full-text route (publisher open access, open proceedings, or the authors' own arXiv version), and every number in sheet 03 comes from the paper itself.</t>
  </si>
  <si>
    <t>Eligibility criteria</t>
  </si>
  <si>
    <t>Include (all must hold)</t>
  </si>
  <si>
    <t>I1. Peer-reviewed archival publication: journal article, or paper in conference or workshop proceedings.</t>
  </si>
  <si>
    <t>I2. Published from 1 January 2017 onwards (search filter).</t>
  </si>
  <si>
    <t>I3. Written in English.</t>
  </si>
  <si>
    <t>I4. A legal free full text exists: publisher open access, open proceedings (ACL Anthology, PMLR, NeurIPS, AAAI) or the authors' own version (arXiv).</t>
  </si>
  <si>
    <t>I5. Primary study, benchmark, method or survey that meets the member's scope below.</t>
  </si>
  <si>
    <t>Scope (in): Selective prediction, abstention and reject options; learning to defer; cascades and routing between models; conformal prediction and risk control, including under distribution shift and in online settings; uncertainty and calibration of LLMs; tabular outcome models (gradient boosting, tabular foundation models).</t>
  </si>
  <si>
    <t>Scope (out, applied at P1 and P2): Domain-specific applications (medicine, chemistry and others) without a general method; vision-specific datasets (vision methods for selective prediction are kept); explanations of reject decisions; unrelated uses of 'conformal', 'selectivity' or 'routing'.</t>
  </si>
  <si>
    <t>Full-text exclusion reasons (P3)</t>
  </si>
  <si>
    <t>E1. Not peer-reviewed: preprints and technical reports with no archival version found, non-archival workshop papers, and journals whose peer review cannot be verified (open-access journals not listed in DOAJ).</t>
  </si>
  <si>
    <t>E2. Outside date range: published before 2017.</t>
  </si>
  <si>
    <t>E3. Outside scope: fails the member's scope at full-text stage.</t>
  </si>
  <si>
    <t>E4. Free full text unavailable: subscription-only and no author version found (arXiv searched by title).</t>
  </si>
  <si>
    <t>E5. Duplicate/secondary version: another version (e.g. arXiv copy) of a paper already in the log.</t>
  </si>
  <si>
    <t>Subtopics</t>
  </si>
  <si>
    <t>A  Selective prediction and abstention</t>
  </si>
  <si>
    <t>B  Distribution-free risk control and conformal prediction</t>
  </si>
  <si>
    <t>C  Conformal methods for language models and agents</t>
  </si>
  <si>
    <t>D  Uncertainty and calibration for LLMs</t>
  </si>
  <si>
    <t>E  Deferral, cascades and routing</t>
  </si>
  <si>
    <t>F  Distribution shift and online recalibration</t>
  </si>
  <si>
    <t>G  Tabular outcome models</t>
  </si>
  <si>
    <t>Method notes</t>
  </si>
  <si>
    <t>- Bounded review: each search exported the 25 most-cited records (OpenAlex order), and every exported record was screened.</t>
  </si>
  <si>
    <t>- Planned indexes were DBLP and Semantic Scholar; their APIs refused automated queries (bot check; HTTP 429), so OpenAlex was used for every search. OpenAlex indexes ACL Anthology, arXiv, ACM, IEEE, Springer and other publishers.</t>
  </si>
  <si>
    <t>- When a record was an arXiv copy, the peer-reviewed version was located (title lookups in sheet 01) and assessed; the venue was checked on the proceedings or publisher page, or with Crossref.</t>
  </si>
  <si>
    <t>- Citation chasing: backward (an included study cites the paper) or forward (the paper cites an included study); each link is given in sheet 02.</t>
  </si>
  <si>
    <t>- Peer-review check for open-access journals: listing in DOAJ.</t>
  </si>
  <si>
    <t>- Screening by one reviewer; a second reader should re-check a sample of P1 and P2 decisions (record who in column M).</t>
  </si>
  <si>
    <t>Provenance and corrections (added 30 Oct 2026)</t>
  </si>
  <si>
    <t>- Who made it. Claude (Anthropic) ran the OpenAlex searches in sheet 01 as automated API queries on 25 Oct 2026, screened the records in sheet 02, filled sheets 03 to 07 and wrote this workbook with a script, at the team's direction (commit bf55341, 26 Oct 2026, which carries a Co-Authored-By: Claude line). The member named in row 3 is the paper's lead author. No second reader of the screening is recorded (see the last method note above).</t>
  </si>
  <si>
    <t>- Shared lookups. The citation-chasing lookup CC-01 is the same row in all three workbooks (detection, repair, policy), and CC-02 in the detection and repair workbooks: one set of lookups served all three.</t>
  </si>
  <si>
    <t>- Corrected cells. On 30 Oct 2026 these cells were corrected because the project's record (docs/decision-log.md and the papers) does not support them; the old text is kept here. sheet '05 Gaps register', cell E7, said: "Certification uses an issuer-disjoint calibration split; a transfer study recertifies the policy with 25-200 new labels after the repairer changes."; sheet '05 Gaps register', cell E16, said: "Policy data are small, so a TabICL-family model is run as the challenger to LightGBM."; sheet '06 Technology comparison', cell D7, said: "Small tabular replay data. Decision: LightGBM for both models; a TabICL-family tabular foundation model as the one challenger."; sheet '06 Technology comparison', cell D9, said: "Shift between issuers and repairer versions is expected. Decision: issuer-disjoint splits; a transfer study recertifies with 25-200 new labels when the repairer changes; online methods are future work."</t>
  </si>
  <si>
    <t>- Other cells. Every other cell in sheets 05 and 06 is left as written on 26 Oct 2026 and records the design as planned then; where it differs from the decision log, the log holds. For example, gap 14 (row 18): in the evaluated system the policy reads the rule checker's risk, not the fused, calibrated detector risk (policy paper, section 3). Since 26 Oct the benchmark's labels, the second reading of its questions and every check were made by blind Claude passes, not people (D-103).</t>
  </si>
  <si>
    <t>01 - Search log: Decision policy</t>
  </si>
  <si>
    <t>Every search below was run as written on the date shown. Database searches used the OpenAlex works API (filter title_and_abstract.search, publication date from 2017-01-01, sorted by citation count, first 25 records exported). DBLP's API answered with a bot check and the Semantic Scholar API with HTTP 429 (rate limit), so OpenAlex, which indexes ACL Anthology, arXiv, ACM, IEEE, Springer and other publishers, was used for all searches.</t>
  </si>
  <si>
    <t>#</t>
  </si>
  <si>
    <t>Database</t>
  </si>
  <si>
    <t>Search string (exactly as run)</t>
  </si>
  <si>
    <t>Date run</t>
  </si>
  <si>
    <t>Results (total hits)</t>
  </si>
  <si>
    <t>Records exported for screening</t>
  </si>
  <si>
    <t>Notes / filters applied</t>
  </si>
  <si>
    <t>M3-01</t>
  </si>
  <si>
    <t>OpenAlex (works API)</t>
  </si>
  <si>
    <t>"selective prediction" OR "selective classification"</t>
  </si>
  <si>
    <t>2026-10-25</t>
  </si>
  <si>
    <t>title_and_abstract.search; from_publication_date:2017-01-01; sort cited_by_count desc; per-page 25</t>
  </si>
  <si>
    <t>M3-02</t>
  </si>
  <si>
    <t>abstention AND ("large language models" OR "question answering")</t>
  </si>
  <si>
    <t>M3-03</t>
  </si>
  <si>
    <t>conformal AND ("language models" OR "large language models")</t>
  </si>
  <si>
    <t>M3-04</t>
  </si>
  <si>
    <t>"learning to defer" OR "learning to reject"</t>
  </si>
  <si>
    <t>M3-05</t>
  </si>
  <si>
    <t>conformal AND ("covariate shift" OR "distribution shift")</t>
  </si>
  <si>
    <t>M3-06</t>
  </si>
  <si>
    <t>uncertainty AND "large language models" AND (calibration OR "semantic entropy")</t>
  </si>
  <si>
    <t>M3-07</t>
  </si>
  <si>
    <t>(tabular AND ("foundation model" OR "in-context learning" OR "prior-data fitted")) OR "gradient boosting decision tree"</t>
  </si>
  <si>
    <t>M3-08</t>
  </si>
  <si>
    <t>("model cascade" OR "LLM cascade" OR cascades OR routing) AND "large language models" AND cost</t>
  </si>
  <si>
    <t>TOTAL RECORDS IDENTIFIED</t>
  </si>
  <si>
    <t>Citation-chasing lookups (other methods; not counted as database identification)</t>
  </si>
  <si>
    <t>Records returned</t>
  </si>
  <si>
    <t>Purpose</t>
  </si>
  <si>
    <t>CD-02</t>
  </si>
  <si>
    <t>"Selection by Prediction with Conformal p-values" OR "Conformal Alignment" OR "Conformal Language Modeling" OR "Calibrated Language Models Must Hallucinate" OR "Doubly Robust Policy Evaluation" OR "Probability Inequalities for Sums of Bounded Random Variables" OR TabICL OR SelectiveNet OR "Semantic Uncertainty" OR "Conformal Prediction Under Covariate Shift"</t>
  </si>
  <si>
    <t>title.search; sort cited_by_count desc; per-page 50. Exact-title lookup; also retrieved background references (Hoeffding 1963, Dudik et al. 2014) used only in sheet 06</t>
  </si>
  <si>
    <t>CD-03</t>
  </si>
  <si>
    <t>"Adaptive Conformal Inference" OR "Predict Responsibly" OR "Consistent Estimators for Learning to Defer" OR "Deep Gamblers" OR FrugalGPT OR RouteLLM OR "Hybrid LLM" OR "Robots That Ask For Help" OR "Revisiting Deep Learning Models for Tabular Data" OR "Conformal Risk Control"</t>
  </si>
  <si>
    <t>title.search; sort cited_by_count desc; per-page 50. Exact-title lookup to locate published versions of database records (NeurIPS, ICML, ICLR, CoRL)</t>
  </si>
  <si>
    <t>CC-01</t>
  </si>
  <si>
    <t>SelfCheckGPT OR FActScore OR HaluEval OR MiniCheck OR SummaC OR FinQA OR FinDVer OR "Learn then Test" OR "On Calibration of Modern Neural Networks" OR "Conformal Factuality Guarantees"</t>
  </si>
  <si>
    <t>title.search; sort cited_by_count desc; per-page 50. Exact-title lookup to locate citation-chased papers and published versions</t>
  </si>
  <si>
    <t>02 - Screening log: Decision policy</t>
  </si>
  <si>
    <t>One row per unique record. P1 = title pass, P2 = abstract pass (title and venue when no abstract was indexed), P3 = full-text pass. Type KEEP or DROP; the INCLUDED column is a formula. Database records are numbered in search order; citation-chased records follow.</t>
  </si>
  <si>
    <t>Title</t>
  </si>
  <si>
    <t>First author</t>
  </si>
  <si>
    <t>Year</t>
  </si>
  <si>
    <t>Venue</t>
  </si>
  <si>
    <t>Database / index searched</t>
  </si>
  <si>
    <t>P1 Title</t>
  </si>
  <si>
    <t>P2 Abstract</t>
  </si>
  <si>
    <t>P3 Full text</t>
  </si>
  <si>
    <t>Exclusion reason (P3)</t>
  </si>
  <si>
    <t>INCLUDED</t>
  </si>
  <si>
    <t>Route</t>
  </si>
  <si>
    <t>Screening note</t>
  </si>
  <si>
    <t>OpenAlex ID</t>
  </si>
  <si>
    <t>DOI / link</t>
  </si>
  <si>
    <t>Radical Polarity</t>
  </si>
  <si>
    <t>Jacob J. A. Garwood</t>
  </si>
  <si>
    <t>Journal of the American Chemical Society</t>
  </si>
  <si>
    <t>OpenAlex: M3-01</t>
  </si>
  <si>
    <t>DROP</t>
  </si>
  <si>
    <t>Database search</t>
  </si>
  <si>
    <t>Off-topic: chemistry</t>
  </si>
  <si>
    <t>W4403138866</t>
  </si>
  <si>
    <t>https://doi.org/10.1021/jacs.4c06774</t>
  </si>
  <si>
    <t>Selective Classification for Deep Neural Networks</t>
  </si>
  <si>
    <t>Yonatan Geifman</t>
  </si>
  <si>
    <t>arXiv preprint</t>
  </si>
  <si>
    <t>KEEP</t>
  </si>
  <si>
    <t>Duplicate/secondary version</t>
  </si>
  <si>
    <t>arXiv version of Geifman and El-Yaniv (NeurIPS 2017, record 10)</t>
  </si>
  <si>
    <t>W2618169590</t>
  </si>
  <si>
    <t>https://doi.org/10.48550/arxiv.1705.08500</t>
  </si>
  <si>
    <t>Conformational Effects on Physical-Organic Descriptors: The Case of Sterimol Steric Parameters</t>
  </si>
  <si>
    <t>Alexandre V. Brethomé</t>
  </si>
  <si>
    <t>ACS Catalysis</t>
  </si>
  <si>
    <t>W2913530958</t>
  </si>
  <si>
    <t>https://doi.org/10.1021/acscatal.8b04043</t>
  </si>
  <si>
    <t>Regio-selectivity prediction with a machine-learned reaction representation and on-the-fly quantum mechanical descriptors</t>
  </si>
  <si>
    <t>Yanfei Guan</t>
  </si>
  <si>
    <t>Chemical Science</t>
  </si>
  <si>
    <t>W3114339437</t>
  </si>
  <si>
    <t>https://doi.org/10.1039/d0sc04823b</t>
  </si>
  <si>
    <t>Machine learning-assisted dual-atom sites design with interpretable descriptors unifying electrocatalytic reactions</t>
  </si>
  <si>
    <t>Xiaoyun Lin</t>
  </si>
  <si>
    <t>Nature Communications</t>
  </si>
  <si>
    <t>W4402619868</t>
  </si>
  <si>
    <t>https://doi.org/10.1038/s41467-024-52519-8</t>
  </si>
  <si>
    <t>SelectiveNet: A Deep Neural Network with an Integrated Reject Option</t>
  </si>
  <si>
    <t>ICML 2019 (PMLR 97)</t>
  </si>
  <si>
    <t>Record is the arXiv version; the peer-reviewed version was assessed</t>
  </si>
  <si>
    <t>W2914735679</t>
  </si>
  <si>
    <t>https://doi.org/10.48550/arxiv.1901.09192</t>
  </si>
  <si>
    <t>Predicting Regioselectivity in Radical C−H Functionalization of Heterocycles through Machine Learning</t>
  </si>
  <si>
    <t>Xin Li</t>
  </si>
  <si>
    <t>Angewandte Chemie International Edition</t>
  </si>
  <si>
    <t>W3023459419</t>
  </si>
  <si>
    <t>https://doi.org/10.1002/anie.202000959</t>
  </si>
  <si>
    <t>Self-Adaptive Training: beyond Empirical Risk Minimization</t>
  </si>
  <si>
    <t>Lang Huang</t>
  </si>
  <si>
    <t>Off-topic: training method</t>
  </si>
  <si>
    <t>W3006752788</t>
  </si>
  <si>
    <t>https://doi.org/10.48550/arxiv.2002.10319</t>
  </si>
  <si>
    <t>Generalization—a key challenge for responsible AI in patient-facing clinical applications</t>
  </si>
  <si>
    <t>Lea Goetz</t>
  </si>
  <si>
    <t>npj Digital Medicine</t>
  </si>
  <si>
    <t>Domain-specific application outside finance: clinical AI</t>
  </si>
  <si>
    <t>W4398183239</t>
  </si>
  <si>
    <t>https://doi.org/10.1038/s41746-024-01127-3</t>
  </si>
  <si>
    <t>NeurIPS 2017</t>
  </si>
  <si>
    <t>W2963613748</t>
  </si>
  <si>
    <t>Liquid-Phase Multicomponent Adsorption and Separation of Xylene Mixtures by Flexible MIL-53 Adsorbents</t>
  </si>
  <si>
    <t>Mayank Agrawal</t>
  </si>
  <si>
    <t>The Journal of Physical Chemistry C</t>
  </si>
  <si>
    <t>W2774348819</t>
  </si>
  <si>
    <t>https://doi.org/10.1021/acs.jpcc.7b09105</t>
  </si>
  <si>
    <t>Resisting Adversarial Attacks Using Gaussian Mixture Variational Autoencoders</t>
  </si>
  <si>
    <t>Partha Sarathi Ghosh</t>
  </si>
  <si>
    <t>AAAI Publications (The Association for the Advancement of Artificial Intelligence (AAAI))</t>
  </si>
  <si>
    <t>Off-topic: adversarial robustness</t>
  </si>
  <si>
    <t>W2963034614</t>
  </si>
  <si>
    <t>https://doi.org/10.1609/aaai.v33i01.3301541</t>
  </si>
  <si>
    <t>Short-term wind speed prediction using time varying filter-based empirical mode decomposition and group method of data handling-based hybrid model</t>
  </si>
  <si>
    <t>Yan Jiang</t>
  </si>
  <si>
    <t>Energy Conversion and Management</t>
  </si>
  <si>
    <t>Off-topic: wind forecasting</t>
  </si>
  <si>
    <t>W3036378294</t>
  </si>
  <si>
    <t>https://doi.org/10.1016/j.enconman.2020.113076</t>
  </si>
  <si>
    <t>CMW-Net: Learning a Class-Aware Sample Weighting Mapping for Robust Deep Learning</t>
  </si>
  <si>
    <t>Jun Shu</t>
  </si>
  <si>
    <t>IEEE Transactions on Pattern Analysis and Machine Intelligence</t>
  </si>
  <si>
    <t>Off-topic: sample weighting</t>
  </si>
  <si>
    <t>W4367666062</t>
  </si>
  <si>
    <t>https://doi.org/10.1109/tpami.2023.3271451</t>
  </si>
  <si>
    <t>The quest for improving the management of breast cancer by functional imaging: The discovery and development of 16α-[18F]fluoroestradiol (FES), a PET radiotracer for the estrogen receptor, a historical review</t>
  </si>
  <si>
    <t>John A. Katzenellenbogen</t>
  </si>
  <si>
    <t>Nuclear Medicine and Biology</t>
  </si>
  <si>
    <t>Domain-specific application outside finance: medical imaging</t>
  </si>
  <si>
    <t>W3008038106</t>
  </si>
  <si>
    <t>https://doi.org/10.1016/j.nucmedbio.2020.02.007</t>
  </si>
  <si>
    <t>A reactivity model for oxidative addition to palladium enables quantitative predictions for catalytic cross-coupling reactions</t>
  </si>
  <si>
    <t>Jingru Lu</t>
  </si>
  <si>
    <t>W4214596922</t>
  </si>
  <si>
    <t>https://doi.org/10.1039/d2sc00174h</t>
  </si>
  <si>
    <t>GraphIAST: A graphical user interface software for Ideal Adsorption Solution Theory (IAST) calculations</t>
  </si>
  <si>
    <t>Ellen Dautzenberg</t>
  </si>
  <si>
    <t>Computer Physics Communications</t>
  </si>
  <si>
    <t>Off-topic: chemistry software</t>
  </si>
  <si>
    <t>W4291014083</t>
  </si>
  <si>
    <t>https://doi.org/10.1016/j.cpc.2022.108494</t>
  </si>
  <si>
    <t>Revisiting the Evaluation of Uncertainty Estimation and Its Application to Explore Model Complexity-Uncertainty Trade-Off</t>
  </si>
  <si>
    <t>Yukun Ding</t>
  </si>
  <si>
    <t>IEEE/CVF Conference on Computer Vision and Pattern Recognition Workshops (CVPRW)</t>
  </si>
  <si>
    <t>Off-topic: uncertainty metrics for vision models</t>
  </si>
  <si>
    <t>W3034403194</t>
  </si>
  <si>
    <t>https://doi.org/10.1109/cvprw50498.2020.00010</t>
  </si>
  <si>
    <t>Critical review and recent advances of 2D materials-Based gas sensors for food spoilage detection</t>
  </si>
  <si>
    <t>Nirav Joshi</t>
  </si>
  <si>
    <t>Critical Reviews in Food Science and Nutrition</t>
  </si>
  <si>
    <t>Off-topic: food sensors</t>
  </si>
  <si>
    <t>W4281614203</t>
  </si>
  <si>
    <t>https://doi.org/10.1080/10408398.2022.2078950</t>
  </si>
  <si>
    <t>Uncertainty Quantification and Confidence Calibration in Large Language Models: A Survey</t>
  </si>
  <si>
    <t>Xiaoou Liu</t>
  </si>
  <si>
    <t>ACM KDD 2025</t>
  </si>
  <si>
    <t>OpenAlex: M3-01, M3-06</t>
  </si>
  <si>
    <t>W4412875472</t>
  </si>
  <si>
    <t>https://doi.org/10.1145/3711896.3736569</t>
  </si>
  <si>
    <t>Rethinking Single Neuron Electrical Compartmentalization: Dendritic Contributions to Network Computation In Vivo</t>
  </si>
  <si>
    <t>Valerio Francioni</t>
  </si>
  <si>
    <t>Neuroscience</t>
  </si>
  <si>
    <t>Off-topic: neuroscience</t>
  </si>
  <si>
    <t>W3166161309</t>
  </si>
  <si>
    <t>https://doi.org/10.1016/j.neuroscience.2021.05.038</t>
  </si>
  <si>
    <t>Deep Gamblers: Learning to Abstain with Portfolio Theory</t>
  </si>
  <si>
    <t>Liu Ziyin</t>
  </si>
  <si>
    <t>NeurIPS 2019</t>
  </si>
  <si>
    <t>W2970236443</t>
  </si>
  <si>
    <t>https://arxiv.org/pdf/1907.00208.pdf</t>
  </si>
  <si>
    <t>Record-high capture of volatile benzene and toluene enabled by activator implant-optimized banana peel-derived engineering carbonaceous adsorbents</t>
  </si>
  <si>
    <t>Xuhua Shen</t>
  </si>
  <si>
    <t>Environment International</t>
  </si>
  <si>
    <t>W3047304045</t>
  </si>
  <si>
    <t>https://doi.org/10.1016/j.envint.2020.105774</t>
  </si>
  <si>
    <t>ImageCHD: A 3D Computed Tomography Image Dataset for Classification of Congenital Heart Disease</t>
  </si>
  <si>
    <t>Xiaowei Xu</t>
  </si>
  <si>
    <t>Lecture notes in computer science</t>
  </si>
  <si>
    <t>W3089863962</t>
  </si>
  <si>
    <t>https://doi.org/10.1007/978-3-030-59719-1_8</t>
  </si>
  <si>
    <t>Design of α-helical antimicrobial peptides with a high selectivity index</t>
  </si>
  <si>
    <t>Davor Juretić</t>
  </si>
  <si>
    <t>Expert Opinion on Drug Discovery</t>
  </si>
  <si>
    <t>W2959972628</t>
  </si>
  <si>
    <t>https://doi.org/10.1080/17460441.2019.1642322</t>
  </si>
  <si>
    <t>Selective Question Answering under Domain Shift</t>
  </si>
  <si>
    <t>Amita Kamath</t>
  </si>
  <si>
    <t>ACL 2020 (Main)</t>
  </si>
  <si>
    <t>OpenAlex: M3-02</t>
  </si>
  <si>
    <t>W3035441651</t>
  </si>
  <si>
    <t>https://doi.org/10.18653/v1/2020.acl-main.503</t>
  </si>
  <si>
    <t>Know Your Limits: A Survey of Abstention in Large Language Models</t>
  </si>
  <si>
    <t>Bingbing Wen</t>
  </si>
  <si>
    <t>TACL 13</t>
  </si>
  <si>
    <t>W4411934268</t>
  </si>
  <si>
    <t>https://doi.org/10.1162/tacl_a_00754</t>
  </si>
  <si>
    <t>Reliable Visual Question Answering: Abstain Rather Than Answer Incorrectly</t>
  </si>
  <si>
    <t>Spencer Whitehead</t>
  </si>
  <si>
    <t>ECCV 2022 (LNCS)</t>
  </si>
  <si>
    <t>W4312536613</t>
  </si>
  <si>
    <t>https://doi.org/10.1007/978-3-031-20059-5_9</t>
  </si>
  <si>
    <t>Language Models in the Loop: Incorporating Prompting into Weak Supervision</t>
  </si>
  <si>
    <t>Ryan Smith</t>
  </si>
  <si>
    <t>ACM / IMS Journal of Data Science</t>
  </si>
  <si>
    <t>Off-topic: weak supervision</t>
  </si>
  <si>
    <t>W4394579953</t>
  </si>
  <si>
    <t>https://doi.org/10.1145/3617130</t>
  </si>
  <si>
    <t>Evaluating large language models for accuracy incentivizes hallucinations</t>
  </si>
  <si>
    <t>Adam Tauman Kalai</t>
  </si>
  <si>
    <t>Nature 653</t>
  </si>
  <si>
    <t>W7155201584</t>
  </si>
  <si>
    <t>https://doi.org/10.1038/s41586-026-10549-w</t>
  </si>
  <si>
    <t>CalibJudge: Calibrated LLM-as-a-Judge for Multilingual RAG with Uncertainty-Aware Scoring</t>
  </si>
  <si>
    <t>Chenfeiyu Wen</t>
  </si>
  <si>
    <t>ACM CAIC 2026</t>
  </si>
  <si>
    <t>OpenAlex: M3-02, M3-06</t>
  </si>
  <si>
    <t>W7160705148</t>
  </si>
  <si>
    <t>https://doi.org/10.1145/3807246.3807349</t>
  </si>
  <si>
    <t>Potential for Using Artifical Intelligence in Public Administration</t>
  </si>
  <si>
    <t>Borislav Borissov</t>
  </si>
  <si>
    <t>Economics</t>
  </si>
  <si>
    <t>Off-topic: public administration</t>
  </si>
  <si>
    <t>W4401621461</t>
  </si>
  <si>
    <t>https://doi.org/10.2478/eoik-2024-0034</t>
  </si>
  <si>
    <t>Improving Selective Visual Question Answering by Learning from Your Peers</t>
  </si>
  <si>
    <t>Corentin Dancette</t>
  </si>
  <si>
    <t>IEEE/CVF CVPR 2023</t>
  </si>
  <si>
    <t>W4386066075</t>
  </si>
  <si>
    <t>https://doi.org/10.1109/cvpr52729.2023.02303</t>
  </si>
  <si>
    <t>Reliable Text-to-SQL with Adaptive Abstention</t>
  </si>
  <si>
    <t>Kaiwen Chen</t>
  </si>
  <si>
    <t>Proc. ACM Manag. Data 3(1)</t>
  </si>
  <si>
    <t>W4407356147</t>
  </si>
  <si>
    <t>https://doi.org/10.1145/3709719</t>
  </si>
  <si>
    <t>UNK-VQA: A Dataset and a Probe Into the Abstention Ability of Multi-Modal Large Models</t>
  </si>
  <si>
    <t>Yangyang Guo</t>
  </si>
  <si>
    <t>Dataset of unanswerable image questions; contribution specific to vision</t>
  </si>
  <si>
    <t>W4401248645</t>
  </si>
  <si>
    <t>https://doi.org/10.1109/tpami.2024.3437288</t>
  </si>
  <si>
    <t>Medea: An AI agent for therapeutic reasoning across biological contexts</t>
  </si>
  <si>
    <t>Pengwei Sui</t>
  </si>
  <si>
    <t>bioRxiv (Cold Spring Harbor Laboratory)</t>
  </si>
  <si>
    <t>Domain-specific application outside finance: biology</t>
  </si>
  <si>
    <t>W7125151103</t>
  </si>
  <si>
    <t>https://doi.org/10.64898/2026.01.16.696667</t>
  </si>
  <si>
    <t>Evaluating Large Language Models for Radiology Systematic Review Title and Abstract Screening</t>
  </si>
  <si>
    <t>Siddhant Dogra</t>
  </si>
  <si>
    <t>Academic Radiology</t>
  </si>
  <si>
    <t>Domain-specific application outside finance: radiology</t>
  </si>
  <si>
    <t>W4413422599</t>
  </si>
  <si>
    <t>https://doi.org/10.1016/j.acra.2025.08.014</t>
  </si>
  <si>
    <t>Data and code for: Are Large Language Models Able to Perform or Assist in Crime Scene Investigations?</t>
  </si>
  <si>
    <t>Zayne Sprague</t>
  </si>
  <si>
    <t>Off-topic: crime scene investigation</t>
  </si>
  <si>
    <t>W4387947619</t>
  </si>
  <si>
    <t>https://doi.org/10.48550/arxiv.2310.16049</t>
  </si>
  <si>
    <t>When silence is safer: a review and decision-theoretic framework for LLM abstention in healthcare</t>
  </si>
  <si>
    <t>Oriana Presacan</t>
  </si>
  <si>
    <t>Domain-specific application outside finance: healthcare</t>
  </si>
  <si>
    <t>W7164865069</t>
  </si>
  <si>
    <t>https://doi.org/10.1038/s41746-026-02882-1</t>
  </si>
  <si>
    <t>ToxTempAssistant : using large language models to standardise cell-based toxicological test method descriptions</t>
  </si>
  <si>
    <t>Jente Houweling</t>
  </si>
  <si>
    <t>Evidence-Based Toxicology</t>
  </si>
  <si>
    <t>Domain-specific application outside finance: toxicology</t>
  </si>
  <si>
    <t>W7150715962</t>
  </si>
  <si>
    <t>https://doi.org/10.1080/2833373x.2026.2638036</t>
  </si>
  <si>
    <t>Visual reasoning consistency and robustness analysis of multimodal LLMs</t>
  </si>
  <si>
    <t>Nidhal Jegham</t>
  </si>
  <si>
    <t>Pattern Recognition</t>
  </si>
  <si>
    <t>Non-text modality: multimodal reasoning</t>
  </si>
  <si>
    <t>W4416420249</t>
  </si>
  <si>
    <t>https://doi.org/10.1016/j.patcog.2025.112765</t>
  </si>
  <si>
    <t>A Survey on Hallucination in Large Language Models: Definitions, Detection, and Mitigation</t>
  </si>
  <si>
    <t>Seyed Mahmoud Sajjadi Mohammadabadi</t>
  </si>
  <si>
    <t>Preprints.org</t>
  </si>
  <si>
    <t>Off-topic: hallucination survey (preprint)</t>
  </si>
  <si>
    <t>W4415044773</t>
  </si>
  <si>
    <t>https://doi.org/10.20944/preprints202510.0540.v1</t>
  </si>
  <si>
    <t>Evaluating Multimodal LLMs for Context-Aware Forensic Image Interpretation</t>
  </si>
  <si>
    <t>Taras Fedynyshyn</t>
  </si>
  <si>
    <t>The International journal of networked and distributed computing</t>
  </si>
  <si>
    <t>Non-text modality: forensic images</t>
  </si>
  <si>
    <t>W4417342067</t>
  </si>
  <si>
    <t>https://doi.org/10.1007/s44227-026-00102-6</t>
  </si>
  <si>
    <t>RAGSec: Retrieval-Augmented Generation for Cybersecurity Threat Intelligence in Enterprise Networks</t>
  </si>
  <si>
    <t>Shravya Bussari</t>
  </si>
  <si>
    <t>IEEE International Conference on AI in Cybersecurity (ICAIC)</t>
  </si>
  <si>
    <t>Off-topic: cybersecurity</t>
  </si>
  <si>
    <t>W7131132771</t>
  </si>
  <si>
    <t>https://doi.org/10.1109/icaic67076.2026.11395762</t>
  </si>
  <si>
    <t>S-AI-ANTI HALLUCINATION: A BIO-INSPIRED AND CONFIDENCE-AWARE SPARSE AI FRAMEWORK FOR RELIABLE GENERATIVE SYSTEMS</t>
  </si>
  <si>
    <t>Said Chah Slaoui</t>
  </si>
  <si>
    <t>International Journal of Artificial Intelligence &amp; Applications</t>
  </si>
  <si>
    <t>Off-topic: sparse generative framework</t>
  </si>
  <si>
    <t>W4417144274</t>
  </si>
  <si>
    <t>https://doi.org/10.5121/ijaia.2025.16601</t>
  </si>
  <si>
    <t>Comparison of explainability methods for hallucination analysis in LLMs</t>
  </si>
  <si>
    <t>Ioannis Papagiannopoulos</t>
  </si>
  <si>
    <t>Open Research Europe</t>
  </si>
  <si>
    <t>Off-topic: explainability</t>
  </si>
  <si>
    <t>W4412599253</t>
  </si>
  <si>
    <t>https://doi.org/10.12688/openreseurope.20839.1</t>
  </si>
  <si>
    <t>Alleviating Hallucinations from Knowledge Misalignment in Large Language Models via Selective Abstention Learning</t>
  </si>
  <si>
    <t>Lei Huang</t>
  </si>
  <si>
    <t>ACL 2025 (Long Papers)</t>
  </si>
  <si>
    <t>W4412945130</t>
  </si>
  <si>
    <t>https://doi.org/10.18653/v1/2025.acl-long.1199</t>
  </si>
  <si>
    <t>AbstentionBench: Reasoning LLMs Fail on Unanswerable Questions</t>
  </si>
  <si>
    <t>Polina Kirichenko</t>
  </si>
  <si>
    <t>NeurIPS 2025</t>
  </si>
  <si>
    <t>W4417258166</t>
  </si>
  <si>
    <t>https://doi.org/10.52202/085713-5729</t>
  </si>
  <si>
    <t>CliniCARE-Bench: Clinical Calibrated Audit of Medical Reasoning in EHR</t>
  </si>
  <si>
    <t>Veronica Chatrath</t>
  </si>
  <si>
    <t>Domain-specific application outside finance: clinical</t>
  </si>
  <si>
    <t>W7202202844</t>
  </si>
  <si>
    <t>https://doi.org/10.48550/arxiv.2608.07796</t>
  </si>
  <si>
    <t>Comparative evaluation of embedding and generative model combinations in retrieval-augmented generation pipelines</t>
  </si>
  <si>
    <t>Mateo Hitl</t>
  </si>
  <si>
    <t>Data Technologies and Applications</t>
  </si>
  <si>
    <t>Off-topic: RAG pipelines</t>
  </si>
  <si>
    <t>W7165619646</t>
  </si>
  <si>
    <t>https://doi.org/10.1108/dta-07-2025-0609</t>
  </si>
  <si>
    <t>Conformer: Convolution-augmented Transformer for Speech Recognition</t>
  </si>
  <si>
    <t>Anmol Gulati</t>
  </si>
  <si>
    <t>Interspeech (USB)</t>
  </si>
  <si>
    <t>OpenAlex: M3-03</t>
  </si>
  <si>
    <t>Off-topic: speech recognition</t>
  </si>
  <si>
    <t>W3097777922</t>
  </si>
  <si>
    <t>https://doi.org/10.21437/interspeech.2020-3015</t>
  </si>
  <si>
    <t>w2v-BERT: Combining Contrastive Learning and Masked Language Modeling for Self-Supervised Speech Pre-Training</t>
  </si>
  <si>
    <t>Yu-An Chung</t>
  </si>
  <si>
    <t>IEEE Automatic Speech Recognition and Understanding Workshop (ASRU)</t>
  </si>
  <si>
    <t>Off-topic: speech</t>
  </si>
  <si>
    <t>W4226033575</t>
  </si>
  <si>
    <t>https://doi.org/10.1109/asru51503.2021.9688253</t>
  </si>
  <si>
    <t>End-To-End Audio-Visual Speech Recognition with Conformers</t>
  </si>
  <si>
    <t>Pingchuan Ma</t>
  </si>
  <si>
    <t>IEEE International Conference on Acoustics Speech and Signal Processing</t>
  </si>
  <si>
    <t>W3162293946</t>
  </si>
  <si>
    <t>https://doi.org/10.1109/icassp39728.2021.9414567</t>
  </si>
  <si>
    <t>VAE-Stega: Linguistic Steganography Based on Variational Auto-Encoder</t>
  </si>
  <si>
    <t>Zhongliang Yang</t>
  </si>
  <si>
    <t>IEEE Transactions on Information Forensics and Security</t>
  </si>
  <si>
    <t>Off-topic: steganography</t>
  </si>
  <si>
    <t>W3085519426</t>
  </si>
  <si>
    <t>https://doi.org/10.1109/tifs.2020.3023279</t>
  </si>
  <si>
    <t>Sources of Hallucination by Large Language Models on Inference Tasks</t>
  </si>
  <si>
    <t>Nick McKenna</t>
  </si>
  <si>
    <t>Conference-paper</t>
  </si>
  <si>
    <t>Off-topic: sources of hallucination</t>
  </si>
  <si>
    <t>W4389519585</t>
  </si>
  <si>
    <t>https://doi.org/10.18653/v1/2023.findings-emnlp.182</t>
  </si>
  <si>
    <t>Structured Prompt Interrogation and Recursive Extraction of Semantics (SPIRES): a method for populating knowledge bases using zero-shot learning</t>
  </si>
  <si>
    <t>John Harry Caufield</t>
  </si>
  <si>
    <t>Bioinformatics</t>
  </si>
  <si>
    <t>Domain-specific application outside finance: biology knowledge bases</t>
  </si>
  <si>
    <t>W4392619039</t>
  </si>
  <si>
    <t>https://doi.org/10.1093/bioinformatics/btae104</t>
  </si>
  <si>
    <t>Intermediate Loss Regularization for CTC-Based Speech Recognition</t>
  </si>
  <si>
    <t>Jaesong Lee</t>
  </si>
  <si>
    <t>W3162249256</t>
  </si>
  <si>
    <t>https://doi.org/10.1109/icassp39728.2021.9414594</t>
  </si>
  <si>
    <t>Prompting Large Language Models with Speech Recognition Abilities</t>
  </si>
  <si>
    <t>Yassir Fathullah</t>
  </si>
  <si>
    <t>W4392903956</t>
  </si>
  <si>
    <t>https://doi.org/10.1109/icassp48485.2024.10447605</t>
  </si>
  <si>
    <t>Squeezeformer: An Efficient Transformer for Automatic Speech Recognition</t>
  </si>
  <si>
    <t>Sehoon Kim</t>
  </si>
  <si>
    <t>neural information processing systems</t>
  </si>
  <si>
    <t>W7133208400</t>
  </si>
  <si>
    <t>https://doi.org/10.52202/068431-0680</t>
  </si>
  <si>
    <t>Text2KGBench: A Benchmark for Ontology-Driven Knowledge Graph Generation from Text</t>
  </si>
  <si>
    <t>Nandana Mihindukulasooriya</t>
  </si>
  <si>
    <t>Off-topic: knowledge-graph generation</t>
  </si>
  <si>
    <t>W4388144143</t>
  </si>
  <si>
    <t>https://doi.org/10.1007/978-3-031-47243-5_14</t>
  </si>
  <si>
    <t>Model Generation with LLMs: From Requirements to UML Sequence Diagrams</t>
  </si>
  <si>
    <t>Alessio Ferrari</t>
  </si>
  <si>
    <t>IEEE International Requirements Engineering Conference Workshops (REW)</t>
  </si>
  <si>
    <t>Off-topic: software models</t>
  </si>
  <si>
    <t>W4401719166</t>
  </si>
  <si>
    <t>https://doi.org/10.1109/rew61692.2024.00044</t>
  </si>
  <si>
    <t>IoV-BERT-IDS: Hybrid Network Intrusion Detection System in IoV Using Large Language Models</t>
  </si>
  <si>
    <t>Mengyi Fu</t>
  </si>
  <si>
    <t>IEEE Transactions on Vehicular Technology</t>
  </si>
  <si>
    <t>Off-topic: intrusion detection</t>
  </si>
  <si>
    <t>W4397000731</t>
  </si>
  <si>
    <t>https://doi.org/10.1109/tvt.2024.3402366</t>
  </si>
  <si>
    <t>Efficient Conformer: Progressive Downsampling and Grouped Attention for Automatic Speech Recognition</t>
  </si>
  <si>
    <t>Maxime Burchi</t>
  </si>
  <si>
    <t>W3197813307</t>
  </si>
  <si>
    <t>https://doi.org/10.1109/asru51503.2021.9687874</t>
  </si>
  <si>
    <t>fairseq S2T: Fast Speech-to-Text Modeling with fairseq</t>
  </si>
  <si>
    <t>Changhan Wang</t>
  </si>
  <si>
    <t>Off-topic: speech toolkit</t>
  </si>
  <si>
    <t>W3118578889</t>
  </si>
  <si>
    <t>https://doi.org/10.48550/arxiv.2010.05171</t>
  </si>
  <si>
    <t>A Real-Time ATC Safety Monitoring Framework Using a Deep Learning Approach</t>
  </si>
  <si>
    <t>Yi Lin</t>
  </si>
  <si>
    <t>IEEE Transactions on Intelligent Transportation Systems</t>
  </si>
  <si>
    <t>Off-topic: air traffic control</t>
  </si>
  <si>
    <t>W2976884277</t>
  </si>
  <si>
    <t>https://doi.org/10.1109/tits.2019.2940992</t>
  </si>
  <si>
    <t>Automating Research Synthesis with Domain-Specific Large Language Model Fine-Tuning</t>
  </si>
  <si>
    <t>Teo Sušnjak</t>
  </si>
  <si>
    <t>ACM Transactions on Knowledge Discovery from Data</t>
  </si>
  <si>
    <t>Off-topic: research synthesis</t>
  </si>
  <si>
    <t>W4407028609</t>
  </si>
  <si>
    <t>https://doi.org/10.1145/3715964</t>
  </si>
  <si>
    <t>DriveDreamer-2: LLM-Enhanced World Models for Diverse Driving Video Generation</t>
  </si>
  <si>
    <t>Guosheng Zhao</t>
  </si>
  <si>
    <t>Proceedings of the AAAI Conference on Artificial Intelligence</t>
  </si>
  <si>
    <t>Off-topic: driving video</t>
  </si>
  <si>
    <t>W4409366191</t>
  </si>
  <si>
    <t>https://doi.org/10.1609/aaai.v39i10.33130</t>
  </si>
  <si>
    <t>Robots That Ask For Help: Uncertainty Alignment for Large Language Model Planners</t>
  </si>
  <si>
    <t>Allen Z. Ren</t>
  </si>
  <si>
    <t>CoRL 2023 (PMLR 229)</t>
  </si>
  <si>
    <t>W4383472635</t>
  </si>
  <si>
    <t>https://doi.org/10.48550/arxiv.2307.01928</t>
  </si>
  <si>
    <t>Large Language Models (LLMs) in Engineering Education: A Systematic Review and Suggestions for Practical Adoption</t>
  </si>
  <si>
    <t>Stefano Filippi</t>
  </si>
  <si>
    <t>Information</t>
  </si>
  <si>
    <t>Off-topic: education</t>
  </si>
  <si>
    <t>W4399586813</t>
  </si>
  <si>
    <t>https://doi.org/10.3390/info15060345</t>
  </si>
  <si>
    <t>Transformer technology in molecular science</t>
  </si>
  <si>
    <t>Jiang Jian</t>
  </si>
  <si>
    <t>Wiley Interdisciplinary Reviews Computational Molecular Science</t>
  </si>
  <si>
    <t>Off-topic: molecular science</t>
  </si>
  <si>
    <t>W4401345106</t>
  </si>
  <si>
    <t>https://doi.org/10.1002/wcms.1725</t>
  </si>
  <si>
    <t>Epistemic authority and generative AI in learning spaces: rethinking knowledge in the algorithmic age</t>
  </si>
  <si>
    <t>Binny Jose</t>
  </si>
  <si>
    <t>Frontiers in Education</t>
  </si>
  <si>
    <t>W4413303279</t>
  </si>
  <si>
    <t>https://doi.org/10.3389/feduc.2025.1647687</t>
  </si>
  <si>
    <t>The HaLLMark Effect: Supporting Provenance and Transparent Use of Large Language Models in Writing with Interactive Visualization</t>
  </si>
  <si>
    <t>Md Naimul Hoque</t>
  </si>
  <si>
    <t>CHI Conference on Human Factors in Computing Systems</t>
  </si>
  <si>
    <t>Off-topic: writing provenance</t>
  </si>
  <si>
    <t>W4396827151</t>
  </si>
  <si>
    <t>https://doi.org/10.1145/3613904.3641895</t>
  </si>
  <si>
    <t>Systematic Biases in LLM Simulations of Debates</t>
  </si>
  <si>
    <t>Amir Taubenfeld</t>
  </si>
  <si>
    <t>Conference on Empirical Methods in Natural Language Processing (EMNLP)</t>
  </si>
  <si>
    <t>Off-topic: debate simulation</t>
  </si>
  <si>
    <t>W4404782785</t>
  </si>
  <si>
    <t>https://doi.org/10.18653/v1/2024.emnlp-main.16</t>
  </si>
  <si>
    <t>Tailoring Large Language Models to Radiology: A Preliminary Approach to LLM Adaptation for a Highly Specialized Domain</t>
  </si>
  <si>
    <t>Zhengliang Liu</t>
  </si>
  <si>
    <t>W4387642400</t>
  </si>
  <si>
    <t>https://doi.org/10.1007/978-3-031-45673-2_46</t>
  </si>
  <si>
    <t>Generative Steganography Based on Long Readable Text Generation</t>
  </si>
  <si>
    <t>Yi Cao</t>
  </si>
  <si>
    <t>IEEE Transactions on Computational Social Systems</t>
  </si>
  <si>
    <t>W4285213468</t>
  </si>
  <si>
    <t>https://doi.org/10.1109/tcss.2022.3174013</t>
  </si>
  <si>
    <t>Self-Supervised Learning for Generalizable Out-of-Distribution Detection</t>
  </si>
  <si>
    <t>Sina Mohseni</t>
  </si>
  <si>
    <t>OpenAlex: M3-04</t>
  </si>
  <si>
    <t>Off-topic: out-of-distribution detection</t>
  </si>
  <si>
    <t>W2997212544</t>
  </si>
  <si>
    <t>https://doi.org/10.1609/aaai.v34i04.5966</t>
  </si>
  <si>
    <t>Feature-based statistical regularities of distractors modulate attentional capture.</t>
  </si>
  <si>
    <t>Brad T. Stilwell</t>
  </si>
  <si>
    <t>Journal of Experimental Psychology Human Perception &amp; Performance</t>
  </si>
  <si>
    <t>Off-topic: psychology</t>
  </si>
  <si>
    <t>W2917525756</t>
  </si>
  <si>
    <t>https://doi.org/10.1037/xhp0000613</t>
  </si>
  <si>
    <t>Predict Responsibly: Improving Fairness and Accuracy by Learning to Defer</t>
  </si>
  <si>
    <t>David Madras</t>
  </si>
  <si>
    <t>NeurIPS 2018</t>
  </si>
  <si>
    <t>W2891947597</t>
  </si>
  <si>
    <t>https://doi.org/10.48550/arxiv.1711.06664</t>
  </si>
  <si>
    <t>Consistent Estimators for Learning to Defer to an Expert</t>
  </si>
  <si>
    <t>Hussein Mozannar</t>
  </si>
  <si>
    <t>ICML 2020 (PMLR 119)</t>
  </si>
  <si>
    <t>W3033575144</t>
  </si>
  <si>
    <t>https://doi.org/10.48550/arxiv.2006.01862</t>
  </si>
  <si>
    <t>A Survey on Learning to Reject</t>
  </si>
  <si>
    <t>Xu-Yao Zhang</t>
  </si>
  <si>
    <t>Proceedings of the IEEE</t>
  </si>
  <si>
    <t>Free full text unavailable</t>
  </si>
  <si>
    <t>IEEE subscription article; no author version found on arXiv</t>
  </si>
  <si>
    <t>W4319999924</t>
  </si>
  <si>
    <t>https://doi.org/10.1109/jproc.2023.3238024</t>
  </si>
  <si>
    <t>Exploiting time series of Sentinel-1 and Sentinel-2 to detect grassland mowing events using deep learning with reject region</t>
  </si>
  <si>
    <t>Viacheslav Komisarenko</t>
  </si>
  <si>
    <t>Scientific Reports</t>
  </si>
  <si>
    <t>Off-topic: remote sensing</t>
  </si>
  <si>
    <t>W4205550387</t>
  </si>
  <si>
    <t>https://doi.org/10.1038/s41598-022-04932-6</t>
  </si>
  <si>
    <t>OpenMix: Exploring Outlier Samples for Misclassification Detection</t>
  </si>
  <si>
    <t>Fei Zhu</t>
  </si>
  <si>
    <t>W4386075617</t>
  </si>
  <si>
    <t>https://doi.org/10.1109/cvpr52729.2023.01162</t>
  </si>
  <si>
    <t>Learned and cued distractor rejection for multiple features in visual search</t>
  </si>
  <si>
    <t>Attention Perception &amp; Psychophysics</t>
  </si>
  <si>
    <t>W2900633728</t>
  </si>
  <si>
    <t>https://doi.org/10.3758/s13414-018-1622-8</t>
  </si>
  <si>
    <t>A 2 C: A modular multi-stage collaborative decision framework for human–AI teams</t>
  </si>
  <si>
    <t>Shahroz Tariq</t>
  </si>
  <si>
    <t>Expert Systems with Applications 282</t>
  </si>
  <si>
    <t>W4409250920</t>
  </si>
  <si>
    <t>https://doi.org/10.1016/j.eswa.2025.127318</t>
  </si>
  <si>
    <t>Human-AI Collaboration in Decision-Making: Beyond Learning to Defer</t>
  </si>
  <si>
    <t>Diogo Leitão</t>
  </si>
  <si>
    <t>Not peer-reviewed</t>
  </si>
  <si>
    <t>Non-archival ICML 2022 workshop paper</t>
  </si>
  <si>
    <t>W4283703836</t>
  </si>
  <si>
    <t>https://doi.org/10.48550/arxiv.2206.13202</t>
  </si>
  <si>
    <t>Cued distractor rejection disrupts learned distractor rejection</t>
  </si>
  <si>
    <t>Visual Cognition</t>
  </si>
  <si>
    <t>W2912928902</t>
  </si>
  <si>
    <t>https://doi.org/10.1080/13506285.2018.1564808</t>
  </si>
  <si>
    <t>UMAD: Universal Model Adaptation under Domain and Category Shift</t>
  </si>
  <si>
    <t>Jian Liang</t>
  </si>
  <si>
    <t>Off-topic: domain adaptation</t>
  </si>
  <si>
    <t>W4226458328</t>
  </si>
  <si>
    <t>https://doi.org/10.48550/arxiv.2112.08553</t>
  </si>
  <si>
    <t>How can humans leverage machine learning? From Medical Data Wrangling to Learning to Defer to Multiple Experts</t>
  </si>
  <si>
    <t>Daniel Barrejón</t>
  </si>
  <si>
    <t>Mainly imputation of medical records; deferral to experts is a secondary part</t>
  </si>
  <si>
    <t>W3211041519</t>
  </si>
  <si>
    <t>https://doi.org/10.1109/jbhi.2021.3123839</t>
  </si>
  <si>
    <t>Interpretable machine learning with reject option</t>
  </si>
  <si>
    <t>Johannes Brinkrolf</t>
  </si>
  <si>
    <t>at - Automatisierungstechnik</t>
  </si>
  <si>
    <t>De Gruyter subscription article; no author version found on arXiv</t>
  </si>
  <si>
    <t>W2791382188</t>
  </si>
  <si>
    <t>https://doi.org/10.1515/auto-2017-0123</t>
  </si>
  <si>
    <t>Chunks of phonological knowledge play a significant role in children’s word learning and explain effects of neighborhood size, phonotactic probability, word frequency and word length</t>
  </si>
  <si>
    <t>Gary Jones</t>
  </si>
  <si>
    <t>Journal of Memory and Language</t>
  </si>
  <si>
    <t>W3136575821</t>
  </si>
  <si>
    <t>https://doi.org/10.1016/j.jml.2021.104232</t>
  </si>
  <si>
    <t>Battle of plates: a pilot study of an approach–avoidance training for overweight children and adolescents</t>
  </si>
  <si>
    <t>Petra Warschburger</t>
  </si>
  <si>
    <t>Public Health Nutrition</t>
  </si>
  <si>
    <t>Off-topic: nutrition</t>
  </si>
  <si>
    <t>W2767298111</t>
  </si>
  <si>
    <t>https://doi.org/10.1017/s1368980017002701</t>
  </si>
  <si>
    <t>The midsession reversal task: A theoretical analysis</t>
  </si>
  <si>
    <t>Thomas R. Zentall</t>
  </si>
  <si>
    <t>Learning &amp; Behavior</t>
  </si>
  <si>
    <t>Off-topic: animal behaviour</t>
  </si>
  <si>
    <t>W3019803869</t>
  </si>
  <si>
    <t>https://doi.org/10.3758/s13420-020-00423-8</t>
  </si>
  <si>
    <t>Incorporating uncertainty in learning to defer algorithms for safe computer-aided diagnosis</t>
  </si>
  <si>
    <t>Jessie Liu</t>
  </si>
  <si>
    <t>Domain-specific application outside finance: medical diagnosis</t>
  </si>
  <si>
    <t>W3193700584</t>
  </si>
  <si>
    <t>https://doi.org/10.1038/s41598-022-05725-7</t>
  </si>
  <si>
    <t>Open Set RF Fingerprint Identification for Wireless Communication Devices</t>
  </si>
  <si>
    <t>Chaopeng Wu</t>
  </si>
  <si>
    <t>IEEE Wireless Communications Letters</t>
  </si>
  <si>
    <t>Off-topic: radio fingerprints</t>
  </si>
  <si>
    <t>W4405844949</t>
  </si>
  <si>
    <t>https://doi.org/10.1109/lwc.2024.3523271</t>
  </si>
  <si>
    <t>Search for heavy Majorana neutrinos at electron-proton colliders</t>
  </si>
  <si>
    <t>Haiyong Gu</t>
  </si>
  <si>
    <t>Physical review. D/Physical review. D.</t>
  </si>
  <si>
    <t>Off-topic: physics</t>
  </si>
  <si>
    <t>W4226090205</t>
  </si>
  <si>
    <t>https://doi.org/10.1103/physrevd.106.015006</t>
  </si>
  <si>
    <t>Towards Reliable Learning for High Stakes Applications</t>
  </si>
  <si>
    <t>Jinyang Gao</t>
  </si>
  <si>
    <t>AAAI 2019</t>
  </si>
  <si>
    <t>W2965483395</t>
  </si>
  <si>
    <t>https://doi.org/10.1609/aaai.v33i01.33013614</t>
  </si>
  <si>
    <t>Cripistemologies of Teacher Education: Centering Disabled Ways of Knowing in Learning to Teach</t>
  </si>
  <si>
    <t>Molly Baustien Siuty</t>
  </si>
  <si>
    <t>Journal of Teacher Education</t>
  </si>
  <si>
    <t>Off-topic: teacher education</t>
  </si>
  <si>
    <t>W4405378379</t>
  </si>
  <si>
    <t>https://doi.org/10.1177/00224871241301996</t>
  </si>
  <si>
    <t>“I do not know! but why?” — Local model-agnostic example-based explanations of reject</t>
  </si>
  <si>
    <t>André Artelt</t>
  </si>
  <si>
    <t>Neurocomputing</t>
  </si>
  <si>
    <t>Explains reject decisions to users; does not propose or evaluate the reject rule</t>
  </si>
  <si>
    <t>W4386034639</t>
  </si>
  <si>
    <t>https://doi.org/10.1016/j.neucom.2023.126722</t>
  </si>
  <si>
    <t>Online Active Learning of Reject Option Classifiers</t>
  </si>
  <si>
    <t>Kulin Shah</t>
  </si>
  <si>
    <t>AAAI 2020</t>
  </si>
  <si>
    <t>W2997267966</t>
  </si>
  <si>
    <t>https://doi.org/10.1609/aaai.v34i04.6019</t>
  </si>
  <si>
    <t>Shallow Self-learning for Reject Inference in Credit Scoring</t>
  </si>
  <si>
    <t>Nikita Kozodoi</t>
  </si>
  <si>
    <t>Off-topic: reject inference in credit scoring (a different problem)</t>
  </si>
  <si>
    <t>W2972553790</t>
  </si>
  <si>
    <t>https://doi.org/10.1007/978-3-030-46133-1_31</t>
  </si>
  <si>
    <t>Affordance-Compiled Intelligence: Observable-Only Cognitive Impedance Matching for No-Meta LLM-Integrated Systems</t>
  </si>
  <si>
    <t>Patrick Lewis</t>
  </si>
  <si>
    <t>OpenAlex: M3-05</t>
  </si>
  <si>
    <t>Off-topic: title unrelated to the query</t>
  </si>
  <si>
    <t>W3027879771</t>
  </si>
  <si>
    <t>https://doi.org/10.48550/arxiv.2005.11401</t>
  </si>
  <si>
    <t>Conformal Prediction: A Gentle Introduction</t>
  </si>
  <si>
    <t>Anastasios N. Angelopoulos</t>
  </si>
  <si>
    <t>Foundations and Trends in ML 16(4)</t>
  </si>
  <si>
    <t>W4361012985</t>
  </si>
  <si>
    <t>https://doi.org/10.1561/2200000101</t>
  </si>
  <si>
    <t>Batch-normalized deep neural networks for achieving fast intelligent fault diagnosis of machines</t>
  </si>
  <si>
    <t>Jinrui Wang</t>
  </si>
  <si>
    <t>Off-topic: fault diagnosis</t>
  </si>
  <si>
    <t>W2898597600</t>
  </si>
  <si>
    <t>https://doi.org/10.1016/j.neucom.2018.10.049</t>
  </si>
  <si>
    <t>Artificial intelligence sepsis prediction algorithm learns to say “I don’t know”</t>
  </si>
  <si>
    <t>Supreeth Prajwal Shashikumar</t>
  </si>
  <si>
    <t>Domain-specific application outside finance: sepsis prediction</t>
  </si>
  <si>
    <t>W3196930108</t>
  </si>
  <si>
    <t>https://doi.org/10.1038/s41746-021-00504-6</t>
  </si>
  <si>
    <t>Conformal Prediction Under Covariate Shift</t>
  </si>
  <si>
    <t>Ryan J. Tibshirani</t>
  </si>
  <si>
    <t>W2936788460</t>
  </si>
  <si>
    <t>https://doi.org/10.48550/arxiv.1904.06019</t>
  </si>
  <si>
    <t>A Gentle Introduction to Conformal Prediction and Distribution-Free Uncertainty Quantification</t>
  </si>
  <si>
    <t>arXiv version of the Gentle Introduction (record 102)</t>
  </si>
  <si>
    <t>W3180462067</t>
  </si>
  <si>
    <t>https://doi.org/10.48550/arxiv.2107.07511</t>
  </si>
  <si>
    <t>Adaptive Conformal Inference Under Distribution Shift</t>
  </si>
  <si>
    <t>Isaac Gibbs</t>
  </si>
  <si>
    <t>NeurIPS 2021</t>
  </si>
  <si>
    <t>W3172668605</t>
  </si>
  <si>
    <t>https://doi.org/10.48550/arxiv.2106.00170</t>
  </si>
  <si>
    <t>Book</t>
  </si>
  <si>
    <t>Book edition of the Gentle Introduction (record 102)</t>
  </si>
  <si>
    <t>W4361793541</t>
  </si>
  <si>
    <t>https://doi.org/10.1561/9781638281597</t>
  </si>
  <si>
    <t>Responsible and Regulatory Conform Machine Learning for Medicine: A Survey of Challenges and Solutions</t>
  </si>
  <si>
    <t>Eike Petersen</t>
  </si>
  <si>
    <t>IEEE Access</t>
  </si>
  <si>
    <t>Domain-specific application outside finance: medicine</t>
  </si>
  <si>
    <t>W4285293648</t>
  </si>
  <si>
    <t>https://doi.org/10.1109/access.2022.3178382</t>
  </si>
  <si>
    <t>Uncertainty-Aware Resource Allocation for Multi-Path Programs with In-Kernel Predictions</t>
  </si>
  <si>
    <t>Eisenklam, Abigail</t>
  </si>
  <si>
    <t>DROPS (Schloss Dagstuhl – Leibniz Center for Informatics)</t>
  </si>
  <si>
    <t>Off-topic: systems scheduling</t>
  </si>
  <si>
    <t>W4287393709</t>
  </si>
  <si>
    <t>https://doi.org/10.4230/lipics.ecrts.2026.17</t>
  </si>
  <si>
    <t>A machine-learning algorithm for diagnosis of multisystem inflammatory syndrome in children and Kawasaki disease in the USA: a retrospective model development and validation study</t>
  </si>
  <si>
    <t>Jonathan Y. Lam</t>
  </si>
  <si>
    <t>The Lancet Digital Health</t>
  </si>
  <si>
    <t>Domain-specific application outside finance: paediatrics</t>
  </si>
  <si>
    <t>W4296534612</t>
  </si>
  <si>
    <t>https://doi.org/10.1016/s2589-7500(22)00149-2</t>
  </si>
  <si>
    <t>Conformal PID Control for Time Series Prediction</t>
  </si>
  <si>
    <t>NeurIPS 2023</t>
  </si>
  <si>
    <t>W7133239795</t>
  </si>
  <si>
    <t>https://doi.org/10.52202/075280-1000</t>
  </si>
  <si>
    <t>Co-training Disentangled Domain Adaptation Network for Leveraging Popularity Bias in Recommenders</t>
  </si>
  <si>
    <t>Zhihong Chen</t>
  </si>
  <si>
    <t>International ACM SIGIR Conference on Research and Development in Information Retrieval (SIGIR)</t>
  </si>
  <si>
    <t>Off-topic: recommender systems</t>
  </si>
  <si>
    <t>W4284669007</t>
  </si>
  <si>
    <t>https://doi.org/10.1145/3477495.3531952</t>
  </si>
  <si>
    <t>Robust Validation: Confident Predictions Even When Distributions Shift</t>
  </si>
  <si>
    <t>Maxime Cauchois</t>
  </si>
  <si>
    <t>JASA 119(548)</t>
  </si>
  <si>
    <t>W3048186544</t>
  </si>
  <si>
    <t>https://doi.org/10.1080/01621459.2023.2298037</t>
  </si>
  <si>
    <t>Conformal prediction with conditional guarantees</t>
  </si>
  <si>
    <t>JRSS Series B 87(4)</t>
  </si>
  <si>
    <t>W4408178946</t>
  </si>
  <si>
    <t>https://doi.org/10.1093/jrsssb/qkaf008</t>
  </si>
  <si>
    <t>Conformal prediction under feedback covariate shift for biomolecular design</t>
  </si>
  <si>
    <t>Clara Fannjiang</t>
  </si>
  <si>
    <t>Proceedings of the National Academy of Sciences</t>
  </si>
  <si>
    <t>Domain-specific application outside finance: biomolecular design</t>
  </si>
  <si>
    <t>W4306735081</t>
  </si>
  <si>
    <t>https://doi.org/10.1073/pnas.2204569119</t>
  </si>
  <si>
    <t>Adaptive Conformal Predictions for Time Series</t>
  </si>
  <si>
    <t>Margaux Zaffran</t>
  </si>
  <si>
    <t>ICML 2022 (PMLR 162)</t>
  </si>
  <si>
    <t>W4225602389</t>
  </si>
  <si>
    <t>https://doi.org/10.48550/arxiv.2202.07282</t>
  </si>
  <si>
    <t>Conformal Risk Control</t>
  </si>
  <si>
    <t>ICLR 2024</t>
  </si>
  <si>
    <t>W4290055968</t>
  </si>
  <si>
    <t>https://doi.org/10.48550/arxiv.2208.02814</t>
  </si>
  <si>
    <t>Bringing the Promise of Artificial Intelligence to Critical Care: What the Experience With Sepsis Analytics Can Teach Us</t>
  </si>
  <si>
    <t>Gabriel Wardi</t>
  </si>
  <si>
    <t>Critical Care Medicine</t>
  </si>
  <si>
    <t>Domain-specific application outside finance: critical care</t>
  </si>
  <si>
    <t>W4367047646</t>
  </si>
  <si>
    <t>https://doi.org/10.1097/ccm.0000000000005894</t>
  </si>
  <si>
    <t>Doubly robust calibration of prediction sets under covariate shift</t>
  </si>
  <si>
    <t>Yachong Yang</t>
  </si>
  <si>
    <t>JRSS Series B 86(4)</t>
  </si>
  <si>
    <t>W4392383780</t>
  </si>
  <si>
    <t>https://doi.org/10.1093/jrsssb/qkae009</t>
  </si>
  <si>
    <t>Conformal Inference for Online Prediction with Arbitrary Distribution Shifts</t>
  </si>
  <si>
    <t>JMLR 25(162)</t>
  </si>
  <si>
    <t>W4302779468</t>
  </si>
  <si>
    <t>https://doi.org/10.48550/arxiv.2208.08401</t>
  </si>
  <si>
    <t>A general framework for multi-step ahead adaptive conformal heteroscedastic time series forecasting</t>
  </si>
  <si>
    <t>Martim Sousa</t>
  </si>
  <si>
    <t>Neurocomputing 608</t>
  </si>
  <si>
    <t>W4401908769</t>
  </si>
  <si>
    <t>https://doi.org/10.1016/j.neucom.2024.128434</t>
  </si>
  <si>
    <t>Robust Conformal Prediction for STL Runtime Verification under Distribution Shift</t>
  </si>
  <si>
    <t>Yiqi Zhao</t>
  </si>
  <si>
    <t>ACM/IEEE International Conference on Cyber-Physical Systems (ICCPS)</t>
  </si>
  <si>
    <t>Off-topic: cyber-physical runtime verification</t>
  </si>
  <si>
    <t>W4400189275</t>
  </si>
  <si>
    <t>https://doi.org/10.1109/iccps61052.2024.00022</t>
  </si>
  <si>
    <t>Improved Online Conformal Prediction via Strongly Adaptive Online Learning</t>
  </si>
  <si>
    <t>Aadyot Bhatnagar</t>
  </si>
  <si>
    <t>ICML 2023 (PMLR 202)</t>
  </si>
  <si>
    <t>W4321177777</t>
  </si>
  <si>
    <t>https://doi.org/10.48550/arxiv.2302.07869</t>
  </si>
  <si>
    <t>Enhancing decision support in crop production: Analyzing conformal prediction for uncertainty quantification</t>
  </si>
  <si>
    <t>Mohamed Farag</t>
  </si>
  <si>
    <t>Computers and Electronics in Agriculture</t>
  </si>
  <si>
    <t>Off-topic: agriculture</t>
  </si>
  <si>
    <t>W4411099832</t>
  </si>
  <si>
    <t>https://doi.org/10.1016/j.compag.2025.110559</t>
  </si>
  <si>
    <t>Detecting hallucinations in large language models using semantic entropy</t>
  </si>
  <si>
    <t>Sebastian Farquhar</t>
  </si>
  <si>
    <t>Nature 630</t>
  </si>
  <si>
    <t>OpenAlex: M3-06</t>
  </si>
  <si>
    <t>W4399803256</t>
  </si>
  <si>
    <t>https://doi.org/10.1038/s41586-024-07421-0</t>
  </si>
  <si>
    <t>Testing and Evaluation of Health Care Applications of Large Language Models</t>
  </si>
  <si>
    <t>Suhana Bedi</t>
  </si>
  <si>
    <t>JAMA</t>
  </si>
  <si>
    <t>Domain-specific application outside finance: health care</t>
  </si>
  <si>
    <t>W4403420208</t>
  </si>
  <si>
    <t>https://doi.org/10.1001/jama.2024.21700</t>
  </si>
  <si>
    <t>Large Language Models Are Zero-Shot Time Series Forecasters</t>
  </si>
  <si>
    <t>Nate Gruver</t>
  </si>
  <si>
    <t>Off-topic: time-series forecasting with LLMs</t>
  </si>
  <si>
    <t>W7133223873</t>
  </si>
  <si>
    <t>https://doi.org/10.52202/075280-0861</t>
  </si>
  <si>
    <t>What large language models know and what people think they know</t>
  </si>
  <si>
    <t>Mark Steyvers</t>
  </si>
  <si>
    <t>Nature Machine Intelligence 7</t>
  </si>
  <si>
    <t>W4406679533</t>
  </si>
  <si>
    <t>https://doi.org/10.1038/s42256-024-00976-7</t>
  </si>
  <si>
    <t>Large language model uncertainty proxies: discrimination and calibration for medical diagnosis and treatment</t>
  </si>
  <si>
    <t>Thomas Savage</t>
  </si>
  <si>
    <t>Journal of the American Medical Informatics Association</t>
  </si>
  <si>
    <t>W4403362497</t>
  </si>
  <si>
    <t>https://doi.org/10.1093/jamia/ocae254</t>
  </si>
  <si>
    <t>Semantic Uncertainty: Linguistic Invariances for Uncertainty Estimation in Natural Language Generation</t>
  </si>
  <si>
    <t>Lorenz Kuhn</t>
  </si>
  <si>
    <t>ICLR 2023</t>
  </si>
  <si>
    <t>W4321594373</t>
  </si>
  <si>
    <t>https://doi.org/10.48550/arxiv.2302.09664</t>
  </si>
  <si>
    <t>A Systematic Review of Testing and Evaluation of Healthcare Applications of Large Language Models (LLMs)</t>
  </si>
  <si>
    <t>medRxiv</t>
  </si>
  <si>
    <t>W4394890393</t>
  </si>
  <si>
    <t>https://doi.org/10.1101/2024.04.15.24305869</t>
  </si>
  <si>
    <t>Evaluating Large Language Models in Ophthalmology: Systematic Review</t>
  </si>
  <si>
    <t>Zili Zhang</t>
  </si>
  <si>
    <t>Journal of Medical Internet Research</t>
  </si>
  <si>
    <t>Domain-specific application outside finance: ophthalmology</t>
  </si>
  <si>
    <t>W4415594129</t>
  </si>
  <si>
    <t>https://doi.org/10.2196/76947</t>
  </si>
  <si>
    <t>Uncover This Tech Term: Uncertainty Quantification for Deep Learning</t>
  </si>
  <si>
    <t>Shahriar Faghani</t>
  </si>
  <si>
    <t>Korean Journal of Radiology</t>
  </si>
  <si>
    <t>W4394760065</t>
  </si>
  <si>
    <t>https://doi.org/10.3348/kjr.2024.0108</t>
  </si>
  <si>
    <t>Don’t Go To Extremes: Revealing the Excessive Sensitivity and Calibration Limitations of LLMs in Implicit Hate Speech Detection</t>
  </si>
  <si>
    <t>Min Zhang</t>
  </si>
  <si>
    <t>ACL 2024 (Long Papers)</t>
  </si>
  <si>
    <t>W4402672036</t>
  </si>
  <si>
    <t>https://doi.org/10.18653/v1/2024.acl-long.652</t>
  </si>
  <si>
    <t>Calibration in Deep Learning: A Survey of the State-of-the-Art</t>
  </si>
  <si>
    <t>Cheng Wang</t>
  </si>
  <si>
    <t>arXiv preprint (2023, revised 2025); no peer-reviewed version found</t>
  </si>
  <si>
    <t>W4385965153</t>
  </si>
  <si>
    <t>https://doi.org/10.48550/arxiv.2308.01222</t>
  </si>
  <si>
    <t>DermaGPT a federated multimodal framework with a meta learned trust function for interpretable dermatology diagnostics</t>
  </si>
  <si>
    <t>Nastaran Mehrabi Hashjin</t>
  </si>
  <si>
    <t>Domain-specific application outside finance: dermatology</t>
  </si>
  <si>
    <t>W7128304908</t>
  </si>
  <si>
    <t>https://doi.org/10.1038/s41598-026-38715-0</t>
  </si>
  <si>
    <t>Exploring Large Language Models for Multi-Modal Out-of-Distribution Detection</t>
  </si>
  <si>
    <t>Yi Qi Dai</t>
  </si>
  <si>
    <t>Non-text modality: multimodal OOD detection</t>
  </si>
  <si>
    <t>W4389519987</t>
  </si>
  <si>
    <t>https://doi.org/10.18653/v1/2023.findings-emnlp.351</t>
  </si>
  <si>
    <t>LLMs for legal reasoning: A unified framework and future perspectives</t>
  </si>
  <si>
    <t>Ha-Thanh Nguyen</t>
  </si>
  <si>
    <t>Computer law &amp; security review</t>
  </si>
  <si>
    <t>Off-topic: legal reasoning</t>
  </si>
  <si>
    <t>W4412749698</t>
  </si>
  <si>
    <t>https://doi.org/10.1016/j.clsr.2025.106165</t>
  </si>
  <si>
    <t>An evaluation of estimative uncertainty in large language models</t>
  </si>
  <si>
    <t>Zhisheng Tang</t>
  </si>
  <si>
    <t>npj Complexity 3</t>
  </si>
  <si>
    <t>W7127044017</t>
  </si>
  <si>
    <t>https://doi.org/10.1038/s44260-026-00070-6</t>
  </si>
  <si>
    <t>SaySelf: Teaching LLMs to Express Confidence with Self-Reflective Rationales</t>
  </si>
  <si>
    <t>Tianyang Xu</t>
  </si>
  <si>
    <t>EMNLP 2024 (Main)</t>
  </si>
  <si>
    <t>W4404782957</t>
  </si>
  <si>
    <t>https://doi.org/10.18653/v1/2024.emnlp-main.343</t>
  </si>
  <si>
    <t>Uncertainty estimation in diagnosis generation from large language models: next-word probability is not pre-test probability</t>
  </si>
  <si>
    <t>Yanjun Gao</t>
  </si>
  <si>
    <t>JAMIA Open</t>
  </si>
  <si>
    <t>W4406256654</t>
  </si>
  <si>
    <t>https://doi.org/10.1093/jamiaopen/ooae154</t>
  </si>
  <si>
    <t>SPUQ: Perturbation-Based Uncertainty Quantification for Large Language Models</t>
  </si>
  <si>
    <t>Xiang Gao</t>
  </si>
  <si>
    <t>EACL 2024 (Long Papers)</t>
  </si>
  <si>
    <t>W4411630066</t>
  </si>
  <si>
    <t>https://doi.org/10.18653/v1/2024.eacl-long.143</t>
  </si>
  <si>
    <t>Large Language Model Uncertainty Measurement and Calibration for Medical Diagnosis and Treatment</t>
  </si>
  <si>
    <t>W4399423107</t>
  </si>
  <si>
    <t>https://doi.org/10.1101/2024.06.06.24308399</t>
  </si>
  <si>
    <t>A Taxonomy of Epistemic Failure Modes in Large Language Models</t>
  </si>
  <si>
    <t>Rolando Bosch Rodriguez</t>
  </si>
  <si>
    <t>Zenodo</t>
  </si>
  <si>
    <t>Not a research study: taxonomy on Zenodo</t>
  </si>
  <si>
    <t>W7136127232</t>
  </si>
  <si>
    <t>https://doi.org/10.5281/zenodo.19042468</t>
  </si>
  <si>
    <t>Aligning with Human Judgement: The Role of Pairwise Preference in Large Language Model Evaluators</t>
  </si>
  <si>
    <t>Yinhong Liu</t>
  </si>
  <si>
    <t>Off-topic: LLM evaluators</t>
  </si>
  <si>
    <t>W4393247764</t>
  </si>
  <si>
    <t>https://doi.org/10.48550/arxiv.2403.16950</t>
  </si>
  <si>
    <t>Calibrating the Confidence of Large Language Models by Eliciting Fidelity</t>
  </si>
  <si>
    <t>Mozhi Zhang</t>
  </si>
  <si>
    <t>W4404782672</t>
  </si>
  <si>
    <t>https://doi.org/10.18653/v1/2024.emnlp-main.173</t>
  </si>
  <si>
    <t>Large Language Models Must Be Taught to Know What They Don’t Know</t>
  </si>
  <si>
    <t>Sanyam Kapoor</t>
  </si>
  <si>
    <t>NeurIPS 2024</t>
  </si>
  <si>
    <t>W4415796703</t>
  </si>
  <si>
    <t>https://doi.org/10.52202/079017-2729</t>
  </si>
  <si>
    <t>LightGBM: A Highly Efficient Gradient Boosting Decision Tree</t>
  </si>
  <si>
    <t>Guolin Ke</t>
  </si>
  <si>
    <t>OpenAlex: M3-07</t>
  </si>
  <si>
    <t>W2768348081</t>
  </si>
  <si>
    <t>https://hal.science/hal-03953007</t>
  </si>
  <si>
    <t>CatBoost for big data: an interdisciplinary review</t>
  </si>
  <si>
    <t>John Hancock</t>
  </si>
  <si>
    <t>Journal of Big Data 7</t>
  </si>
  <si>
    <t>W3094948551</t>
  </si>
  <si>
    <t>https://doi.org/10.1186/s40537-020-00369-8</t>
  </si>
  <si>
    <t>Explanation of machine learning models using shapley additive explanation and application for real data in hospital</t>
  </si>
  <si>
    <t>Yasunobu Nohara</t>
  </si>
  <si>
    <t>Computer Methods and Programs in Biomedicine</t>
  </si>
  <si>
    <t>Domain-specific application outside finance: hospital data</t>
  </si>
  <si>
    <t>W3139236016</t>
  </si>
  <si>
    <t>https://doi.org/10.1016/j.cmpb.2021.106584</t>
  </si>
  <si>
    <t>Accurate predictions on small data with a tabular foundation model</t>
  </si>
  <si>
    <t>Noah Hollmann</t>
  </si>
  <si>
    <t>Nature 637</t>
  </si>
  <si>
    <t>W4406170795</t>
  </si>
  <si>
    <t>https://doi.org/10.1038/s41586-024-08328-6</t>
  </si>
  <si>
    <t>Discovering biomarkers associated and predicting cardiovascular disease with high accuracy using a novel nexus of machine learning techniques for precision medicine</t>
  </si>
  <si>
    <t>William DeGroat</t>
  </si>
  <si>
    <t>Domain-specific application outside finance: cardiology</t>
  </si>
  <si>
    <t>W4390506881</t>
  </si>
  <si>
    <t>https://doi.org/10.1038/s41598-023-50600-8</t>
  </si>
  <si>
    <t>Feature selection based on artificial bee colony and gradient boosting decision tree</t>
  </si>
  <si>
    <t>Haidi Rao</t>
  </si>
  <si>
    <t>Applied Soft Computing</t>
  </si>
  <si>
    <t>Off-topic: feature selection</t>
  </si>
  <si>
    <t>W2899750879</t>
  </si>
  <si>
    <t>https://doi.org/10.1016/j.asoc.2018.10.036</t>
  </si>
  <si>
    <t>Approximating XGBoost with an interpretable decision tree</t>
  </si>
  <si>
    <t>Omer Sagi</t>
  </si>
  <si>
    <t>Information Sciences</t>
  </si>
  <si>
    <t>Off-topic: tree interpretability</t>
  </si>
  <si>
    <t>W3169203486</t>
  </si>
  <si>
    <t>https://doi.org/10.1016/j.ins.2021.05.055</t>
  </si>
  <si>
    <t>Evaluation of SVM, ELM and four tree-based ensemble models for predicting daily reference evapotranspiration using limited meteorological data in different climates of China</t>
  </si>
  <si>
    <t>Junliang Fan</t>
  </si>
  <si>
    <t>Agricultural and Forest Meteorology</t>
  </si>
  <si>
    <t>Off-topic: hydrology</t>
  </si>
  <si>
    <t>W2889246260</t>
  </si>
  <si>
    <t>https://doi.org/10.1016/j.agrformet.2018.08.019</t>
  </si>
  <si>
    <t>Emergency department triage prediction of clinical outcomes using machine learning models</t>
  </si>
  <si>
    <t>Yoshihiko Raita</t>
  </si>
  <si>
    <t>Critical Care</t>
  </si>
  <si>
    <t>Domain-specific application outside finance: emergency triage</t>
  </si>
  <si>
    <t>W2929110666</t>
  </si>
  <si>
    <t>https://doi.org/10.1186/s13054-019-2351-7</t>
  </si>
  <si>
    <t>A novel cryptocurrency price trend forecasting model based on LightGBM</t>
  </si>
  <si>
    <t>Xiaolei Sun</t>
  </si>
  <si>
    <t>Finance research letters</t>
  </si>
  <si>
    <t>Off-topic: cryptocurrency forecasting</t>
  </si>
  <si>
    <t>W2906922093</t>
  </si>
  <si>
    <t>https://doi.org/10.1016/j.frl.2018.12.032</t>
  </si>
  <si>
    <t>Predicting Hard Rock Pillar Stability Using GBDT, XGBoost, and LightGBM Algorithms</t>
  </si>
  <si>
    <t>Weizhang Liang</t>
  </si>
  <si>
    <t>Mathematics</t>
  </si>
  <si>
    <t>Off-topic: mining</t>
  </si>
  <si>
    <t>W3023943971</t>
  </si>
  <si>
    <t>https://doi.org/10.3390/math8050765</t>
  </si>
  <si>
    <t>Applying gradient boosting decision trees to examine non-linear effects of the built environment on driving distance in Oslo</t>
  </si>
  <si>
    <t>Chuan Ding</t>
  </si>
  <si>
    <t>Transportation Research Part A Policy and Practice</t>
  </si>
  <si>
    <t>Off-topic: transport</t>
  </si>
  <si>
    <t>W2789394811</t>
  </si>
  <si>
    <t>https://doi.org/10.1016/j.tra.2018.02.009</t>
  </si>
  <si>
    <t>Revisiting Deep Learning Models for Tabular Data</t>
  </si>
  <si>
    <t>Yury Gorishniy</t>
  </si>
  <si>
    <t>W3174082502</t>
  </si>
  <si>
    <t>https://doi.org/10.48550/arxiv.2106.11959</t>
  </si>
  <si>
    <t>Applied Machine Learning for Prediction of CO 2 Adsorption on Biomass Waste-Derived Porous Carbons</t>
  </si>
  <si>
    <t>Xiangzhou Yuan</t>
  </si>
  <si>
    <t>Environmental Science &amp; Technology</t>
  </si>
  <si>
    <t>W3186570958</t>
  </si>
  <si>
    <t>https://doi.org/10.1021/acs.est.1c01849</t>
  </si>
  <si>
    <t>CatBoost model and artificial intelligence techniques for corporate failure prediction</t>
  </si>
  <si>
    <t>Sami Ben Jabeur</t>
  </si>
  <si>
    <t>Technological Forecasting and Social Change</t>
  </si>
  <si>
    <t>Off-topic: corporate failure prediction</t>
  </si>
  <si>
    <t>W3126720980</t>
  </si>
  <si>
    <t>https://doi.org/10.1016/j.techfore.2021.120658</t>
  </si>
  <si>
    <t>A Survey of Decision Trees: Concepts, Algorithms, and Applications</t>
  </si>
  <si>
    <t>Ibomoiye Domor Mienye</t>
  </si>
  <si>
    <t>IEEE Access 12</t>
  </si>
  <si>
    <t>W4399800820</t>
  </si>
  <si>
    <t>https://doi.org/10.1109/access.2024.3416838</t>
  </si>
  <si>
    <t>Machine learning based early warning system enables accurate mortality risk prediction for COVID-19</t>
  </si>
  <si>
    <t>Yue Gao</t>
  </si>
  <si>
    <t>Domain-specific application outside finance: COVID-19</t>
  </si>
  <si>
    <t>W3092284106</t>
  </si>
  <si>
    <t>https://doi.org/10.1038/s41467-020-18684-2</t>
  </si>
  <si>
    <t>Variable Importance Plots—An Introduction to the vip Package</t>
  </si>
  <si>
    <t>M. Greenwell Brandon</t>
  </si>
  <si>
    <t>The R Journal</t>
  </si>
  <si>
    <t>Not a research study: R package</t>
  </si>
  <si>
    <t>W3091942970</t>
  </si>
  <si>
    <t>https://doi.org/10.32614/rj-2020-013</t>
  </si>
  <si>
    <t>EMBER: An Open Dataset for Training Static PE Malware Machine Learning Models</t>
  </si>
  <si>
    <t>Hyrum S. Anderson</t>
  </si>
  <si>
    <t>Off-topic: malware dataset</t>
  </si>
  <si>
    <t>W2798159728</t>
  </si>
  <si>
    <t>https://doi.org/10.48550/arxiv.1804.04637</t>
  </si>
  <si>
    <t>Adversarial Robustness Toolbox v1.0.0</t>
  </si>
  <si>
    <t>Maria-Irina Nicolae</t>
  </si>
  <si>
    <t>Not a research study: software toolbox</t>
  </si>
  <si>
    <t>W2810408730</t>
  </si>
  <si>
    <t>https://doi.org/10.48550/arxiv.1807.01069</t>
  </si>
  <si>
    <t>How does the station-area built environment influence Metrorail ridership? Using gradient boosting decision trees to identify non-linear thresholds</t>
  </si>
  <si>
    <t>Journal of Transport Geography</t>
  </si>
  <si>
    <t>W2943360680</t>
  </si>
  <si>
    <t>https://doi.org/10.1016/j.jtrangeo.2019.04.011</t>
  </si>
  <si>
    <t>Predicting Heavy Metal Adsorption on Soil with Machine Learning and Mapping Global Distribution of Soil Adsorption Capacities</t>
  </si>
  <si>
    <t>Hongrui Yang</t>
  </si>
  <si>
    <t>Off-topic: soil science</t>
  </si>
  <si>
    <t>W3201847245</t>
  </si>
  <si>
    <t>https://doi.org/10.1021/acs.est.1c02479</t>
  </si>
  <si>
    <t>Machine Learning–Based Prediction of Clinical Outcomes for Children During Emergency Department Triage</t>
  </si>
  <si>
    <t>Tadahiro Goto</t>
  </si>
  <si>
    <t>JAMA Network Open</t>
  </si>
  <si>
    <t>W2909953525</t>
  </si>
  <si>
    <t>https://doi.org/10.1001/jamanetworkopen.2018.6937</t>
  </si>
  <si>
    <t>Nonlinear and synergistic effects of TOD on urban vibrancy: Applying local explanations for gradient boosting decision tree</t>
  </si>
  <si>
    <t>Longzhu Xiao</t>
  </si>
  <si>
    <t>Sustainable Cities and Society</t>
  </si>
  <si>
    <t>Off-topic: urban studies</t>
  </si>
  <si>
    <t>W3168525722</t>
  </si>
  <si>
    <t>https://doi.org/10.1016/j.scs.2021.103063</t>
  </si>
  <si>
    <t>Real-time prediction of rock mass classification based on TBM operation big data and stacking technique of ensemble learning</t>
  </si>
  <si>
    <t>Shaokang Hou</t>
  </si>
  <si>
    <t>Journal of Rock Mechanics and Geotechnical Engineering</t>
  </si>
  <si>
    <t>Off-topic: geotechnics</t>
  </si>
  <si>
    <t>W3180432165</t>
  </si>
  <si>
    <t>https://doi.org/10.1016/j.jrmge.2021.05.004</t>
  </si>
  <si>
    <t>Autonomous travel decision-making: An early glimpse into ChatGPT and generative AI</t>
  </si>
  <si>
    <t>IpKin Anthony Wong</t>
  </si>
  <si>
    <t>Journal of Hospitality and Tourism Management</t>
  </si>
  <si>
    <t>OpenAlex: M3-08</t>
  </si>
  <si>
    <t>Off-topic: tourism</t>
  </si>
  <si>
    <t>W4383812952</t>
  </si>
  <si>
    <t>https://doi.org/10.1016/j.jhtm.2023.06.022</t>
  </si>
  <si>
    <t>MoE-LLaVA: Mixture of Experts for Large Vision-Language Models</t>
  </si>
  <si>
    <t>Bin Lin</t>
  </si>
  <si>
    <t>IEEE Transactions on Multimedia</t>
  </si>
  <si>
    <t>Non-text modality: vision-language models</t>
  </si>
  <si>
    <t>W7124471359</t>
  </si>
  <si>
    <t>https://doi.org/10.1109/tmm.2026.3654458</t>
  </si>
  <si>
    <t>Demystifying ChatGPT: An In-depth Survey of OpenAI’s Robust Large Language Models</t>
  </si>
  <si>
    <t>Pronaya Bhattacharya</t>
  </si>
  <si>
    <t>Archives of Computational Methods in Engineering</t>
  </si>
  <si>
    <t>Off-topic: ChatGPT overview</t>
  </si>
  <si>
    <t>W4399770196</t>
  </si>
  <si>
    <t>https://doi.org/10.1007/s11831-024-10115-5</t>
  </si>
  <si>
    <t>FrugalGPT: How to Use Large Language Models While Reducing Cost and Improving Performance</t>
  </si>
  <si>
    <t>Lingjiao Chen</t>
  </si>
  <si>
    <t>arXiv preprint (2023); no peer-reviewed version found (TMLR and OpenReview searched); kept as background in sheet 06</t>
  </si>
  <si>
    <t>W4376122773</t>
  </si>
  <si>
    <t>https://doi.org/10.48550/arxiv.2305.05176</t>
  </si>
  <si>
    <t>Retrieval Augmented Generation or Long-Context LLMs? A Comprehensive Study and Hybrid Approach</t>
  </si>
  <si>
    <t>Zhuowan Li</t>
  </si>
  <si>
    <t>EMNLP 2024 (Industry Track)</t>
  </si>
  <si>
    <t>W4404783788</t>
  </si>
  <si>
    <t>https://doi.org/10.18653/v1/2024.emnlp-industry.66</t>
  </si>
  <si>
    <t>Secrets of RLHF in Large Language Models Part I: PPO</t>
  </si>
  <si>
    <t>Rui Zheng</t>
  </si>
  <si>
    <t>Off-topic: RLHF</t>
  </si>
  <si>
    <t>W4384111857</t>
  </si>
  <si>
    <t>https://doi.org/10.48550/arxiv.2307.04964</t>
  </si>
  <si>
    <t>Agentic Large Language Models for day-to-day route choices</t>
  </si>
  <si>
    <t>Leizhen Wang</t>
  </si>
  <si>
    <t>Transportation Research Part C Emerging Technologies</t>
  </si>
  <si>
    <t>Off-topic: transport routes</t>
  </si>
  <si>
    <t>W4414040315</t>
  </si>
  <si>
    <t>https://doi.org/10.1016/j.trc.2025.105307</t>
  </si>
  <si>
    <t>Enhancing Last-Mile Logistics: AI-Driven Fleet Optimization, Mixed Reality, and Large Language Model Assistants for Warehouse Operations</t>
  </si>
  <si>
    <t>Saverio Ieva</t>
  </si>
  <si>
    <t>Sensors</t>
  </si>
  <si>
    <t>Off-topic: logistics</t>
  </si>
  <si>
    <t>W4409767172</t>
  </si>
  <si>
    <t>https://doi.org/10.3390/s25092696</t>
  </si>
  <si>
    <t>Asynchronous Large Language Model Enhanced Planner for Autonomous Driving</t>
  </si>
  <si>
    <t>Yuan Chen</t>
  </si>
  <si>
    <t>Off-topic: autonomous driving</t>
  </si>
  <si>
    <t>W4403706044</t>
  </si>
  <si>
    <t>https://doi.org/10.1007/978-3-031-72764-1_2</t>
  </si>
  <si>
    <t>Is a Question Decomposition Unit All We Need?</t>
  </si>
  <si>
    <t>Pruthvi Patel</t>
  </si>
  <si>
    <t>Off-topic: question decomposition</t>
  </si>
  <si>
    <t>W4385572980</t>
  </si>
  <si>
    <t>https://doi.org/10.18653/v1/2022.emnlp-main.302</t>
  </si>
  <si>
    <t>RankMixer: Scaling Up Ranking Models in Industrial Recommenders</t>
  </si>
  <si>
    <t>Jie Zhu</t>
  </si>
  <si>
    <t>ACM International Conference on Information and Knowledge Management (CIKM)</t>
  </si>
  <si>
    <t>W4416018017</t>
  </si>
  <si>
    <t>https://doi.org/10.1145/3746252.3761507</t>
  </si>
  <si>
    <t>General-purpose pre-trained large cellular models for single-cell transcriptomics</t>
  </si>
  <si>
    <t>Haiyang Bian</t>
  </si>
  <si>
    <t>National Science Review</t>
  </si>
  <si>
    <t>Off-topic: biology</t>
  </si>
  <si>
    <t>W4402823926</t>
  </si>
  <si>
    <t>https://doi.org/10.1093/nsr/nwae340</t>
  </si>
  <si>
    <t>AutoMix: Automatically Mixing Language Models</t>
  </si>
  <si>
    <t>Pranjal Aggarwal</t>
  </si>
  <si>
    <t>W4415800788</t>
  </si>
  <si>
    <t>https://doi.org/10.52202/079017-4164</t>
  </si>
  <si>
    <t>The Potential Application of Large Language Models in Pharmaceutical Supply Chain Management</t>
  </si>
  <si>
    <t>David Aguero</t>
  </si>
  <si>
    <t>The Journal of Pediatric Pharmacology and Therapeutics</t>
  </si>
  <si>
    <t>Domain-specific application outside finance: pharmacy supply chain</t>
  </si>
  <si>
    <t>W4394581225</t>
  </si>
  <si>
    <t>https://doi.org/10.5863/1551-6776-29.2.200</t>
  </si>
  <si>
    <t>Multi-Objective Scheduling for Large Language Model Inference with Prompt-Level Cost Prediction and SLO Awareness</t>
  </si>
  <si>
    <t>Jiajing Liao</t>
  </si>
  <si>
    <t>Off-topic: inference scheduling</t>
  </si>
  <si>
    <t>W7160863705</t>
  </si>
  <si>
    <t>https://doi.org/10.1109/cisce69494.2026.11504731</t>
  </si>
  <si>
    <t>RouteLLM: Learning to Route LLMs with Preference Data</t>
  </si>
  <si>
    <t>Isaac Ong</t>
  </si>
  <si>
    <t>ICLR 2025</t>
  </si>
  <si>
    <t>W4400141368</t>
  </si>
  <si>
    <t>https://doi.org/10.48550/arxiv.2406.18665</t>
  </si>
  <si>
    <t>OpenMoE: An Early Effort on Open Mixture-of-Experts Language Models</t>
  </si>
  <si>
    <t>Fuzhao Xue</t>
  </si>
  <si>
    <t>Off-topic: mixture-of-experts model</t>
  </si>
  <si>
    <t>W4391622923</t>
  </si>
  <si>
    <t>https://doi.org/10.48550/arxiv.2402.01739</t>
  </si>
  <si>
    <t>Guiding Retrieval Using LLM-Based Listwise Rankers</t>
  </si>
  <si>
    <t>Mandeep Rathee</t>
  </si>
  <si>
    <t>Off-topic: retrieval ranking</t>
  </si>
  <si>
    <t>W4409167096</t>
  </si>
  <si>
    <t>https://doi.org/10.1007/978-3-031-88708-6_15</t>
  </si>
  <si>
    <t>Hybrid LLM: Cost-Efficient and Quality-Aware Query Routing</t>
  </si>
  <si>
    <t>Dujian Ding</t>
  </si>
  <si>
    <t>W4395443209</t>
  </si>
  <si>
    <t>https://doi.org/10.48550/arxiv.2404.14618</t>
  </si>
  <si>
    <t>Smart Routing for Sustainable Supply Chain Networks: An AI and Knowledge Graph Driven Approach</t>
  </si>
  <si>
    <t>Manuel Felder</t>
  </si>
  <si>
    <t>Applied Sciences</t>
  </si>
  <si>
    <t>Off-topic: supply chains</t>
  </si>
  <si>
    <t>W4413060717</t>
  </si>
  <si>
    <t>https://doi.org/10.3390/app15148001</t>
  </si>
  <si>
    <t>Rethinking VLMs and LLMs for image classification</t>
  </si>
  <si>
    <t>Avi Cooper</t>
  </si>
  <si>
    <t>Non-text modality: image classification</t>
  </si>
  <si>
    <t>W4411023848</t>
  </si>
  <si>
    <t>https://doi.org/10.1038/s41598-025-04384-8</t>
  </si>
  <si>
    <t>Social Conflicts in South Korean Public Construction Projects: Insights Using a Large Language Model</t>
  </si>
  <si>
    <t>Do Namgoong</t>
  </si>
  <si>
    <t>Journal of Management in Engineering</t>
  </si>
  <si>
    <t>Off-topic: construction projects</t>
  </si>
  <si>
    <t>W4410443182</t>
  </si>
  <si>
    <t>https://doi.org/10.1061/jmenea.meeng-6705</t>
  </si>
  <si>
    <t>A Pattern Language for Production LLM Platforms: Governed Routing, Agent Orchestration, and AI-Native Delivery</t>
  </si>
  <si>
    <t>Nabeel Khan</t>
  </si>
  <si>
    <t>Not a research study: pattern catalogue on Zenodo</t>
  </si>
  <si>
    <t>W7204259649</t>
  </si>
  <si>
    <t>https://doi.org/10.5281/zenodo.22109864</t>
  </si>
  <si>
    <t>Collaborative Inference and Learning between Edge SLMs and Cloud LLMs: A Survey of Algorithms, Execution, and Open Challenges</t>
  </si>
  <si>
    <t>Senyang Li</t>
  </si>
  <si>
    <t>ACM Computing Surveys</t>
  </si>
  <si>
    <t>W4417440855</t>
  </si>
  <si>
    <t>https://doi.org/10.1145/3838593</t>
  </si>
  <si>
    <t>Domain-augmented large language models for automated root cause classification of offshore process incidents</t>
  </si>
  <si>
    <t>Haoyu Yang</t>
  </si>
  <si>
    <t>Journal of Loss Prevention in the Process Industries</t>
  </si>
  <si>
    <t>Off-topic: process safety</t>
  </si>
  <si>
    <t>W4416253810</t>
  </si>
  <si>
    <t>https://doi.org/10.1016/j.jlp.2025.105845</t>
  </si>
  <si>
    <t>Learn then Test: Calibrating Predictive Algorithms to Achieve Risk Control</t>
  </si>
  <si>
    <t>A. Angelopoulos</t>
  </si>
  <si>
    <t>Annals of Applied Statistics 19(2)</t>
  </si>
  <si>
    <t>Citation chasing; located with OpenAlex title lookup CC-01</t>
  </si>
  <si>
    <t>Citation chasing</t>
  </si>
  <si>
    <t>Backward: cited by Whitehead 2022, CRC, Bhatnagar 2023. Title and abstract judged relevant before retrieval</t>
  </si>
  <si>
    <t>https://doi.org/10.1214/24-AOAS1998</t>
  </si>
  <si>
    <t>Distribution-Free, Risk-Controlling Prediction Sets</t>
  </si>
  <si>
    <t>S. Bates</t>
  </si>
  <si>
    <t>Journal of the ACM 68(6)</t>
  </si>
  <si>
    <t>Citation chasing; located with OpenAlex M1-08 (record already retrieved by the Detection search)</t>
  </si>
  <si>
    <t>Backward: cited by CRC, Angelopoulos 2023b (PID), Bhatnagar 2023. Title and abstract judged relevant before retrieval</t>
  </si>
  <si>
    <t>https://doi.org/10.1145/3478535</t>
  </si>
  <si>
    <t>Conformal Alignment: Knowing When to Trust Foundation Models with Guarantees</t>
  </si>
  <si>
    <t>Y. Gui</t>
  </si>
  <si>
    <t>Citation chasing; located with OpenAlex title lookup CD-02</t>
  </si>
  <si>
    <t>Forward: cites Kuhn 2023 (included). Title and abstract judged relevant before retrieval</t>
  </si>
  <si>
    <t>https://arxiv.org/pdf/2405.10301</t>
  </si>
  <si>
    <t>Selection by Prediction with Conformal p-values</t>
  </si>
  <si>
    <t>Y. Jin</t>
  </si>
  <si>
    <t>JMLR 24</t>
  </si>
  <si>
    <t>Forward: cites Tibshirani 2019 (included); also cited by Gui 2024. Title and abstract judged relevant before retrieval</t>
  </si>
  <si>
    <t>https://jmlr.org/papers/v24/22-1176.html</t>
  </si>
  <si>
    <t>Calibrated Language Models Must Hallucinate</t>
  </si>
  <si>
    <t>A. Kalai</t>
  </si>
  <si>
    <t>ACM STOC 2024</t>
  </si>
  <si>
    <t>Backward: cited by Kalai 2026. Title and abstract judged relevant before retrieval</t>
  </si>
  <si>
    <t>https://doi.org/10.1145/3618260.3649777</t>
  </si>
  <si>
    <t>Language Models with Conformal Factuality Guarantees</t>
  </si>
  <si>
    <t>C. Mohri</t>
  </si>
  <si>
    <t>ICML 2024 (PMLR 235)</t>
  </si>
  <si>
    <t>Forward: cites CRC (included); also cited by Gui 2024. Title and abstract judged relevant before retrieval</t>
  </si>
  <si>
    <t>https://arxiv.org/pdf/2402.10978</t>
  </si>
  <si>
    <t>TabICL: A Tabular Foundation Model for In-Context Learning on Large Data</t>
  </si>
  <si>
    <t>J. Qu</t>
  </si>
  <si>
    <t>ICML 2025 (PMLR 267)</t>
  </si>
  <si>
    <t>Forward: cites TabPFN and LightGBM (included). Title and abstract judged relevant before retrieval</t>
  </si>
  <si>
    <t>https://arxiv.org/pdf/2502.05564</t>
  </si>
  <si>
    <t>Conformal Language Modeling</t>
  </si>
  <si>
    <t>V. Quach</t>
  </si>
  <si>
    <t>Backward: cited by Liu 2025 (UQ survey) and Ren 2023. Title and abstract judged relevant before retrieval</t>
  </si>
  <si>
    <t>https://arxiv.org/pdf/2306.10193</t>
  </si>
  <si>
    <t>03 - Extraction matrix: Decision policy (included studies)</t>
  </si>
  <si>
    <t>One row per included study, ordered by subtopic. Every figure is taken from the paper itself; 'Limitations / gap' records what the authors state (or 'No limitations section' when they state none). Column O links back to the screening log.</t>
  </si>
  <si>
    <t>Citation (Author, Year)</t>
  </si>
  <si>
    <t>Study type</t>
  </si>
  <si>
    <t>Research focus</t>
  </si>
  <si>
    <t>Data / evaluation setting</t>
  </si>
  <si>
    <t>Method / model</t>
  </si>
  <si>
    <t>Dataset, metrics and key results</t>
  </si>
  <si>
    <t>Limitations / gap stated by authors</t>
  </si>
  <si>
    <t>Member subtopic</t>
  </si>
  <si>
    <t>Free full-text URL</t>
  </si>
  <si>
    <t>Free-access route</t>
  </si>
  <si>
    <t>Screening log #</t>
  </si>
  <si>
    <t>Geifman &amp; El-Yaniv, 2017</t>
  </si>
  <si>
    <t>Method (selective classification)</t>
  </si>
  <si>
    <t>Turning a trained network into a selective classifier with a guaranteed risk</t>
  </si>
  <si>
    <t>CIFAR-10, CIFAR-100 and ImageNet</t>
  </si>
  <si>
    <t>Selection with guaranteed risk: binary search for a confidence threshold with a high-probability risk bound</t>
  </si>
  <si>
    <t>2% top-5 ImageNet error guaranteed with 99.9% probability at almost 60% coverage</t>
  </si>
  <si>
    <t>Guarantee assumes i.i.d. data from the training distribution</t>
  </si>
  <si>
    <t>https://arxiv.org/pdf/1705.08500</t>
  </si>
  <si>
    <t>arXiv author version of the NeurIPS paper</t>
  </si>
  <si>
    <t>Gao et al., 2019</t>
  </si>
  <si>
    <t>Method (reject option)</t>
  </si>
  <si>
    <t>Reliability scores for rejecting predictions in high-stakes settings</t>
  </si>
  <si>
    <t>CIFAR-10 and SVHN</t>
  </si>
  <si>
    <t>GALVE: generative adversarial learning with variance expansion to estimate where the model generalises</t>
  </si>
  <si>
    <t>Error rate on accepted predictions less than half that of plain confidence thresholds</t>
  </si>
  <si>
    <t>Presented as an exploratory solution; image tasks only</t>
  </si>
  <si>
    <t>https://ojs.aaai.org/index.php/AAAI/article/view/4242</t>
  </si>
  <si>
    <t>AAAI open-access proceedings</t>
  </si>
  <si>
    <t>Geifman &amp; El-Yaniv, 2019</t>
  </si>
  <si>
    <t>Method (selective prediction)</t>
  </si>
  <si>
    <t>Training a network jointly for prediction and for when to abstain</t>
  </si>
  <si>
    <t>Image classification and regression benchmarks at target coverages</t>
  </si>
  <si>
    <t>SelectiveNet: prediction, selection and auxiliary heads trained end-to-end for a target coverage</t>
  </si>
  <si>
    <t>Consistently better risk-coverage trade-off than confidence-threshold rejection</t>
  </si>
  <si>
    <t>No limitations section; each model is trained for one target coverage</t>
  </si>
  <si>
    <t>https://proceedings.mlr.press/v97/geifman19a/geifman19a.pdf</t>
  </si>
  <si>
    <t>PMLR (open access); found as arXiv record, peer-reviewed version assessed</t>
  </si>
  <si>
    <t>Liu et al., 2019</t>
  </si>
  <si>
    <t>Learning to abstain end-to-end with an extra 'abstain' class</t>
  </si>
  <si>
    <t>SVHN and CIFAR-10 at several coverage levels (MNIST for representation analysis)</t>
  </si>
  <si>
    <t>Deep Gamblers: (m+1)-class loss from portfolio theory (doubling rate of gambling)</t>
  </si>
  <si>
    <t>Competitive with the state of the art (SelectiveNet) and better than the runner-up, with almost no change to model or inference</t>
  </si>
  <si>
    <t>No limitations section; evaluated on vision benchmarks</t>
  </si>
  <si>
    <t>https://arxiv.org/pdf/1907.00208</t>
  </si>
  <si>
    <t>arXiv author version (camera-ready)</t>
  </si>
  <si>
    <t>Kamath et al., 2020</t>
  </si>
  <si>
    <t>Method and setting (selective QA)</t>
  </si>
  <si>
    <t>When a QA model should abstain under domain shift</t>
  </si>
  <si>
    <t>SQuAD-trained model tested on mixtures of SQuAD and five other QA datasets</t>
  </si>
  <si>
    <t>A calibrator trained on held-out data predicts when the QA model is wrong</t>
  </si>
  <si>
    <t>Answers 56% of questions at 80% accuracy, versus 48% using the model's softmax probabilities (MaxProb)</t>
  </si>
  <si>
    <t>Softmax probabilities are unreliable out of domain; the calibrator itself must be trained on extra data</t>
  </si>
  <si>
    <t>https://aclanthology.org/2020.acl-main.503.pdf</t>
  </si>
  <si>
    <t>ACL Anthology (open access)</t>
  </si>
  <si>
    <t>Shah &amp; Manwani, 2020</t>
  </si>
  <si>
    <t>Method (reject-option learning)</t>
  </si>
  <si>
    <t>Learning reject-option classifiers with fewer labels</t>
  </si>
  <si>
    <t>Benchmark binary classification datasets (e.g. Phishing, Guide)</t>
  </si>
  <si>
    <t>Online active learning with double ramp loss (DRAL) and double sigmoid loss (DSAL)</t>
  </si>
  <si>
    <t>Mistake bounds and convergence guarantees; fewer labels needed for similar performance</t>
  </si>
  <si>
    <t>No limitations section; linear and kernel classifiers only</t>
  </si>
  <si>
    <t>https://ojs.aaai.org/index.php/AAAI/article/download/6019/5875</t>
  </si>
  <si>
    <t>Whitehead et al., 2022</t>
  </si>
  <si>
    <t>Problem formulation and method</t>
  </si>
  <si>
    <t>Visual QA models that abstain rather than answer incorrectly</t>
  </si>
  <si>
    <t>VQA v2 with risk-coverage evaluation at low risk levels</t>
  </si>
  <si>
    <t>Learned selection function on model features; Effective Reliability metric</t>
  </si>
  <si>
    <t>Coverage at 1% risk rises from 6.8% to 15.6% with a learned selector</t>
  </si>
  <si>
    <t>Models still answer few questions at very low risk</t>
  </si>
  <si>
    <t>https://arxiv.org/pdf/2204.13631</t>
  </si>
  <si>
    <t>arXiv author version of the ECCV paper</t>
  </si>
  <si>
    <t>Dancette et al., 2023</t>
  </si>
  <si>
    <t>Abstaining in visual QA when inputs mix in-distribution and out-of-distribution questions</t>
  </si>
  <si>
    <t>VQA with mixed ID and OOD data, evaluated at low risk levels (e.g. 1%)</t>
  </si>
  <si>
    <t>Learning from Your Peers: selector trained on predictions of models fitted to other data subsets, so it can use all training data</t>
  </si>
  <si>
    <t>Off-the-shelf VQA models largely fail at 1% risk; LYP improves abstention in ID and mixed ID+OOD settings</t>
  </si>
  <si>
    <t>Earlier selector training needed a data split between model and selector, which LYP removes</t>
  </si>
  <si>
    <t>https://arxiv.org/pdf/2306.08751</t>
  </si>
  <si>
    <t>arXiv author version of the CVPR paper</t>
  </si>
  <si>
    <t>Zhu et al., 2023</t>
  </si>
  <si>
    <t>Method (misclassification detection)</t>
  </si>
  <si>
    <t>Better confidence estimates for rejecting misclassified inputs</t>
  </si>
  <si>
    <t>CIFAR-10/100 and other image benchmarks; AURC, AUROC, FPR95</t>
  </si>
  <si>
    <t>OpenMix: learns to reject uncertain pseudo-samples made by mixing outliers with training data</t>
  </si>
  <si>
    <t>Outlier Exposure does not help misclassification detection, while OpenMix improves confidence reliability for both misclassification and OOD</t>
  </si>
  <si>
    <t>No limitations section; image classification only</t>
  </si>
  <si>
    <t>https://arxiv.org/pdf/2303.17093</t>
  </si>
  <si>
    <t>Huang et al., 2025</t>
  </si>
  <si>
    <t>Method (abstention training)</t>
  </si>
  <si>
    <t>Teaching an LLM to abstain on tokens it does not know, to cut hallucinations from fine-tuning on unfamiliar facts</t>
  </si>
  <si>
    <t>Short-form and long-form factual QA</t>
  </si>
  <si>
    <t>SEAL: training objective that shifts probability to a special [REJ] token when knowledge is misaligned; [REJ]-aware search decoding</t>
  </si>
  <si>
    <t>Factuality +8.59% (short-form) and +10.80% (long-form) over the standard MLE objective while keeping instruction following</t>
  </si>
  <si>
    <t>Confidence is modelled by a simple probability ratio; the [REJ]-aware search decoding adds inference cost</t>
  </si>
  <si>
    <t>https://aclanthology.org/2025.acl-long.1199.pdf</t>
  </si>
  <si>
    <t>Kirichenko et al., 2025</t>
  </si>
  <si>
    <t>Benchmark</t>
  </si>
  <si>
    <t>Whether modern (incl. reasoning) LLMs abstain on unanswerable or underspecified questions</t>
  </si>
  <si>
    <t>AbstentionBench: 20 datasets of unanswerable, underspecified, false-premise and stale questions</t>
  </si>
  <si>
    <t>Evaluates many LLMs; recall of abstention under different prompts</t>
  </si>
  <si>
    <t>Reasoning fine-tuning degrades abstention by 24% on average; scaling barely helps</t>
  </si>
  <si>
    <t>English only; possible benchmark leakage; the space of abstention scenarios is broader than covered</t>
  </si>
  <si>
    <t>https://arxiv.org/pdf/2506.09038</t>
  </si>
  <si>
    <t>Wen et al., 2025</t>
  </si>
  <si>
    <t>Survey</t>
  </si>
  <si>
    <t>Abstention in LLMs: methods, benchmarks and metrics</t>
  </si>
  <si>
    <t>Review organised by query, model and human-values perspectives</t>
  </si>
  <si>
    <t>Framework over the LLM life cycle (pre-training, alignment, inference)</t>
  </si>
  <si>
    <t>Abstention can cut hallucination and improve safety but is applied unevenly</t>
  </si>
  <si>
    <t>Future work: abstention as a meta-capability across tasks, more generalisable evaluation, customisation to user needs</t>
  </si>
  <si>
    <t>https://aclanthology.org/2025.tacl-1.26.pdf</t>
  </si>
  <si>
    <t>Kalai et al., 2026</t>
  </si>
  <si>
    <t>Theoretical analysis and position</t>
  </si>
  <si>
    <t>Why language models hallucinate and why training and evaluation keep them guessing</t>
  </si>
  <si>
    <t>Statistical analysis of pre-training and of how benchmarks are graded</t>
  </si>
  <si>
    <t>Reduces generative errors to binary misclassification; analyses binary accuracy-based grading</t>
  </si>
  <si>
    <t>Accuracy-only grading rewards guessing over 'I don't know'; proposes explicit confidence targets in existing benchmarks</t>
  </si>
  <si>
    <t>A socio-technical fix: it depends on changing the scoring of widely used benchmarks rather than on new hallucination tests</t>
  </si>
  <si>
    <t>https://arxiv.org/pdf/2509.04664</t>
  </si>
  <si>
    <t>arXiv author preprint ('Why language models hallucinate') of the Nature article</t>
  </si>
  <si>
    <t>Bates et al., 2021</t>
  </si>
  <si>
    <t>Method (statistical guarantee)</t>
  </si>
  <si>
    <t>Set predictions with a bound on expected loss for any black-box model</t>
  </si>
  <si>
    <t>Vision tasks (classification, segmentation and more)</t>
  </si>
  <si>
    <t>RCPS: calibrate a threshold on held-out data with upper confidence bounds</t>
  </si>
  <si>
    <t>Risk below the chosen level with high probability in finite samples</t>
  </si>
  <si>
    <t>Same-distribution calibration and test data; bounded losses; about 1,000-10,000 calibration points suggested</t>
  </si>
  <si>
    <t>https://arxiv.org/pdf/2101.02703</t>
  </si>
  <si>
    <t>arXiv author version of the journal article</t>
  </si>
  <si>
    <t>Angelopoulos &amp; Bates, 2023</t>
  </si>
  <si>
    <t>Tutorial review</t>
  </si>
  <si>
    <t>Practical introduction to conformal prediction and distribution-free uncertainty</t>
  </si>
  <si>
    <t>Worked examples (classification, regression, risk control, shift)</t>
  </si>
  <si>
    <t>Split conformal recipes, conditional coverage diagnostics, extensions</t>
  </si>
  <si>
    <t>Valid finite-sample sets from any pre-trained model under exchangeability</t>
  </si>
  <si>
    <t>Coverage is marginal, not conditional; roughly 1,000 calibration points are recommended</t>
  </si>
  <si>
    <t>https://arxiv.org/pdf/2107.07511</t>
  </si>
  <si>
    <t>arXiv author version (A Gentle Introduction to Conformal Prediction...)</t>
  </si>
  <si>
    <t>Jin &amp; Candès, 2023</t>
  </si>
  <si>
    <t>Method (conformal selection)</t>
  </si>
  <si>
    <t>Selecting candidates whose unobserved outcome is large, with false-discovery control</t>
  </si>
  <si>
    <t>Simulations; job-hiring and drug-discovery data</t>
  </si>
  <si>
    <t>Conformal p-values for each candidate plus a multiple-testing (BH) threshold</t>
  </si>
  <si>
    <t>Controls the proportion of falsely selected units around any prediction model</t>
  </si>
  <si>
    <t>Relies on exchangeability between calibration and test units</t>
  </si>
  <si>
    <t>JMLR (open access)</t>
  </si>
  <si>
    <t>Angelopoulos et al., 2024</t>
  </si>
  <si>
    <t>Controlling the expected value of any monotone loss</t>
  </si>
  <si>
    <t>Vision and NLP examples (false negative rate, graph distance, token-level F1)</t>
  </si>
  <si>
    <t>Conformal risk control with extensions to shift, quantile, multiple and adversarial risks</t>
  </si>
  <si>
    <t>Guarantee tight up to O(1/n); generalises split conformal prediction</t>
  </si>
  <si>
    <t>Requires exchangeable data and a bounded, monotone loss</t>
  </si>
  <si>
    <t>https://arxiv.org/pdf/2208.02814</t>
  </si>
  <si>
    <t>arXiv author version of the ICLR paper</t>
  </si>
  <si>
    <t>Angelopoulos et al., 2025</t>
  </si>
  <si>
    <t>Choosing parameters so that any risk is controlled, via multiple testing</t>
  </si>
  <si>
    <t>Multi-label classification, selective classification, detection and more</t>
  </si>
  <si>
    <t>Learn then Test: candidate thresholds as hypotheses, concentration-bound p-values, family-wise error control</t>
  </si>
  <si>
    <t>Finite-sample, distribution-free control of general (incl. non-monotone) risks</t>
  </si>
  <si>
    <t>Assumes i.i.d. calibration and test data</t>
  </si>
  <si>
    <t>https://arxiv.org/pdf/2110.01052</t>
  </si>
  <si>
    <t>Ren et al., 2023</t>
  </si>
  <si>
    <t>Method (conformal for LLM planners)</t>
  </si>
  <si>
    <t>LLM planners that know when to ask a human for help</t>
  </si>
  <si>
    <t>Simulated and real robot tasks with ambiguous instructions</t>
  </si>
  <si>
    <t>KnowNo: conformal prediction over the LLM's multiple-choice next-step options; ask when the set has more than one option</t>
  </si>
  <si>
    <t>Statistically guaranteed task success while cutting human help by 10-24% versus baselines</t>
  </si>
  <si>
    <t>Assumes the environment can be fully described in text; marginal guarantee</t>
  </si>
  <si>
    <t>https://proceedings.mlr.press/v229/ren23a/ren23a.pdf</t>
  </si>
  <si>
    <t>Gui et al., 2024</t>
  </si>
  <si>
    <t>Method (conformal selection for LMs)</t>
  </si>
  <si>
    <t>Deciding which foundation-model outputs can be trusted, with false-discovery control</t>
  </si>
  <si>
    <t>Question answering and radiology report generation</t>
  </si>
  <si>
    <t>Conformal Alignment: predict an alignment score from features, select outputs with conformal p-values and FDR control</t>
  </si>
  <si>
    <t>Provable, distribution-free FDR control while selecting many trustworthy outputs; guidance on sample size and features</t>
  </si>
  <si>
    <t>Choice of alignment score in each application remains an open problem</t>
  </si>
  <si>
    <t>Mohri &amp; Hashimoto, 2024</t>
  </si>
  <si>
    <t>Method (conformal for LMs)</t>
  </si>
  <si>
    <t>Correctness guarantees for LM outputs by backing off to safer sub-claims</t>
  </si>
  <si>
    <t>QA and reasoning datasets</t>
  </si>
  <si>
    <t>Conformal factuality: score sub-claims and keep a subset calibrated to a target correctness</t>
  </si>
  <si>
    <t>80-90% correctness guarantees while keeping most useful content</t>
  </si>
  <si>
    <t>Guarantee marginal over calibration and test draws; restricted to the calibration distribution</t>
  </si>
  <si>
    <t>arXiv author version of the ICML paper</t>
  </si>
  <si>
    <t>Quach et al., 2024</t>
  </si>
  <si>
    <t>Prediction sets of LM generations that contain an acceptable answer with high probability</t>
  </si>
  <si>
    <t>Open-domain QA, summarisation and radiology report generation</t>
  </si>
  <si>
    <t>Calibrated stopping rule for sampling plus a rejection rule for low-quality samples (via Learn then Test)</t>
  </si>
  <si>
    <t>Sets contain an admissible response with guaranteed probability while staying small</t>
  </si>
  <si>
    <t>Guarantees are marginal (over calibration and test draws) and need a task-specific admission function</t>
  </si>
  <si>
    <t>Chen et al., 2025</t>
  </si>
  <si>
    <t>Method (abstention with conformal guarantee)</t>
  </si>
  <si>
    <t>Making text-to-SQL abstain or ask the user when schema linking is uncertain</t>
  </si>
  <si>
    <t>BIRD text-to-SQL benchmark</t>
  </si>
  <si>
    <t>Branching Point Prediction: conformal prediction on LLM hidden layers for schema linking; abstain or involve a human</t>
  </si>
  <si>
    <t>Significant gains in robustness and reliability with probabilistic guarantees on schema-linking accuracy</t>
  </si>
  <si>
    <t>Ambiguous column names need user interaction; authors call for an HCI framework to improve question interpretability</t>
  </si>
  <si>
    <t>https://arxiv.org/pdf/2501.10858</t>
  </si>
  <si>
    <t>Kuhn et al., 2023</t>
  </si>
  <si>
    <t>Method (uncertainty for LLMs)</t>
  </si>
  <si>
    <t>Measuring uncertainty over meanings rather than token sequences</t>
  </si>
  <si>
    <t>Free-form QA (e.g. TriviaQA, CoQA) with OPT models from 2.7B to 30B</t>
  </si>
  <si>
    <t>Semantic entropy: cluster sampled answers by bidirectional entailment, compute entropy over meanings</t>
  </si>
  <si>
    <t>Better AUROC for predicting answer correctness than likelihood and lexical baselines</t>
  </si>
  <si>
    <t>No limitations section; requires several sampled answers per question</t>
  </si>
  <si>
    <t>https://arxiv.org/pdf/2302.09664</t>
  </si>
  <si>
    <t>Farquhar et al., 2024</t>
  </si>
  <si>
    <t>Method (uncertainty for hallucination)</t>
  </si>
  <si>
    <t>Detecting confabulations (arbitrary wrong answers) from uncertainty over meanings</t>
  </si>
  <si>
    <t>QA and longer generation across datasets and LLMs</t>
  </si>
  <si>
    <t>Semantic entropy: cluster sampled answers by meaning (bidirectional entailment) and compute entropy</t>
  </si>
  <si>
    <t>Works across tasks without task data; abstaining on high semantic entropy improves answer accuracy</t>
  </si>
  <si>
    <t>Does not catch errors that are systematic or confidently wrong</t>
  </si>
  <si>
    <t>https://www.nature.com/articles/s41586-024-07421-0</t>
  </si>
  <si>
    <t>Nature open access (CC BY)</t>
  </si>
  <si>
    <t>Gao et al., 2024</t>
  </si>
  <si>
    <t>Method (uncertainty estimation)</t>
  </si>
  <si>
    <t>Capturing epistemic as well as aleatoric uncertainty of LLM answers</t>
  </si>
  <si>
    <t>Several QA and reasoning datasets with reference answers</t>
  </si>
  <si>
    <t>SPUQ: perturb the input, sample outputs for each perturbation, aggregate agreement</t>
  </si>
  <si>
    <t>Expected calibration error reduced by 30% to 70%</t>
  </si>
  <si>
    <t>Only tasks with clear reference answers; extra generations and paraphrases add cost and latency</t>
  </si>
  <si>
    <t>https://aclanthology.org/2024.eacl-long.143.pdf</t>
  </si>
  <si>
    <t>Kalai &amp; Vempala, 2024</t>
  </si>
  <si>
    <t>Theory</t>
  </si>
  <si>
    <t>Why calibrated language models must hallucinate some facts</t>
  </si>
  <si>
    <t>Statistical analysis of pre-training on arbitrary facts</t>
  </si>
  <si>
    <t>Lower bound linking hallucination rate to calibration (Good-Turing style estimate)</t>
  </si>
  <si>
    <t>For arbitrary facts, hallucination rate is close to the share of facts seen exactly once in training</t>
  </si>
  <si>
    <t>Applies to arbitrary facts; no such bound for facts seen often or systematic facts such as arithmetic</t>
  </si>
  <si>
    <t>https://arxiv.org/pdf/2311.14648</t>
  </si>
  <si>
    <t>arXiv author version of the ACM paper</t>
  </si>
  <si>
    <t>Kapoor et al., 2024</t>
  </si>
  <si>
    <t>Method and empirical study</t>
  </si>
  <si>
    <t>Whether LLM uncertainty must be learned rather than prompted</t>
  </si>
  <si>
    <t>Open-source LLMs on MMLU-style questions; user study</t>
  </si>
  <si>
    <t>Fine-tune an uncertainty head or LoRA on about 1,000 graded correct/incorrect answers</t>
  </si>
  <si>
    <t>About a thousand graded examples beat prompting and sampling baselines; users rely on calibrated scores</t>
  </si>
  <si>
    <t>User study is preliminary; effects of calibration versus how people use uncertainty not separated</t>
  </si>
  <si>
    <t>https://arxiv.org/pdf/2406.08391</t>
  </si>
  <si>
    <t>Xu et al., 2024</t>
  </si>
  <si>
    <t>Method (confidence training)</t>
  </si>
  <si>
    <t>Training LLMs to state fine-grained confidence with rationales about their knowledge gaps</t>
  </si>
  <si>
    <t>Diverse QA datasets; calibration measured by ECE and AUROC</t>
  </si>
  <si>
    <t>SaySelf: SFT on self-reflective rationales summarised from inconsistent sampled reasoning chains, then RL with a calibration reward</t>
  </si>
  <si>
    <t>Lower calibration error with task performance maintained; rationales help calibration (ablation)</t>
  </si>
  <si>
    <t>Relies on multiple sampled chains of thought, whose faithfulness is debated, so rationales may be unfaithful</t>
  </si>
  <si>
    <t>https://aclanthology.org/2024.emnlp-main.343.pdf</t>
  </si>
  <si>
    <t>Zhang et al., 2024a</t>
  </si>
  <si>
    <t>Empirical evaluation</t>
  </si>
  <si>
    <t>Whether LLM confidence is calibrated on a hard classification task</t>
  </si>
  <si>
    <t>Implicit hate-speech detection datasets; several prompt patterns and uncertainty methods</t>
  </si>
  <si>
    <t>Compares classification and calibration of mainstream uncertainty estimation methods for LLMs</t>
  </si>
  <si>
    <t>LLMs are over-sensitive to group-related content, and confidence scores cluster in a fixed range regardless of difficulty, so calibration is poor</t>
  </si>
  <si>
    <t>English datasets only</t>
  </si>
  <si>
    <t>https://aclanthology.org/2024.acl-long.652.pdf</t>
  </si>
  <si>
    <t>Zhang et al., 2024b</t>
  </si>
  <si>
    <t>Method (calibration)</t>
  </si>
  <si>
    <t>Calibrating overconfident RLHF-aligned LLMs</t>
  </si>
  <si>
    <t>6 RLHF-tuned LLMs on 4 multiple-choice QA datasets</t>
  </si>
  <si>
    <t>UF Calibration: confidence split into uncertainty about the question and fidelity to the chosen answer; new metrics IPR and CE</t>
  </si>
  <si>
    <t>Good calibration across models; proposed as a strong baseline</t>
  </si>
  <si>
    <t>Needs a known answer set (MCQA, classification); several model calls per question</t>
  </si>
  <si>
    <t>https://aclanthology.org/2024.emnlp-main.173.pdf</t>
  </si>
  <si>
    <t>Liu et al., 2025</t>
  </si>
  <si>
    <t>Uncertainty quantification and calibration methods specific to LLMs</t>
  </si>
  <si>
    <t>Review of UQ methods, benchmarks and metrics for LLMs</t>
  </si>
  <si>
    <t>Taxonomy by computational cost and uncertainty dimension: input, reasoning, parameter, prediction</t>
  </si>
  <si>
    <t>Classical aleatoric/epistemic splits miss LLM-specific sources (ambiguity, reasoning divergence, decoding randomness)</t>
  </si>
  <si>
    <t>Open challenges: scalable, interpretable and robust UQ for real-world use</t>
  </si>
  <si>
    <t>https://arxiv.org/pdf/2503.15850</t>
  </si>
  <si>
    <t>Steyvers et al., 2025</t>
  </si>
  <si>
    <t>Behavioural experiments</t>
  </si>
  <si>
    <t>Gap between what LLMs know (internal confidence) and what users believe</t>
  </si>
  <si>
    <t>Multiple-choice and short-answer questions; human participants</t>
  </si>
  <si>
    <t>Measure calibration and discrimination gaps; explanations rewritten to reflect model confidence</t>
  </si>
  <si>
    <t>Users overestimate LLM accuracy; longer explanations raise confidence; confidence-matched explanations narrow both gaps</t>
  </si>
  <si>
    <t>Needs two prompts per question (answer, then adjusted explanation)</t>
  </si>
  <si>
    <t>https://www.nature.com/articles/s42256-024-00976-7</t>
  </si>
  <si>
    <t>Tang et al., 2026</t>
  </si>
  <si>
    <t>Whether LLMs interpret words of estimative probability ('probably', 'maybe') like people do</t>
  </si>
  <si>
    <t>Comparison with a human WEP survey; English, gendered and Chinese prompts; GPT-4 mapping tasks</t>
  </si>
  <si>
    <t>Elicit numeric estimates for WEPs from several LLMs; consistency metrics for mapping statistics to WEPs</t>
  </si>
  <si>
    <t>LLMs match human estimates only for some WEPs; divergence grows for gendered and Chinese contexts</t>
  </si>
  <si>
    <t>Divergence may be structural to statistical training, not only a data bias</t>
  </si>
  <si>
    <t>https://www.nature.com/articles/s44260-026-00070-6</t>
  </si>
  <si>
    <t>Wen et al., 2026</t>
  </si>
  <si>
    <t>Method (post-hoc calibration)</t>
  </si>
  <si>
    <t>Calibrating LLM judges of RAG answers across languages, with abstention</t>
  </si>
  <si>
    <t>MEMERAG benchmark, five languages; GPT-4, Claude-3 and Llama-3 judges</t>
  </si>
  <si>
    <t>Language-specific temperature scaling, uncertainty scoring and selective abstention</t>
  </si>
  <si>
    <t>Kendall's tau 0.61 to 0.74 for GPT-4 (+21.3%); ECE 11.2% to 4.1%; cross-lingual gap -42%; 88% balanced accuracy at 70% coverage</t>
  </si>
  <si>
    <t>Needs about 275-300 labelled items per language; abstention cuts coverage to 70%; may not transfer to other benchmarks</t>
  </si>
  <si>
    <t>https://dl.acm.org/doi/full/10.1145/3807246.3807349</t>
  </si>
  <si>
    <t>ACM Digital Library (free access)</t>
  </si>
  <si>
    <t>Madras et al., 2018</t>
  </si>
  <si>
    <t>Method (learning to defer)</t>
  </si>
  <si>
    <t>Letting a model pass decisions to a downstream human, accounting for that human</t>
  </si>
  <si>
    <t>Benchmark datasets with simulated, possibly biased or inconsistent decision-makers</t>
  </si>
  <si>
    <t>Learning to defer: generalises rejection learning by modelling the downstream decision-maker</t>
  </si>
  <si>
    <t>Deferring makes the overall system more accurate and less biased, even with inconsistent or biased users</t>
  </si>
  <si>
    <t>Experiments use simulated decision-makers</t>
  </si>
  <si>
    <t>https://proceedings.neurips.cc/paper_files/paper/2018/file/09d37c08f7b129e96277388757530c72-Paper.pdf</t>
  </si>
  <si>
    <t>NeurIPS proceedings (open access)</t>
  </si>
  <si>
    <t>Mozannar &amp; Sontag, 2020</t>
  </si>
  <si>
    <t>Consistent training of a classifier and a rejector that defers to an expert</t>
  </si>
  <si>
    <t>CIFAR-10/100 with synthetic and human (CIFAR10H) experts; hate-speech detection</t>
  </si>
  <si>
    <t>Reduction to cost-sensitive learning with a consistent surrogate loss; generalisation bounds</t>
  </si>
  <si>
    <t>Outperforms earlier learning-to-defer and rejection baselines on image and text tasks</t>
  </si>
  <si>
    <t>Needs samples of the expert's decisions for training</t>
  </si>
  <si>
    <t>https://proceedings.mlr.press/v119/mozannar20b/mozannar20b.pdf</t>
  </si>
  <si>
    <t>Aggarwal et al., 2024</t>
  </si>
  <si>
    <t>Method (cascade routing)</t>
  </si>
  <si>
    <t>Routing queries to larger models only when a small model's answer looks wrong</t>
  </si>
  <si>
    <t>Five LLMs and five datasets</t>
  </si>
  <si>
    <t>Few-shot self-verification of the small model's answer plus a POMDP-based router</t>
  </si>
  <si>
    <t>Over 50% lower compute cost at comparable performance</t>
  </si>
  <si>
    <t>Applicability may vary with models and datasets; designed for dialogue- and context-grounded tasks</t>
  </si>
  <si>
    <t>https://arxiv.org/pdf/2310.12963</t>
  </si>
  <si>
    <t>Ding et al., 2024</t>
  </si>
  <si>
    <t>Method (quality-aware routing)</t>
  </si>
  <si>
    <t>Sending easy queries to a small model and hard ones to a large model</t>
  </si>
  <si>
    <t>Response-quality benchmarks with small and large LLM pairs</t>
  </si>
  <si>
    <t>Router predicts query difficulty; quality threshold tunable at test time</t>
  </si>
  <si>
    <t>Up to 40% fewer calls to the large model with no drop in response quality</t>
  </si>
  <si>
    <t>No limitations section; router is trained for a given small/large model pair</t>
  </si>
  <si>
    <t>https://arxiv.org/pdf/2404.14618</t>
  </si>
  <si>
    <t>Li et al., 2024</t>
  </si>
  <si>
    <t>Empirical comparison and method (routing)</t>
  </si>
  <si>
    <t>When to use retrieval versus long-context processing, and routing between them to save cost</t>
  </si>
  <si>
    <t>Public long-context benchmarks with Gemini-1.5-Pro, GPT-4o and GPT-3.5-Turbo</t>
  </si>
  <si>
    <t>Self-Route: the model reflects on whether retrieved chunks suffice; otherwise the query goes to the long-context model</t>
  </si>
  <si>
    <t>Long-context wins on average when resourced, but Self-Route matches it at far lower cost (-65% for Gemini-1.5-Pro, -39% for GPT-4o)</t>
  </si>
  <si>
    <t>Synthetic test sets contain artefacts that affect conclusions; parametric knowledge cannot be fully excluded</t>
  </si>
  <si>
    <t>https://aclanthology.org/2024.emnlp-industry.66.pdf</t>
  </si>
  <si>
    <t>Ong et al., 2025</t>
  </si>
  <si>
    <t>Method (learned routing)</t>
  </si>
  <si>
    <t>Learning when to send a query to a strong versus a weak LLM</t>
  </si>
  <si>
    <t>Public benchmarks (e.g. MT-Bench, MMLU, GSM8K)</t>
  </si>
  <si>
    <t>Routers trained on human preference data with augmentation</t>
  </si>
  <si>
    <t>Costs cut by over 2 times without losing response quality; routers transfer to unseen model pairs</t>
  </si>
  <si>
    <t>Real-world query distributions may differ from the benchmarks; a little in-domain data helps</t>
  </si>
  <si>
    <t>https://arxiv.org/pdf/2406.18665</t>
  </si>
  <si>
    <t>Tariq et al., 2025</t>
  </si>
  <si>
    <t>Framework (human-AI deferral)</t>
  </si>
  <si>
    <t>Deciding between automated, deferred and collaborative decisions in human-AI teams</t>
  </si>
  <si>
    <t>Simulated security-operations-centre incident detection on benchmark datasets</t>
  </si>
  <si>
    <t>A2C: rejection learning and learning to defer, plus collaborative exploration when experts are also unsure</t>
  </si>
  <si>
    <t>All three modes supported; collaborative exploration outperforms AI alone</t>
  </si>
  <si>
    <t>Evaluated by simulation with simulated human experts</t>
  </si>
  <si>
    <t>https://arxiv.org/pdf/2401.14432</t>
  </si>
  <si>
    <t>Li et al., 2026</t>
  </si>
  <si>
    <t>How small edge models and large cloud models share inference and training</t>
  </si>
  <si>
    <t>Review of task assignment (routing), task division, mixtures and token-level collaboration</t>
  </si>
  <si>
    <t>Unified taxonomy of edge-cloud collaboration for inference and training</t>
  </si>
  <si>
    <t>Task assignment (routing by confidence, resources or task type) is simple and fast; mixtures add flexibility</t>
  </si>
  <si>
    <t>Hard switching may misroute uncertain inputs and lacks joint reasoning; division adds coordination overhead</t>
  </si>
  <si>
    <t>https://arxiv.org/pdf/2507.16731</t>
  </si>
  <si>
    <t>Tibshirani et al., 2019</t>
  </si>
  <si>
    <t>Method (conformal under shift)</t>
  </si>
  <si>
    <t>Conformal prediction when training and test covariates differ</t>
  </si>
  <si>
    <t>Theory and examples with estimated likelihood ratios</t>
  </si>
  <si>
    <t>Weighted conformal prediction using the test/train likelihood ratio</t>
  </si>
  <si>
    <t>Distribution-free intervals under covariate shift when the ratio is known or well estimated</t>
  </si>
  <si>
    <t>Needs the likelihood ratio (or many unlabelled test points to estimate it)</t>
  </si>
  <si>
    <t>https://arxiv.org/pdf/1904.06019</t>
  </si>
  <si>
    <t>Gibbs &amp; Candès, 2021</t>
  </si>
  <si>
    <t>Method (online conformal)</t>
  </si>
  <si>
    <t>Prediction sets that adapt when the data distribution drifts over time</t>
  </si>
  <si>
    <t>Two real datasets with visible shift</t>
  </si>
  <si>
    <t>Adaptive conformal inference: a single parameter re-estimated online</t>
  </si>
  <si>
    <t>Long-run coverage guarantee regardless of the data-generating process</t>
  </si>
  <si>
    <t>Coverage holds in the long run; the step size must be chosen by the user</t>
  </si>
  <si>
    <t>https://arxiv.org/pdf/2106.00170</t>
  </si>
  <si>
    <t>Zaffran et al., 2022</t>
  </si>
  <si>
    <t>Using adaptive conformal inference for dependent time series</t>
  </si>
  <si>
    <t>Synthetic dependent series; electricity price forecasting</t>
  </si>
  <si>
    <t>Analysis of ACI's learning rate; AgACI aggregates ACI experts online (parameter-free)</t>
  </si>
  <si>
    <t>ACI is robust with a well-chosen rate; AgACI gives efficient day-ahead intervals without tuning</t>
  </si>
  <si>
    <t>ACI loses efficiency against standard CP when data are exchangeable</t>
  </si>
  <si>
    <t>https://arxiv.org/pdf/2202.07282</t>
  </si>
  <si>
    <t>Angelopoulos et al., 2023</t>
  </si>
  <si>
    <t>Prediction sets for time series that adapt to trends, seasonality and shift</t>
  </si>
  <si>
    <t>COVID-19 death forecasting; electricity demand, market returns, temperature</t>
  </si>
  <si>
    <t>Conformal PID control: quantile tracking (P), error integration (I), scorecasting (D)</t>
  </si>
  <si>
    <t>Better coverage than the CDC ensemble forecaster; quantile tracking plus integration is robust</t>
  </si>
  <si>
    <t>Scorecasting helps only when trends remain in the scores</t>
  </si>
  <si>
    <t>https://arxiv.org/pdf/2307.16895</t>
  </si>
  <si>
    <t>Bhatnagar et al., 2023</t>
  </si>
  <si>
    <t>Online conformal prediction with guarantees on every time window</t>
  </si>
  <si>
    <t>Time-series forecasting and image classification under shift</t>
  </si>
  <si>
    <t>Strongly adaptive online learning applied to conformal radii (SAOCP)</t>
  </si>
  <si>
    <t>Near-optimal strongly adaptive regret; coverage closer to target in local windows and smaller sets</t>
  </si>
  <si>
    <t>Stronger coverage guarantees and optimality of learned radii left open</t>
  </si>
  <si>
    <t>https://arxiv.org/pdf/2302.07869</t>
  </si>
  <si>
    <t>Cauchois et al., 2024</t>
  </si>
  <si>
    <t>Method (robust conformal)</t>
  </si>
  <si>
    <t>Prediction sets that keep coverage for any test distribution near the training one</t>
  </si>
  <si>
    <t>CIFAR-v4, ImageNet-V2 and other shifted benchmarks</t>
  </si>
  <si>
    <t>Conformal sets valid over an f-divergence ball, with estimated amount of future shift</t>
  </si>
  <si>
    <t>Nearly valid finite-sample coverage under shift, assuming only exchangeable training data</t>
  </si>
  <si>
    <t>Choosing the 'right' amount of robustness remains open; reweighting is hard in high dimensions</t>
  </si>
  <si>
    <t>https://arxiv.org/abs/2008.04267</t>
  </si>
  <si>
    <t>Gibbs &amp; Candès, 2024</t>
  </si>
  <si>
    <t>Online prediction sets that react quickly to arbitrary shifts</t>
  </si>
  <si>
    <t>Stock-market volatility and COVID-19 case counts</t>
  </si>
  <si>
    <t>Dynamically tuned step size for adaptive conformal inference, with small regret over local intervals</t>
  </si>
  <si>
    <t>Robust and adaptive coverage on both real data sets, without knowing the rate of change</t>
  </si>
  <si>
    <t>Guarantees are long-run and regret-based rather than per-step</t>
  </si>
  <si>
    <t>https://arxiv.org/pdf/2208.08401</t>
  </si>
  <si>
    <t>Sousa et al., 2024</t>
  </si>
  <si>
    <t>Method (conformal forecasting)</t>
  </si>
  <si>
    <t>Multi-step-ahead prediction intervals that stay valid under shift without data splitting</t>
  </si>
  <si>
    <t>Real and synthetic time series</t>
  </si>
  <si>
    <t>AEnbMIMOCQR: adaptive ensemble, batch, multi-output conformalised quantile regression with ACI</t>
  </si>
  <si>
    <t>More consistent coverage and shorter, input-varying intervals than competing methods; adapts faster to shift</t>
  </si>
  <si>
    <t>No limitations section; coverage close to exact rather than guaranteed when data are not exchangeable</t>
  </si>
  <si>
    <t>https://arxiv.org/pdf/2207.14219</t>
  </si>
  <si>
    <t>Yang et al., 2024</t>
  </si>
  <si>
    <t>Method (conformal under covariate shift)</t>
  </si>
  <si>
    <t>Efficient, robust prediction sets when covariates shift between labelled and target data</t>
  </si>
  <si>
    <t>Theory and simulations under a missing-at-random-style shift</t>
  </si>
  <si>
    <t>Three doubly robust prediction-set algorithms based on the efficient influence function of the quantile</t>
  </si>
  <si>
    <t>Asymptotically valid coverage if either the propensity score or the outcome distribution is well estimated</t>
  </si>
  <si>
    <t>Guarantees are asymptotic rather than finite-sample</t>
  </si>
  <si>
    <t>https://arxiv.org/pdf/2203.01761</t>
  </si>
  <si>
    <t>Gibbs et al., 2025</t>
  </si>
  <si>
    <t>Method (conformal theory)</t>
  </si>
  <si>
    <t>Moving from marginal toward conditional coverage guarantees</t>
  </si>
  <si>
    <t>Theory with empirical demonstrations on split-conformal pipelines</t>
  </si>
  <si>
    <t>Conditional coverage recast as coverage over a class of covariate shifts; exact for finite-dimensional classes</t>
  </si>
  <si>
    <t>Exact finite-sample coverage over every subgroup or shift in a finite-dimensional class; quantified error otherwise</t>
  </si>
  <si>
    <t>Exact conditional coverage is impossible for flexible (infinite-dimensional) classes; errors must be tuned</t>
  </si>
  <si>
    <t>https://arxiv.org/pdf/2305.12616</t>
  </si>
  <si>
    <t>Ke et al., 2017</t>
  </si>
  <si>
    <t>Method (gradient boosting)</t>
  </si>
  <si>
    <t>Making gradient-boosted decision trees fast on large, high-dimensional data</t>
  </si>
  <si>
    <t>Several public benchmark datasets</t>
  </si>
  <si>
    <t>Gradient-based One-Side Sampling (GOSS) and Exclusive Feature Bundling (EFB)</t>
  </si>
  <si>
    <t>Training up to over 20 times faster than conventional GBDT with almost the same accuracy</t>
  </si>
  <si>
    <t>Optimal GOSS sampling ratios and further EFB improvements left for future work</t>
  </si>
  <si>
    <t>https://proceedings.neurips.cc/paper_files/paper/2017/file/6449f44a102fde848669bdd9eb6b76fa-Paper.pdf</t>
  </si>
  <si>
    <t>Hancock &amp; Khoshgoftaar, 2020</t>
  </si>
  <si>
    <t>Review</t>
  </si>
  <si>
    <t>Strengths and weaknesses of CatBoost for big-data tabular tasks</t>
  </si>
  <si>
    <t>Interdisciplinary review of studies using CatBoost</t>
  </si>
  <si>
    <t>Narrative review of CatBoost results across fields</t>
  </si>
  <si>
    <t>Good choice for heterogeneous data with categorical features; other GBDTs still win on some problems</t>
  </si>
  <si>
    <t>Performance is sensitive to hyper-parameters (iterations, depth, categorical combinations)</t>
  </si>
  <si>
    <t>https://journalofbigdata.springeropen.com/articles/10.1186/s40537-020-00369-8</t>
  </si>
  <si>
    <t>SpringerOpen (open access)</t>
  </si>
  <si>
    <t>Gorishniy et al., 2021</t>
  </si>
  <si>
    <t>Benchmark study</t>
  </si>
  <si>
    <t>Fair comparison of deep models and GBDT on tabular data</t>
  </si>
  <si>
    <t>Diverse tabular datasets under one tuning protocol</t>
  </si>
  <si>
    <t>ResNet-like and FT-Transformer baselines versus prior DL models and GBDT</t>
  </si>
  <si>
    <t>FT-Transformer is best among DL models on most tasks, but there is no universally superior solution versus GBDT</t>
  </si>
  <si>
    <t>No universally superior solution: GBDT still wins on some tasks</t>
  </si>
  <si>
    <t>https://arxiv.org/pdf/2106.11959</t>
  </si>
  <si>
    <t>Mienye &amp; Jere, 2024</t>
  </si>
  <si>
    <t>Decision-tree concepts and algorithms through to tree ensembles</t>
  </si>
  <si>
    <t>Review of CART, ID3, C4.5, C5.0, CHAID, conditional inference trees and ensembles</t>
  </si>
  <si>
    <t>Narrative survey with mathematical formulations and applications (medical, credit risk, fraud)</t>
  </si>
  <si>
    <t>Trees remain valuable for interpretability and pattern finding in many fields</t>
  </si>
  <si>
    <t>Future directions: better handling of missing data and of high-dimensional inputs</t>
  </si>
  <si>
    <t>https://ieeexplore.ieee.org/document/10562290</t>
  </si>
  <si>
    <t>IEEE Xplore open access (CC BY)</t>
  </si>
  <si>
    <t>Hollmann et al., 2025</t>
  </si>
  <si>
    <t>Method (tabular foundation model)</t>
  </si>
  <si>
    <t>A pre-trained transformer that predicts on small tables in one forward pass</t>
  </si>
  <si>
    <t>Classification and regression benchmarks up to 10,000 samples and 500 features</t>
  </si>
  <si>
    <t>TabPFN: in-context learning trained on millions of synthetic datasets</t>
  </si>
  <si>
    <t>Outperforms tuned GBDT ensembles; in 2.8 s beats baselines tuned for 4 h (5,140x faster for classification)</t>
  </si>
  <si>
    <t>Dominance is shown for small to moderate data (up to 10,000 samples, 500 features)</t>
  </si>
  <si>
    <t>https://www.nature.com/articles/s41586-024-08328-6</t>
  </si>
  <si>
    <t>Qu et al., 2025</t>
  </si>
  <si>
    <t>Scaling tabular in-context learning to large training sets</t>
  </si>
  <si>
    <t>200 TALENT classification datasets; up to 100K training samples</t>
  </si>
  <si>
    <t>Column-then-row attention builds row embeddings; an ICL transformer predicts; pre-trained on synthetic data</t>
  </si>
  <si>
    <t>On par with TabPFNv2 while up to 10 times faster; beats CatBoost on large datasets</t>
  </si>
  <si>
    <t>Classification only; RoPE breaks column-permutation invariance</t>
  </si>
  <si>
    <t>04 - PRISMA counts: Decision policy</t>
  </si>
  <si>
    <t>Every count is a formula over sheets 01 and 02, so it updates when a decision changes.</t>
  </si>
  <si>
    <t>Stage</t>
  </si>
  <si>
    <t>Count</t>
  </si>
  <si>
    <t>Where it comes from</t>
  </si>
  <si>
    <t>Identification (databases)</t>
  </si>
  <si>
    <t>Records identified from database searches (all hits)</t>
  </si>
  <si>
    <t>Sum of total hits, sheet 01</t>
  </si>
  <si>
    <t>Records not exported (beyond the 25 most-cited per search)</t>
  </si>
  <si>
    <t>Hits minus exported records</t>
  </si>
  <si>
    <t>Sum of exported records, sheet 01</t>
  </si>
  <si>
    <t>Duplicate records removed (same record found by more than one search)</t>
  </si>
  <si>
    <t>Exported minus unique records</t>
  </si>
  <si>
    <t>Records screened (unique)</t>
  </si>
  <si>
    <t>Database rows in sheet 02</t>
  </si>
  <si>
    <t>Records excluded at title (P1)</t>
  </si>
  <si>
    <t>P1 = DROP</t>
  </si>
  <si>
    <t>Records excluded at abstract (P2)</t>
  </si>
  <si>
    <t>P2 = DROP</t>
  </si>
  <si>
    <t>Full texts assessed for eligibility</t>
  </si>
  <si>
    <t>Screened minus P1 and P2 exclusions</t>
  </si>
  <si>
    <t>Full texts excluded (P3)</t>
  </si>
  <si>
    <t>P3 = DROP; reasons below</t>
  </si>
  <si>
    <t>Studies included from databases</t>
  </si>
  <si>
    <t>Assessed minus excluded</t>
  </si>
  <si>
    <t>Identification (other methods)</t>
  </si>
  <si>
    <t>Records identified by citation chasing</t>
  </si>
  <si>
    <t>Citation-chasing rows in sheet 02</t>
  </si>
  <si>
    <t>P3 = DROP</t>
  </si>
  <si>
    <t>Studies included by citation chasing</t>
  </si>
  <si>
    <t>Identified minus excluded</t>
  </si>
  <si>
    <t>Total studies included</t>
  </si>
  <si>
    <t>Databases plus citation chasing</t>
  </si>
  <si>
    <t>Check: INCLUDED = YES in sheet 02</t>
  </si>
  <si>
    <t>Must equal the total above</t>
  </si>
  <si>
    <t>Full-text exclusion reasons (all routes)</t>
  </si>
  <si>
    <t>Reason</t>
  </si>
  <si>
    <t>Definition</t>
  </si>
  <si>
    <t>preprints and technical reports with no archival version found, non-archival workshop papers, and journals whose peer review cannot be verified (open-access journals not listed in DOAJ).</t>
  </si>
  <si>
    <t>Outside date range</t>
  </si>
  <si>
    <t>published before 2017.</t>
  </si>
  <si>
    <t>Outside scope</t>
  </si>
  <si>
    <t>fails the member's scope at full-text stage.</t>
  </si>
  <si>
    <t>subscription-only and no author version found (arXiv searched by title).</t>
  </si>
  <si>
    <t>another version (e.g. arXiv copy) of a paper already in the log.</t>
  </si>
  <si>
    <t>Total</t>
  </si>
  <si>
    <t>Must equal P3 exclusions from both routes</t>
  </si>
  <si>
    <t>Included studies by subtopic</t>
  </si>
  <si>
    <t>Subtopic</t>
  </si>
  <si>
    <t>Label</t>
  </si>
  <si>
    <t>A</t>
  </si>
  <si>
    <t>Selective prediction and abstention</t>
  </si>
  <si>
    <t>B</t>
  </si>
  <si>
    <t>Distribution-free risk control and conformal prediction</t>
  </si>
  <si>
    <t>C</t>
  </si>
  <si>
    <t>Conformal methods for language models and agents</t>
  </si>
  <si>
    <t>D</t>
  </si>
  <si>
    <t>Uncertainty and calibration for LLMs</t>
  </si>
  <si>
    <t>E</t>
  </si>
  <si>
    <t>Deferral, cascades and routing</t>
  </si>
  <si>
    <t>F</t>
  </si>
  <si>
    <t>Distribution shift and online recalibration</t>
  </si>
  <si>
    <t>G</t>
  </si>
  <si>
    <t>Tabular outcome models</t>
  </si>
  <si>
    <t>05 - Gaps register: Decision policy</t>
  </si>
  <si>
    <t>Gaps as the authors state them (see sheet 03), and whether FaithGuard closes them. 'Not addressed' marks honest future work.</t>
  </si>
  <si>
    <t>Gap as stated by the authors</t>
  </si>
  <si>
    <t>Source (Author, Year)</t>
  </si>
  <si>
    <t>Theme</t>
  </si>
  <si>
    <t>Your note / how it would be closed</t>
  </si>
  <si>
    <t>Conformal coverage is marginal, not conditional on the input.</t>
  </si>
  <si>
    <t>Guarantees</t>
  </si>
  <si>
    <t>FaithGuard claims marginal guarantees only; conditional (per-group) guarantees are future work.</t>
  </si>
  <si>
    <t>Exact conditional coverage is impossible for flexible classes; errors must be tuned.</t>
  </si>
  <si>
    <t>Subgroup coverage (e.g. by filing type) could be added with this method.</t>
  </si>
  <si>
    <t>Learn-then-Test assumes i.i.d. calibration and test data.</t>
  </si>
  <si>
    <t>Shift</t>
  </si>
  <si>
    <t>Certification uses an issuer-disjoint calibration split; a transfer study recertifies the policy with 100 or 200 new labels, or all available, after the repairer changes (D-102 (6): 25 and 50 cannot certify alpha = 0.10 at the send rates seen, even with no error). (Corrected 30 Oct 2026; see sheet 00.)</t>
  </si>
  <si>
    <t>Weighted conformal under covariate shift needs the likelihood ratio.</t>
  </si>
  <si>
    <t>Possible extension if shift between fiscal years is detected.</t>
  </si>
  <si>
    <t>Online conformal methods give long-run guarantees and need a step size.</t>
  </si>
  <si>
    <t>Out of scope for the batch-certified policy; noted for deployment.</t>
  </si>
  <si>
    <t>Reasoning fine-tuning degrades LLM abstention by 24% on average.</t>
  </si>
  <si>
    <t>Abstention</t>
  </si>
  <si>
    <t>The abstain decision is made by a separate policy, not by the generator.</t>
  </si>
  <si>
    <t>Accuracy-only scoring rewards guessing over saying 'I don't know'.</t>
  </si>
  <si>
    <t>Incentives</t>
  </si>
  <si>
    <t>FaithGuard certifies an error budget on sent answers (alpha = 0.10) and treats abstaining as a valid outcome.</t>
  </si>
  <si>
    <t>Softmax confidence is unreliable under domain shift.</t>
  </si>
  <si>
    <t>Confidence signals</t>
  </si>
  <si>
    <t>The policy uses checker-derived pre-action features (risk, verdict counts, slots, evidence sufficiency), not generator softmax.</t>
  </si>
  <si>
    <t>Semantic entropy does not catch systematic, confidently wrong errors.</t>
  </si>
  <si>
    <t>FaithGuard checks answers against the source instead of relying on generator uncertainty.</t>
  </si>
  <si>
    <t>Users overestimate LLM accuracy; longer explanations raise confidence.</t>
  </si>
  <si>
    <t>Human factors</t>
  </si>
  <si>
    <t>Not studied: a user study of FaithGuard's abstain messages is future work.</t>
  </si>
  <si>
    <t>Real query distributions may differ from routing benchmarks.</t>
  </si>
  <si>
    <t>The policy is calibrated on FaithGuard's own answer distribution.</t>
  </si>
  <si>
    <t>Tabular foundation models are shown to dominate only up to 10,000 samples and 500 features.</t>
  </si>
  <si>
    <t>Outcome models</t>
  </si>
  <si>
    <t>TabICLv2 was cut and never run; the challenger to LightGBM is a fine-tuned mmBERT outcome model that reads the text and the features (D-096). (Corrected 30 Oct 2026; see sheet 00.)</t>
  </si>
  <si>
    <t>No universally best tabular model; GBDT still wins on some tasks.</t>
  </si>
  <si>
    <t>LightGBM chosen as the primary outcome model.</t>
  </si>
  <si>
    <t>The choice of alignment score is an open problem for conformal alignment.</t>
  </si>
  <si>
    <t>Scores</t>
  </si>
  <si>
    <t>FaithGuard's scores are LightGBM P(unsafe) and P(fix), with the fused, calibrated detector risk as an input.</t>
  </si>
  <si>
    <t>06 - Technology comparison evidence</t>
  </si>
  <si>
    <t>Alternatives compared for each design choice, the criteria used, and the provisional decision recorded in the FaithGuard architecture and decision log. Preprints appear here only as background; they are excluded from the review.</t>
  </si>
  <si>
    <t>Research / technology area</t>
  </si>
  <si>
    <t>Alternatives compared</t>
  </si>
  <si>
    <t>Selection criteria and provisional decision</t>
  </si>
  <si>
    <t>Source (citation or URL)</t>
  </si>
  <si>
    <t>Abstention mechanism</t>
  </si>
  <si>
    <t>Confidence threshold (selection with guaranteed risk); learned selector (SelectiveNet, calibrator); learning to defer; abstention training of the generator (SEAL)</t>
  </si>
  <si>
    <t>Need an explicit answer/repair/abstain decision that does not change the generator. Decision: separate policy using outcome models over pre-action detector features.</t>
  </si>
  <si>
    <t>Geifman &amp; El-Yaniv, 2017; Geifman &amp; El-Yaniv, 2019; Kamath et al., 2020; Madras et al., 2018; Huang et al., 2025</t>
  </si>
  <si>
    <t>Statistical guarantee</t>
  </si>
  <si>
    <t>Split conformal sets; RCPS; conformal risk control; Learn-then-Test; conformal selection with FDR control</t>
  </si>
  <si>
    <t>Need a finite-sample bound on errors among sent answers, counting errors that repair introduces. Decision: Learn-then-Test with Hoeffding-Bentkus p-values and fixed-sequence testing (alpha = 0.10, delta = 0.05).</t>
  </si>
  <si>
    <t>Angelopoulos &amp; Bates, 2023; Bates et al., 2021; Angelopoulos et al., 2024; Angelopoulos et al., 2025; Jin &amp; Candès, 2023; Gui et al., 2024</t>
  </si>
  <si>
    <t>Outcome models P(unsafe), P(fix)</t>
  </si>
  <si>
    <t>LightGBM; CatBoost; TabPFN; TabICL; FT-Transformer</t>
  </si>
  <si>
    <t>Small tabular replay data. Decision: LightGBM for both models; the one challenger is a fine-tuned mmBERT outcome model (D-096), which replaced the planned TabICL-family model. (Corrected 30 Oct 2026; see sheet 00.)</t>
  </si>
  <si>
    <t>Ke et al., 2017; Hancock &amp; Khoshgoftaar, 2020; Hollmann et al., 2025; Qu et al., 2025; Gorishniy et al., 2021</t>
  </si>
  <si>
    <t>Uncertainty signals</t>
  </si>
  <si>
    <t>Semantic entropy; verbalised confidence (SaySelf); fine-tuned uncertainty (Kapoor et al.); perturbation sampling (SPUQ)</t>
  </si>
  <si>
    <t>Generator-side uncertainty misses confident errors. Decision: policy features come from the checker and detector, not from generator uncertainty.</t>
  </si>
  <si>
    <t>Farquhar et al., 2024; Kuhn et al., 2023; Xu et al., 2024; Kapoor et al., 2024; Gao et al., 2024</t>
  </si>
  <si>
    <t>Distribution shift</t>
  </si>
  <si>
    <t>Weighted conformal; adaptive conformal inference; robust validation; doubly robust calibration; periodic recalibration</t>
  </si>
  <si>
    <t>Shift between issuers and repairer versions is expected. Decision: issuer-disjoint splits; a transfer study recertifies with 100 or 200 new labels, or all available, when the repairer changes (D-102 (6)); online methods are future work. (Corrected 30 Oct 2026; see sheet 00.)</t>
  </si>
  <si>
    <t>Tibshirani et al., 2019; Gibbs &amp; Candès, 2021; Cauchois et al., 2024; Yang et al., 2024</t>
  </si>
  <si>
    <t>Cost and routing</t>
  </si>
  <si>
    <t>LLM cascades (AutoMix); learned routers (RouteLLM, Hybrid LLM, Self-Route); FrugalGPT (preprint)</t>
  </si>
  <si>
    <t>FaithGuard does not route between LLMs; costs enter the policy as action costs. Routing literature informs cost-aware decisions.</t>
  </si>
  <si>
    <t>Aggarwal et al., 2024; Ong et al., 2025; Ding et al., 2024; Li et al., 2024; FrugalGPT (arXiv 2305.05176, preprint, background only)</t>
  </si>
  <si>
    <t>Background references (outside date range or preprints)</t>
  </si>
  <si>
    <t>Doubly robust policy evaluation (Dudik et al., 2014, Statistical Science); Hoeffding's inequality (1963); FrugalGPT (arXiv 2023)</t>
  </si>
  <si>
    <t>Used for off-policy evaluation and the concentration bound behind Learn-then-Test; not part of the screened set (pre-2017 or preprint).</t>
  </si>
  <si>
    <t>Dudik, Erhan, Langford &amp; Li (2014), Statistical Science 29(4), 485-511, doi:10.1214/14-STS500</t>
  </si>
  <si>
    <t>07 - Reference list: Decision policy (59 included studies)</t>
  </si>
  <si>
    <t>APA 7 style, alphabetical. Venue, volume and pages checked against Crossref or the proceedings page; free full-text link given for each.</t>
  </si>
  <si>
    <t>Citation</t>
  </si>
  <si>
    <t>Full reference</t>
  </si>
  <si>
    <t>Aggarwal, P., Madaan, A., Anand, A., Potharaju, S. P., Mishra, S., Zhou, P., Gupta, A., Rajagopal, D., Kappaganthu, K., Yang, Y., Upadhyay, S., Faruqui, M., &amp; Mausam. (2024). AutoMix: Automatically mixing language models. In Advances in Neural Information Processing Systems 37 (NeurIPS 2024).</t>
  </si>
  <si>
    <t>Angelopoulos, A. N., &amp; Bates, S. (2023). Conformal prediction: A gentle introduction. Foundations and Trends in Machine Learning, 16(4), 494-591. https://doi.org/10.1561/2200000101</t>
  </si>
  <si>
    <t>Angelopoulos, A. N., Bates, S., Candès, E. J., Jordan, M. I., &amp; Lei, L. (2025). Learn then test: Calibrating predictive algorithms to achieve risk control. The Annals of Applied Statistics, 19(2), 1641-1662. https://doi.org/10.1214/24-AOAS1998</t>
  </si>
  <si>
    <t>Angelopoulos, A. N., Bates, S., Fisch, A., Lei, L., &amp; Schuster, T. (2024). Conformal risk control. In International Conference on Learning Representations (ICLR 2024).</t>
  </si>
  <si>
    <t>Angelopoulos, A. N., Candès, E. J., &amp; Tibshirani, R. J. (2023). Conformal PID control for time series prediction. In Advances in Neural Information Processing Systems 36 (NeurIPS 2023).</t>
  </si>
  <si>
    <t>Bates, S., Angelopoulos, A., Lei, L., Malik, J., &amp; Jordan, M. (2021). Distribution-free, risk-controlling prediction sets. Journal of the ACM, 68(6), 1-34. https://doi.org/10.1145/3478535</t>
  </si>
  <si>
    <t>Bhatnagar, A., Wang, H., Xiong, C., &amp; Bai, Y. (2023). Improved online conformal prediction via strongly adaptive online learning. In Proceedings of the 40th International Conference on Machine Learning (PMLR 202, pp. 2337-2363).</t>
  </si>
  <si>
    <t>Cauchois, M., Gupta, S., Ali, A., &amp; Duchi, J. C. (2024). Robust validation: Confident predictions even when distributions shift. Journal of the American Statistical Association, 119(548), 3033-3044. https://doi.org/10.1080/01621459.2023.2298037</t>
  </si>
  <si>
    <t>Chen, K., Chen, Y., Koudas, N., &amp; Yu, X. (2025). Reliable text-to-SQL with adaptive abstention. Proceedings of the ACM on Management of Data, 3(1), 1-30. https://doi.org/10.1145/3709719</t>
  </si>
  <si>
    <t>Dancette, C., Whitehead, S., Maheshwary, R., Vedantam, R., Scherer, S., Chen, X., Cord, M., &amp; Rohrbach, M. (2023). Improving selective visual question answering by learning from your peers. In 2023 IEEE/CVF Conference on Computer Vision and Pattern Recognition (CVPR) (pp. 24049-24059). IEEE. https://doi.org/10.1109/CVPR52729.2023.02303</t>
  </si>
  <si>
    <t>Ding, D., Mallick, A., Wang, C., Sim, R., Mukherjee, S., Rühle, V., Lakshmanan, L. V. S., &amp; Awadallah, A. H. (2024). Hybrid LLM: Cost-efficient and quality-aware query routing. In International Conference on Learning Representations (ICLR 2024).</t>
  </si>
  <si>
    <t>Farquhar, S., Kossen, J., Kuhn, L., &amp; Gal, Y. (2024). Detecting hallucinations in large language models using semantic entropy. Nature, 630(8017), 625-630. https://doi.org/10.1038/s41586-024-07421-0</t>
  </si>
  <si>
    <t>Gao, J., Yao, J., &amp; Shao, Y. (2019). Towards reliable learning for high stakes applications. In Proceedings of the AAAI Conference on Artificial Intelligence, 33(01), 3614-3621. https://doi.org/10.1609/aaai.v33i01.33013614</t>
  </si>
  <si>
    <t>Gao, X., Zhang, J., Mouatadid, L., &amp; Das, K. (2024). SPUQ: Perturbation-based uncertainty quantification for large language models. In Proceedings of the 18th Conference of the European Chapter of the Association for Computational Linguistics (Volume 1: Long Papers) (pp. 2336-2346). ACL. https://doi.org/10.18653/v1/2024.eacl-long.143</t>
  </si>
  <si>
    <t>Geifman, Y., &amp; El-Yaniv, R. (2017). Selective classification for deep neural networks. In Advances in Neural Information Processing Systems 30 (NIPS 2017).</t>
  </si>
  <si>
    <t>Geifman, Y., &amp; El-Yaniv, R. (2019). SelectiveNet: A deep neural network with an integrated reject option. In Proceedings of the 36th International Conference on Machine Learning (PMLR 97, pp. 2151-2159).</t>
  </si>
  <si>
    <t>Gibbs, I., &amp; Candès, E. (2021). Adaptive conformal inference under distribution shift. In Advances in Neural Information Processing Systems 34 (NeurIPS 2021).</t>
  </si>
  <si>
    <t>Gibbs, I., &amp; Candès, E. J. (2024). Conformal inference for online prediction with arbitrary distribution shifts. Journal of Machine Learning Research, 25(162), 1-36.</t>
  </si>
  <si>
    <t>Gibbs, I., Cherian, J. J., &amp; Candès, E. J. (2025). Conformal prediction with conditional guarantees. Journal of the Royal Statistical Society Series B: Statistical Methodology, 87(4), 1100-1126. https://doi.org/10.1093/jrsssb/qkaf008</t>
  </si>
  <si>
    <t>Gorishniy, Y., Rubachev, I., Khrulkov, V., &amp; Babenko, A. (2021). Revisiting deep learning models for tabular data. In Advances in Neural Information Processing Systems 34 (NeurIPS 2021).</t>
  </si>
  <si>
    <t>Gui, Y., Jin, Y., &amp; Ren, Z. (2024). Conformal alignment: Knowing when to trust foundation models with guarantees. In Advances in Neural Information Processing Systems 37 (NeurIPS 2024).</t>
  </si>
  <si>
    <t>Hancock, J. T., &amp; Khoshgoftaar, T. M. (2020). CatBoost for big data: An interdisciplinary review. Journal of Big Data, 7, Article 94. https://doi.org/10.1186/s40537-020-00369-8</t>
  </si>
  <si>
    <t>Hollmann, N., Müller, S., Purucker, L., Krishnakumar, A., Körfer, M., Hoo, S. B., Schirrmeister, R. T., &amp; Hutter, F. (2025). Accurate predictions on small data with a tabular foundation model. Nature, 637(8045), 319-326. https://doi.org/10.1038/s41586-024-08328-6</t>
  </si>
  <si>
    <t>Huang, L., Feng, X., Ma, W., Fan, Y., Feng, X., Gu, Y., Ye, Y., Zhao, L., Zhong, W., Wang, B., Wu, D., Hu, G., Kong, L., Xiao, T., Liu, T., &amp; Qin, B. (2025). Alleviating hallucinations from knowledge misalignment in large language models via selective abstention learning. In Proceedings of the 63rd Annual Meeting of the Association for Computational Linguistics (Volume 1: Long Papers) (pp. 24564-24579). ACL. https://doi.org/10.18653/v1/2025.acl-long.1199</t>
  </si>
  <si>
    <t>Jin, Y., &amp; Candès, E. J. (2023). Selection by prediction with conformal p-values. Journal of Machine Learning Research, 24(244), 1-41.</t>
  </si>
  <si>
    <t>Kalai, A. T., &amp; Vempala, S. S. (2024). Calibrated language models must hallucinate. In Proceedings of the 56th Annual ACM Symposium on Theory of Computing (STOC '24) (pp. 160-171). ACM. https://doi.org/10.1145/3618260.3649777</t>
  </si>
  <si>
    <t>Kalai, A. T., Nachum, O., Vempala, S. S., &amp; Zhang, E. (2026). Evaluating large language models for accuracy incentivizes hallucinations. Nature, 653(8116), 1047-1051. https://doi.org/10.1038/s41586-026-10549-w</t>
  </si>
  <si>
    <t>Kamath, A., Jia, R., &amp; Liang, P. (2020). Selective question answering under domain shift. In Proceedings of the 58th Annual Meeting of the Association for Computational Linguistics (pp. 5684-5696). ACL. https://doi.org/10.18653/v1/2020.acl-main.503</t>
  </si>
  <si>
    <t>Kapoor, S., Gruver, N., Roberts, M., Collins, K., Pal, A., Bhatt, U., Weller, A., Dooley, S., Goldblum, M., &amp; Wilson, A. G. (2024). Large language models must be taught to know what they don't know. In Advances in Neural Information Processing Systems 37 (NeurIPS 2024).</t>
  </si>
  <si>
    <t>Ke, G., Meng, Q., Finley, T., Wang, T., Chen, W., Ma, W., Ye, Q., &amp; Liu, T.-Y. (2017). LightGBM: A highly efficient gradient boosting decision tree. In Advances in Neural Information Processing Systems 30 (NIPS 2017).</t>
  </si>
  <si>
    <t>Kirichenko, P., Ibrahim, M., Chaudhuri, K., &amp; Bell, S. J. (2025). AbstentionBench: Reasoning LLMs fail on unanswerable questions. In Advances in Neural Information Processing Systems 38 (NeurIPS 2025) (pp. 190800-190850).</t>
  </si>
  <si>
    <t>Kuhn, L., Gal, Y., &amp; Farquhar, S. (2023). Semantic uncertainty: Linguistic invariances for uncertainty estimation in natural language generation. In International Conference on Learning Representations (ICLR 2023).</t>
  </si>
  <si>
    <t>Li, S., Wang, H., Xu, W., Zhang, R., Guo, S., Yuan, J., Zhong, X., Zhang, T., &amp; Li, R. (2026). Collaborative inference and learning between edge SLMs and cloud LLMs: A survey of algorithms, execution, and open challenges. ACM Computing Surveys. https://doi.org/10.1145/3838593</t>
  </si>
  <si>
    <t>Li, Z., Li, C., Zhang, M., Mei, Q., &amp; Bendersky, M. (2024). Retrieval augmented generation or long-context LLMs? A comprehensive study and hybrid approach. In Proceedings of the 2024 Conference on Empirical Methods in Natural Language Processing: Industry Track (pp. 881-893). ACL. https://doi.org/10.18653/v1/2024.emnlp-industry.66</t>
  </si>
  <si>
    <t>Liu, X., Chen, T., Da, L., Chen, C., Lin, Z., &amp; Wei, H. (2025). Uncertainty quantification and confidence calibration in large language models: A survey. In Proceedings of the 31st ACM SIGKDD Conference on Knowledge Discovery and Data Mining V.2 (pp. 6107-6117). ACM. https://doi.org/10.1145/3711896.3736569</t>
  </si>
  <si>
    <t>Liu, Z., Wang, Z., Liang, P. P., Salakhutdinov, R., Morency, L.-P., &amp; Ueda, M. (2019). Deep gamblers: Learning to abstain with portfolio theory. In Advances in Neural Information Processing Systems 32 (NeurIPS 2019).</t>
  </si>
  <si>
    <t>Madras, D., Pitassi, T., &amp; Zemel, R. (2018). Predict responsibly: Improving fairness and accuracy by learning to defer. In Advances in Neural Information Processing Systems 31 (NeurIPS 2018).</t>
  </si>
  <si>
    <t>Mienye, I. D., &amp; Jere, N. (2024). A survey of decision trees: Concepts, algorithms, and applications. IEEE Access, 12, 86716-86727. https://doi.org/10.1109/ACCESS.2024.3416838</t>
  </si>
  <si>
    <t>Mohri, C., &amp; Hashimoto, T. (2024). Language models with conformal factuality guarantees. In Proceedings of the 41st International Conference on Machine Learning (PMLR 235, pp. 36029-36047).</t>
  </si>
  <si>
    <t>Mozannar, H., &amp; Sontag, D. (2020). Consistent estimators for learning to defer to an expert. In Proceedings of the 37th International Conference on Machine Learning (PMLR 119, pp. 7076-7087).</t>
  </si>
  <si>
    <t>Ong, I., Almahairi, A., Wu, V., Chiang, W.-L., Wu, T., Gonzalez, J. E., Kadous, M. W., &amp; Stoica, I. (2025). RouteLLM: Learning to route LLMs with preference data. In International Conference on Learning Representations (ICLR 2025).</t>
  </si>
  <si>
    <t>Qu, J., Holzmüller, D., Varoquaux, G., &amp; Le Morvan, M. (2025). TabICL: A tabular foundation model for in-context learning on large data. In Proceedings of the 42nd International Conference on Machine Learning (PMLR 267, pp. 50817-50847).</t>
  </si>
  <si>
    <t>Quach, V., Fisch, A., Schuster, T., Yala, A., Sohn, J. H., Jaakkola, T., &amp; Barzilay, R. (2024). Conformal language modeling. In International Conference on Learning Representations (ICLR 2024).</t>
  </si>
  <si>
    <t>Ren, A. Z., Dixit, A., Bodrova, A., Singh, S., Tu, S., Brown, N., Xu, P., Takayama, L., Xia, F., Varley, J., Xu, Z., Sadigh, D., Zeng, A., &amp; Majumdar, A. (2023). Robots that ask for help: Uncertainty alignment for large language model planners. In Proceedings of The 7th Conference on Robot Learning (PMLR 229, pp. 661-682).</t>
  </si>
  <si>
    <t>Shah, K., &amp; Manwani, N. (2020). Online active learning of reject option classifiers. In Proceedings of the AAAI Conference on Artificial Intelligence, 34(04), 5652-5659. https://doi.org/10.1609/aaai.v34i04.6019</t>
  </si>
  <si>
    <t>Sousa, M., Tomé, A. M., &amp; Moreira, J. (2024). A general framework for multi-step ahead adaptive conformal heteroscedastic time series forecasting. Neurocomputing, 608, 128434. https://doi.org/10.1016/j.neucom.2024.128434</t>
  </si>
  <si>
    <t>Steyvers, M., Tejeda, H., Kumar, A., Belem, C., Karny, S., Hu, X., Mayer, L. W., &amp; Smyth, P. (2025). What large language models know and what people think they know. Nature Machine Intelligence, 7(2), 221-231. https://doi.org/10.1038/s42256-024-00976-7</t>
  </si>
  <si>
    <t>Tang, Z., Shen, K., &amp; Kejriwal, M. (2026). An evaluation of estimative uncertainty in large language models. npj Complexity, 3, Article 8. https://doi.org/10.1038/s44260-026-00070-6</t>
  </si>
  <si>
    <t>Tariq, S., Chhetri, M. B., Nepal, S., &amp; Paris, C. (2025). A2C: A modular multi-stage collaborative decision framework for human-AI teams. Expert Systems with Applications, 282, 127318. https://doi.org/10.1016/j.eswa.2025.127318</t>
  </si>
  <si>
    <t>Tibshirani, R. J., Barber, R. F., Candès, E. J., &amp; Ramdas, A. (2019). Conformal prediction under covariate shift. In Advances in Neural Information Processing Systems 32 (NeurIPS 2019).</t>
  </si>
  <si>
    <t>Wen, B., Yao, J., Feng, S., Xu, C., Tsvetkov, Y., Howe, B., &amp; Wang, L. L. (2025). Know your limits: A survey of abstention in large language models. Transactions of the Association for Computational Linguistics, 13, 529-556. https://doi.org/10.1162/tacl_a_00754</t>
  </si>
  <si>
    <t>Wen, C., Zhu, A., Long, R., Huang, H., Jiang, J., &amp; Lee, C. S. (2026). CalibJudge: Calibrated LLM-as-a-judge for multilingual RAG with uncertainty-aware scoring. In Proceedings of the 2026 International Conference on Artificial Intelligence and Control (CAIC '26) (pp. 661-667). ACM. https://doi.org/10.1145/3807246.3807349</t>
  </si>
  <si>
    <t>Whitehead, S., Petryk, S., Shakib, V., Gonzalez, J., Darrell, T., Rohrbach, A., &amp; Rohrbach, M. (2022). Reliable visual question answering: Abstain rather than answer incorrectly. In Computer Vision - ECCV 2022 (Lecture Notes in Computer Science, pp. 148-166). Springer. https://doi.org/10.1007/978-3-031-20059-5_9</t>
  </si>
  <si>
    <t>Xu, T., Wu, S., Diao, S., Liu, X., Wang, X., Chen, Y., &amp; Gao, J. (2024). SaySelf: Teaching LLMs to express confidence with self-reflective rationales. In Proceedings of the 2024 Conference on Empirical Methods in Natural Language Processing (pp. 5985-5998). ACL. https://doi.org/10.18653/v1/2024.emnlp-main.343</t>
  </si>
  <si>
    <t>Yang, Y., Kuchibhotla, A. K., &amp; Tchetgen Tchetgen, E. (2024). Doubly robust calibration of prediction sets under covariate shift. Journal of the Royal Statistical Society Series B: Statistical Methodology, 86(4), 943-965. https://doi.org/10.1093/jrsssb/qkae009</t>
  </si>
  <si>
    <t>Zaffran, M., Dieuleveut, A., Féron, O., Goude, Y., &amp; Josse, J. (2022). Adaptive conformal predictions for time series. In Proceedings of the 39th International Conference on Machine Learning (PMLR 162, pp. 25834-25866).</t>
  </si>
  <si>
    <t>Zhang, M., He, J., Ji, T., &amp; Lu, C.-T. (2024a). Don't go to extremes: Revealing the excessive sensitivity and calibration limitations of LLMs in implicit hate speech detection. In Proceedings of the 62nd Annual Meeting of the Association for Computational Linguistics (Volume 1: Long Papers) (pp. 12073-12086). ACL. https://doi.org/10.18653/v1/2024.acl-long.652</t>
  </si>
  <si>
    <t>Zhang, M., Huang, M., Shi, R., Guo, L., Peng, C., Yan, P., Zhou, Y., &amp; Qiu, X. (2024b). Calibrating the confidence of large language models by eliciting fidelity. In Proceedings of the 2024 Conference on Empirical Methods in Natural Language Processing (pp. 2959-2979). ACL. https://doi.org/10.18653/v1/2024.emnlp-main.173</t>
  </si>
  <si>
    <t>Zhu, F., Cheng, Z., Zhang, X.-Y., &amp; Liu, C.-L. (2023). OpenMix: Exploring outlier samples for misclassification detection. In 2023 IEEE/CVF Conference on Computer Vision and Pattern Recognition (CVPR) (pp. 12074-12083). IEEE. https://doi.org/10.1109/CVPR52729.2023.01162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</si>
</sst>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1C4F8B"/>
      <name val="Arial"/>
    </font>
    <font>
      <sz val="9"/>
      <color rgb="FF6B727C"/>
      <name val="Arial"/>
    </font>
    <font>
      <b/>
      <sz val="10"/>
      <color rgb="FFFFFFFF"/>
      <name val="Arial"/>
    </font>
    <font>
      <sz val="9"/>
      <name val="Arial"/>
    </font>
    <font>
      <b/>
      <sz val="10"/>
      <name val="Arial"/>
    </font>
    <font>
      <b/>
      <sz val="9"/>
      <name val="Arial"/>
    </font>
    <font>
      <sz val="10"/>
      <name val="Arial"/>
    </font>
    <font>
      <b/>
      <sz val="18"/>
      <color rgb="FF1C4F8B"/>
      <name val="Arial"/>
    </font>
    <font>
      <sz val="10"/>
      <color rgb="FF6B727C"/>
      <name val="Arial"/>
    </font>
  </fonts>
  <fills count="6">
    <fill>
      <patternFill patternType="none"/>
    </fill>
    <fill>
      <patternFill patternType="gray125"/>
    </fill>
    <fill>
      <patternFill patternType="solid">
        <fgColor rgb="FF1C4F8B"/>
      </patternFill>
    </fill>
    <fill>
      <patternFill patternType="solid">
        <fgColor rgb="FFFFFDE7"/>
      </patternFill>
    </fill>
    <fill>
      <patternFill patternType="solid">
        <fgColor rgb="FF275D95"/>
      </patternFill>
    </fill>
    <fill>
      <patternFill patternType="solid">
        <fgColor rgb="FFE2F0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8" fillId="0" borderId="0" xfId="0" applyFont="1"/>
    <xf numFmtId="0" fontId="9" fillId="0" borderId="0" xfId="0" applyFont="1"/>
    <xf numFmtId="0" fontId="3" fillId="2" borderId="1" xfId="0" applyFont="1" applyFill="1" applyBorder="1" applyAlignment="1">
      <alignment horizontal="left" vertical="center" wrapText="1"/>
    </xf>
    <xf numFmtId="0" fontId="7" fillId="0" borderId="1" xfId="0" applyFont="1" applyBorder="1" applyAlignment="1">
      <alignment vertical="top" wrapText="1"/>
    </xf>
    <xf numFmtId="0" fontId="5" fillId="0" borderId="0" xfId="0" applyFont="1"/>
    <xf numFmtId="0" fontId="7" fillId="3" borderId="1" xfId="0" applyFont="1" applyFill="1" applyBorder="1"/>
    <xf numFmtId="0" fontId="7" fillId="0" borderId="1" xfId="0" applyFont="1" applyBorder="1"/>
    <xf numFmtId="0" fontId="7" fillId="5" borderId="1" xfId="0" applyFont="1" applyFill="1" applyBorder="1"/>
    <xf numFmtId="0" fontId="7" fillId="0" borderId="0" xfId="0" applyFont="1"/>
    <xf numFmtId="0" fontId="1" fillId="0" borderId="0" xfId="0" applyFont="1"/>
    <xf numFmtId="0" fontId="4" fillId="3" borderId="1" xfId="0" applyFont="1" applyFill="1" applyBorder="1" applyAlignment="1">
      <alignment horizontal="center" vertical="top" wrapText="1"/>
    </xf>
    <xf numFmtId="0" fontId="4" fillId="3" borderId="1" xfId="0" applyFont="1" applyFill="1" applyBorder="1" applyAlignment="1">
      <alignment vertical="top" wrapText="1"/>
    </xf>
    <xf numFmtId="0" fontId="5" fillId="0" borderId="0" xfId="0" applyFont="1" applyAlignment="1">
      <alignment horizontal="center"/>
    </xf>
    <xf numFmtId="0" fontId="6" fillId="0" borderId="1" xfId="0" applyFont="1" applyBorder="1" applyAlignment="1">
      <alignment horizontal="center" vertical="top" wrapText="1"/>
    </xf>
    <xf numFmtId="0" fontId="6" fillId="3" borderId="1" xfId="0" applyFont="1" applyFill="1" applyBorder="1" applyAlignment="1">
      <alignment horizontal="center" vertical="top" wrapText="1"/>
    </xf>
    <xf numFmtId="0" fontId="3" fillId="4" borderId="1" xfId="0" applyFont="1" applyFill="1" applyBorder="1" applyAlignment="1">
      <alignment horizontal="left" vertical="center" wrapText="1"/>
    </xf>
    <xf numFmtId="0" fontId="2" fillId="0" borderId="0" xfId="0" applyFont="1"/>
    <xf numFmtId="0" fontId="5" fillId="0" borderId="1" xfId="0" applyFont="1" applyBorder="1" applyAlignment="1">
      <alignment horizontal="center" vertical="top"/>
    </xf>
    <xf numFmtId="0" fontId="2" fillId="0" borderId="1" xfId="0" applyFont="1" applyBorder="1" applyAlignment="1">
      <alignment vertical="top" wrapText="1"/>
    </xf>
    <xf numFmtId="0" fontId="5" fillId="0" borderId="1" xfId="0" applyFont="1" applyBorder="1" applyAlignment="1">
      <alignment horizontal="center"/>
    </xf>
    <xf numFmtId="0" fontId="7" fillId="0" borderId="1" xfId="0" applyFont="1" applyBorder="1" applyAlignment="1">
      <alignment horizontal="center"/>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7" fillId="0" borderId="0" xfId="0" applyFont="1" applyAlignment="1">
      <alignment vertical="top" wrapText="1"/>
    </xf>
    <xf numFmtId="0" fontId="0" fillId="0" borderId="0" xfId="0"/>
    <xf numFmtId="0" fontId="5" fillId="0" borderId="0" xfId="0" applyFont="1" applyAlignment="1">
      <alignment vertical="top" wrapText="1"/>
    </xf>
    <xf numFmtId="0" fontId="2" fillId="0" borderId="0" xfId="0" applyFont="1" applyAlignment="1">
      <alignment vertical="top" wrapText="1"/>
    </xf>
  </cellXfs>
  <cellStyles count="1">
    <cellStyle name="Normal" xfId="0" builtinId="0"/>
  </cellStyles>
  <dxfs count="1">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63"/>
  <sheetViews>
    <sheetView tabSelected="1" workbookViewId="0"/>
  </sheetViews>
  <sheetFormatPr defaultRowHeight="14.5" x14ac:dyDescent="0.35"/>
  <cols>
    <col min="1" max="1" width="4" customWidth="1"/>
    <col min="2" max="2" width="30" customWidth="1"/>
    <col min="3" max="3" width="80" customWidth="1"/>
    <col min="4" max="4" width="26" customWidth="1"/>
  </cols>
  <sheetData>
    <row r="2" spans="2:4" ht="23" customHeight="1" x14ac:dyDescent="0.5">
      <c r="B2" s="1" t="s">
        <v>0</v>
      </c>
    </row>
    <row r="3" spans="2:4" x14ac:dyDescent="0.35">
      <c r="B3" s="2" t="s">
        <v>1</v>
      </c>
    </row>
    <row r="4" spans="2:4" ht="44" customHeight="1" x14ac:dyDescent="0.35">
      <c r="B4" s="24" t="s">
        <v>2</v>
      </c>
      <c r="C4" s="25"/>
      <c r="D4" s="25"/>
    </row>
    <row r="5" spans="2:4" ht="30" customHeight="1" x14ac:dyDescent="0.35">
      <c r="B5" s="26" t="s">
        <v>3</v>
      </c>
      <c r="C5" s="25"/>
      <c r="D5" s="25"/>
    </row>
    <row r="6" spans="2:4" x14ac:dyDescent="0.35">
      <c r="B6" s="3" t="s">
        <v>4</v>
      </c>
      <c r="C6" s="3" t="s">
        <v>5</v>
      </c>
      <c r="D6" s="3" t="s">
        <v>6</v>
      </c>
    </row>
    <row r="7" spans="2:4" ht="30" customHeight="1" x14ac:dyDescent="0.35">
      <c r="B7" s="4" t="s">
        <v>7</v>
      </c>
      <c r="C7" s="4" t="s">
        <v>8</v>
      </c>
      <c r="D7" s="4" t="s">
        <v>9</v>
      </c>
    </row>
    <row r="8" spans="2:4" ht="30" customHeight="1" x14ac:dyDescent="0.35">
      <c r="B8" s="4" t="s">
        <v>10</v>
      </c>
      <c r="C8" s="4" t="s">
        <v>11</v>
      </c>
      <c r="D8" s="4" t="s">
        <v>12</v>
      </c>
    </row>
    <row r="9" spans="2:4" ht="30" customHeight="1" x14ac:dyDescent="0.35">
      <c r="B9" s="4" t="s">
        <v>13</v>
      </c>
      <c r="C9" s="4" t="s">
        <v>14</v>
      </c>
      <c r="D9" s="4" t="s">
        <v>15</v>
      </c>
    </row>
    <row r="10" spans="2:4" ht="30" customHeight="1" x14ac:dyDescent="0.35">
      <c r="B10" s="4" t="s">
        <v>9</v>
      </c>
      <c r="C10" s="4" t="s">
        <v>16</v>
      </c>
      <c r="D10" s="4" t="s">
        <v>17</v>
      </c>
    </row>
    <row r="11" spans="2:4" ht="30" customHeight="1" x14ac:dyDescent="0.35">
      <c r="B11" s="4" t="s">
        <v>18</v>
      </c>
      <c r="C11" s="4" t="s">
        <v>19</v>
      </c>
      <c r="D11" s="4" t="s">
        <v>20</v>
      </c>
    </row>
    <row r="12" spans="2:4" ht="30" customHeight="1" x14ac:dyDescent="0.35">
      <c r="B12" s="4" t="s">
        <v>21</v>
      </c>
      <c r="C12" s="4" t="s">
        <v>22</v>
      </c>
      <c r="D12" s="4" t="s">
        <v>23</v>
      </c>
    </row>
    <row r="13" spans="2:4" ht="30" customHeight="1" x14ac:dyDescent="0.35">
      <c r="B13" s="4" t="s">
        <v>24</v>
      </c>
      <c r="C13" s="4" t="s">
        <v>25</v>
      </c>
      <c r="D13" s="4" t="s">
        <v>26</v>
      </c>
    </row>
    <row r="15" spans="2:4" x14ac:dyDescent="0.35">
      <c r="B15" s="5" t="s">
        <v>27</v>
      </c>
    </row>
    <row r="16" spans="2:4" x14ac:dyDescent="0.35">
      <c r="B16" s="6" t="s">
        <v>28</v>
      </c>
    </row>
    <row r="17" spans="2:4" x14ac:dyDescent="0.35">
      <c r="B17" s="7" t="s">
        <v>29</v>
      </c>
    </row>
    <row r="18" spans="2:4" x14ac:dyDescent="0.35">
      <c r="B18" s="8" t="s">
        <v>30</v>
      </c>
    </row>
    <row r="20" spans="2:4" ht="34" customHeight="1" x14ac:dyDescent="0.35">
      <c r="B20" s="26" t="str">
        <f>"Completed bounded review: "&amp;'04 PRISMA counts'!C11&amp;" unique records screened from "&amp;'04 PRISMA counts'!C7&amp;" database hits ("&amp;'04 PRISMA counts'!C9&amp;" exported), "&amp;'04 PRISMA counts'!C16&amp;" included from databases and "&amp;'04 PRISMA counts'!C20&amp;" by citation chasing: "&amp;'04 PRISMA counts'!C21&amp;" studies in total."</f>
        <v>Completed bounded review: 198 unique records screened from 14683 database hits (200 exported), 51 included from databases and 8 by citation chasing: 59 studies in total.</v>
      </c>
      <c r="C20" s="25"/>
      <c r="D20" s="25"/>
    </row>
    <row r="22" spans="2:4" x14ac:dyDescent="0.35">
      <c r="B22" s="5" t="s">
        <v>31</v>
      </c>
    </row>
    <row r="23" spans="2:4" ht="32" customHeight="1" x14ac:dyDescent="0.35">
      <c r="B23" s="24" t="s">
        <v>32</v>
      </c>
      <c r="C23" s="25"/>
      <c r="D23" s="25"/>
    </row>
    <row r="25" spans="2:4" x14ac:dyDescent="0.35">
      <c r="B25" s="5" t="s">
        <v>33</v>
      </c>
    </row>
    <row r="26" spans="2:4" x14ac:dyDescent="0.35">
      <c r="B26" s="5" t="s">
        <v>34</v>
      </c>
    </row>
    <row r="27" spans="2:4" ht="28" customHeight="1" x14ac:dyDescent="0.35">
      <c r="B27" s="24" t="s">
        <v>35</v>
      </c>
      <c r="C27" s="25"/>
      <c r="D27" s="25"/>
    </row>
    <row r="28" spans="2:4" ht="28" customHeight="1" x14ac:dyDescent="0.35">
      <c r="B28" s="24" t="s">
        <v>36</v>
      </c>
      <c r="C28" s="25"/>
      <c r="D28" s="25"/>
    </row>
    <row r="29" spans="2:4" ht="28" customHeight="1" x14ac:dyDescent="0.35">
      <c r="B29" s="24" t="s">
        <v>37</v>
      </c>
      <c r="C29" s="25"/>
      <c r="D29" s="25"/>
    </row>
    <row r="30" spans="2:4" ht="28" customHeight="1" x14ac:dyDescent="0.35">
      <c r="B30" s="24" t="s">
        <v>38</v>
      </c>
      <c r="C30" s="25"/>
      <c r="D30" s="25"/>
    </row>
    <row r="31" spans="2:4" ht="28" customHeight="1" x14ac:dyDescent="0.35">
      <c r="B31" s="24" t="s">
        <v>39</v>
      </c>
      <c r="C31" s="25"/>
      <c r="D31" s="25"/>
    </row>
    <row r="32" spans="2:4" ht="58" customHeight="1" x14ac:dyDescent="0.35">
      <c r="B32" s="24" t="s">
        <v>40</v>
      </c>
      <c r="C32" s="25"/>
      <c r="D32" s="25"/>
    </row>
    <row r="33" spans="2:4" ht="58" customHeight="1" x14ac:dyDescent="0.35">
      <c r="B33" s="24" t="s">
        <v>41</v>
      </c>
      <c r="C33" s="25"/>
      <c r="D33" s="25"/>
    </row>
    <row r="35" spans="2:4" x14ac:dyDescent="0.35">
      <c r="B35" s="5" t="s">
        <v>42</v>
      </c>
    </row>
    <row r="36" spans="2:4" ht="30" customHeight="1" x14ac:dyDescent="0.35">
      <c r="B36" s="24" t="s">
        <v>43</v>
      </c>
      <c r="C36" s="25"/>
      <c r="D36" s="25"/>
    </row>
    <row r="37" spans="2:4" ht="30" customHeight="1" x14ac:dyDescent="0.35">
      <c r="B37" s="24" t="s">
        <v>44</v>
      </c>
      <c r="C37" s="25"/>
      <c r="D37" s="25"/>
    </row>
    <row r="38" spans="2:4" ht="30" customHeight="1" x14ac:dyDescent="0.35">
      <c r="B38" s="24" t="s">
        <v>45</v>
      </c>
      <c r="C38" s="25"/>
      <c r="D38" s="25"/>
    </row>
    <row r="39" spans="2:4" ht="30" customHeight="1" x14ac:dyDescent="0.35">
      <c r="B39" s="24" t="s">
        <v>46</v>
      </c>
      <c r="C39" s="25"/>
      <c r="D39" s="25"/>
    </row>
    <row r="40" spans="2:4" ht="30" customHeight="1" x14ac:dyDescent="0.35">
      <c r="B40" s="24" t="s">
        <v>47</v>
      </c>
      <c r="C40" s="25"/>
      <c r="D40" s="25"/>
    </row>
    <row r="42" spans="2:4" x14ac:dyDescent="0.35">
      <c r="B42" s="5" t="s">
        <v>48</v>
      </c>
    </row>
    <row r="43" spans="2:4" x14ac:dyDescent="0.35">
      <c r="B43" s="9" t="s">
        <v>49</v>
      </c>
    </row>
    <row r="44" spans="2:4" x14ac:dyDescent="0.35">
      <c r="B44" s="9" t="s">
        <v>50</v>
      </c>
    </row>
    <row r="45" spans="2:4" x14ac:dyDescent="0.35">
      <c r="B45" s="9" t="s">
        <v>51</v>
      </c>
    </row>
    <row r="46" spans="2:4" x14ac:dyDescent="0.35">
      <c r="B46" s="9" t="s">
        <v>52</v>
      </c>
    </row>
    <row r="47" spans="2:4" x14ac:dyDescent="0.35">
      <c r="B47" s="9" t="s">
        <v>53</v>
      </c>
    </row>
    <row r="48" spans="2:4" x14ac:dyDescent="0.35">
      <c r="B48" s="9" t="s">
        <v>54</v>
      </c>
    </row>
    <row r="49" spans="2:4" x14ac:dyDescent="0.35">
      <c r="B49" s="9" t="s">
        <v>55</v>
      </c>
    </row>
    <row r="51" spans="2:4" x14ac:dyDescent="0.35">
      <c r="B51" s="5" t="s">
        <v>56</v>
      </c>
    </row>
    <row r="52" spans="2:4" ht="32" customHeight="1" x14ac:dyDescent="0.35">
      <c r="B52" s="24" t="s">
        <v>57</v>
      </c>
      <c r="C52" s="25"/>
      <c r="D52" s="25"/>
    </row>
    <row r="53" spans="2:4" ht="32" customHeight="1" x14ac:dyDescent="0.35">
      <c r="B53" s="24" t="s">
        <v>58</v>
      </c>
      <c r="C53" s="25"/>
      <c r="D53" s="25"/>
    </row>
    <row r="54" spans="2:4" ht="32" customHeight="1" x14ac:dyDescent="0.35">
      <c r="B54" s="24" t="s">
        <v>59</v>
      </c>
      <c r="C54" s="25"/>
      <c r="D54" s="25"/>
    </row>
    <row r="55" spans="2:4" ht="32" customHeight="1" x14ac:dyDescent="0.35">
      <c r="B55" s="24" t="s">
        <v>60</v>
      </c>
      <c r="C55" s="25"/>
      <c r="D55" s="25"/>
    </row>
    <row r="56" spans="2:4" ht="32" customHeight="1" x14ac:dyDescent="0.35">
      <c r="B56" s="24" t="s">
        <v>61</v>
      </c>
      <c r="C56" s="25"/>
      <c r="D56" s="25"/>
    </row>
    <row r="57" spans="2:4" ht="32" customHeight="1" x14ac:dyDescent="0.35">
      <c r="B57" s="24" t="s">
        <v>62</v>
      </c>
      <c r="C57" s="25"/>
      <c r="D57" s="25"/>
    </row>
    <row r="59" spans="2:4" x14ac:dyDescent="0.35">
      <c r="B59" s="5" t="s">
        <v>63</v>
      </c>
    </row>
    <row r="60" spans="2:4" ht="58" customHeight="1" x14ac:dyDescent="0.35">
      <c r="B60" s="24" t="s">
        <v>64</v>
      </c>
      <c r="C60" s="25"/>
      <c r="D60" s="25"/>
    </row>
    <row r="61" spans="2:4" ht="31" customHeight="1" x14ac:dyDescent="0.35">
      <c r="B61" s="24" t="s">
        <v>65</v>
      </c>
      <c r="C61" s="25"/>
      <c r="D61" s="25"/>
    </row>
    <row r="62" spans="2:4" ht="112" customHeight="1" x14ac:dyDescent="0.35">
      <c r="B62" s="24" t="s">
        <v>66</v>
      </c>
      <c r="C62" s="25"/>
      <c r="D62" s="25"/>
    </row>
    <row r="63" spans="2:4" ht="58" customHeight="1" x14ac:dyDescent="0.35">
      <c r="B63" s="24" t="s">
        <v>67</v>
      </c>
      <c r="C63" s="25"/>
      <c r="D63" s="25"/>
    </row>
  </sheetData>
  <mergeCells count="26">
    <mergeCell ref="B4:D4"/>
    <mergeCell ref="B62:D62"/>
    <mergeCell ref="B54:D54"/>
    <mergeCell ref="B31:D31"/>
    <mergeCell ref="B27:D27"/>
    <mergeCell ref="B56:D56"/>
    <mergeCell ref="B52:D52"/>
    <mergeCell ref="B39:D39"/>
    <mergeCell ref="B20:D20"/>
    <mergeCell ref="B33:D33"/>
    <mergeCell ref="B36:D36"/>
    <mergeCell ref="B5:D5"/>
    <mergeCell ref="B63:D63"/>
    <mergeCell ref="B32:D32"/>
    <mergeCell ref="B60:D60"/>
    <mergeCell ref="B23:D23"/>
    <mergeCell ref="B61:D61"/>
    <mergeCell ref="B57:D57"/>
    <mergeCell ref="B53:D53"/>
    <mergeCell ref="B29:D29"/>
    <mergeCell ref="B38:D38"/>
    <mergeCell ref="B28:D28"/>
    <mergeCell ref="B37:D37"/>
    <mergeCell ref="B40:D40"/>
    <mergeCell ref="B30:D30"/>
    <mergeCell ref="B55:D5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4"/>
  <sheetViews>
    <sheetView workbookViewId="0">
      <pane ySplit="4" topLeftCell="A5" activePane="bottomLeft" state="frozen"/>
      <selection pane="bottomLeft"/>
    </sheetView>
  </sheetViews>
  <sheetFormatPr defaultRowHeight="14.5" x14ac:dyDescent="0.35"/>
  <cols>
    <col min="1" max="1" width="8" customWidth="1"/>
    <col min="2" max="2" width="20" customWidth="1"/>
    <col min="3" max="3" width="52" customWidth="1"/>
    <col min="4" max="4" width="14" customWidth="1"/>
    <col min="5" max="5" width="12" customWidth="1"/>
    <col min="6" max="6" width="14" customWidth="1"/>
    <col min="7" max="7" width="40" customWidth="1"/>
  </cols>
  <sheetData>
    <row r="1" spans="1:7" ht="18" customHeight="1" x14ac:dyDescent="0.4">
      <c r="A1" s="10" t="s">
        <v>68</v>
      </c>
    </row>
    <row r="2" spans="1:7" ht="52" customHeight="1" x14ac:dyDescent="0.35">
      <c r="A2" s="27" t="s">
        <v>69</v>
      </c>
      <c r="B2" s="25"/>
      <c r="C2" s="25"/>
      <c r="D2" s="25"/>
      <c r="E2" s="25"/>
      <c r="F2" s="25"/>
      <c r="G2" s="25"/>
    </row>
    <row r="4" spans="1:7" ht="30" customHeight="1" x14ac:dyDescent="0.35">
      <c r="A4" s="3" t="s">
        <v>70</v>
      </c>
      <c r="B4" s="3" t="s">
        <v>71</v>
      </c>
      <c r="C4" s="3" t="s">
        <v>72</v>
      </c>
      <c r="D4" s="3" t="s">
        <v>73</v>
      </c>
      <c r="E4" s="3" t="s">
        <v>74</v>
      </c>
      <c r="F4" s="3" t="s">
        <v>75</v>
      </c>
      <c r="G4" s="3" t="s">
        <v>76</v>
      </c>
    </row>
    <row r="6" spans="1:7" ht="28" customHeight="1" x14ac:dyDescent="0.35">
      <c r="A6" s="11" t="s">
        <v>77</v>
      </c>
      <c r="B6" s="12" t="s">
        <v>78</v>
      </c>
      <c r="C6" s="12" t="s">
        <v>79</v>
      </c>
      <c r="D6" s="11" t="s">
        <v>80</v>
      </c>
      <c r="E6" s="11">
        <v>1062</v>
      </c>
      <c r="F6" s="11">
        <v>25</v>
      </c>
      <c r="G6" s="12" t="s">
        <v>81</v>
      </c>
    </row>
    <row r="7" spans="1:7" ht="29" customHeight="1" x14ac:dyDescent="0.35">
      <c r="A7" s="11" t="s">
        <v>82</v>
      </c>
      <c r="B7" s="12" t="s">
        <v>78</v>
      </c>
      <c r="C7" s="12" t="s">
        <v>83</v>
      </c>
      <c r="D7" s="11" t="s">
        <v>80</v>
      </c>
      <c r="E7" s="11">
        <v>632</v>
      </c>
      <c r="F7" s="11">
        <v>25</v>
      </c>
      <c r="G7" s="12" t="s">
        <v>81</v>
      </c>
    </row>
    <row r="8" spans="1:7" ht="29" customHeight="1" x14ac:dyDescent="0.35">
      <c r="A8" s="11" t="s">
        <v>84</v>
      </c>
      <c r="B8" s="12" t="s">
        <v>78</v>
      </c>
      <c r="C8" s="12" t="s">
        <v>85</v>
      </c>
      <c r="D8" s="11" t="s">
        <v>80</v>
      </c>
      <c r="E8" s="11">
        <v>1398</v>
      </c>
      <c r="F8" s="11">
        <v>25</v>
      </c>
      <c r="G8" s="12" t="s">
        <v>81</v>
      </c>
    </row>
    <row r="9" spans="1:7" ht="28" customHeight="1" x14ac:dyDescent="0.35">
      <c r="A9" s="11" t="s">
        <v>86</v>
      </c>
      <c r="B9" s="12" t="s">
        <v>78</v>
      </c>
      <c r="C9" s="12" t="s">
        <v>87</v>
      </c>
      <c r="D9" s="11" t="s">
        <v>80</v>
      </c>
      <c r="E9" s="11">
        <v>224</v>
      </c>
      <c r="F9" s="11">
        <v>25</v>
      </c>
      <c r="G9" s="12" t="s">
        <v>81</v>
      </c>
    </row>
    <row r="10" spans="1:7" ht="28" customHeight="1" x14ac:dyDescent="0.35">
      <c r="A10" s="11" t="s">
        <v>88</v>
      </c>
      <c r="B10" s="12" t="s">
        <v>78</v>
      </c>
      <c r="C10" s="12" t="s">
        <v>89</v>
      </c>
      <c r="D10" s="11" t="s">
        <v>80</v>
      </c>
      <c r="E10" s="11">
        <v>579</v>
      </c>
      <c r="F10" s="11">
        <v>25</v>
      </c>
      <c r="G10" s="12" t="s">
        <v>81</v>
      </c>
    </row>
    <row r="11" spans="1:7" ht="29" customHeight="1" x14ac:dyDescent="0.35">
      <c r="A11" s="11" t="s">
        <v>90</v>
      </c>
      <c r="B11" s="12" t="s">
        <v>78</v>
      </c>
      <c r="C11" s="12" t="s">
        <v>91</v>
      </c>
      <c r="D11" s="11" t="s">
        <v>80</v>
      </c>
      <c r="E11" s="11">
        <v>836</v>
      </c>
      <c r="F11" s="11">
        <v>25</v>
      </c>
      <c r="G11" s="12" t="s">
        <v>81</v>
      </c>
    </row>
    <row r="12" spans="1:7" ht="41.5" customHeight="1" x14ac:dyDescent="0.35">
      <c r="A12" s="11" t="s">
        <v>92</v>
      </c>
      <c r="B12" s="12" t="s">
        <v>78</v>
      </c>
      <c r="C12" s="12" t="s">
        <v>93</v>
      </c>
      <c r="D12" s="11" t="s">
        <v>80</v>
      </c>
      <c r="E12" s="11">
        <v>8531</v>
      </c>
      <c r="F12" s="11">
        <v>25</v>
      </c>
      <c r="G12" s="12" t="s">
        <v>81</v>
      </c>
    </row>
    <row r="13" spans="1:7" ht="29" customHeight="1" x14ac:dyDescent="0.35">
      <c r="A13" s="11" t="s">
        <v>94</v>
      </c>
      <c r="B13" s="12" t="s">
        <v>78</v>
      </c>
      <c r="C13" s="12" t="s">
        <v>95</v>
      </c>
      <c r="D13" s="11" t="s">
        <v>80</v>
      </c>
      <c r="E13" s="11">
        <v>1421</v>
      </c>
      <c r="F13" s="11">
        <v>25</v>
      </c>
      <c r="G13" s="12" t="s">
        <v>81</v>
      </c>
    </row>
    <row r="14" spans="1:7" x14ac:dyDescent="0.35">
      <c r="A14" s="12"/>
      <c r="B14" s="12"/>
      <c r="C14" s="12"/>
      <c r="D14" s="12"/>
      <c r="E14" s="12"/>
      <c r="F14" s="12"/>
      <c r="G14" s="12"/>
    </row>
    <row r="15" spans="1:7" x14ac:dyDescent="0.35">
      <c r="A15" s="12"/>
      <c r="B15" s="12"/>
      <c r="C15" s="12"/>
      <c r="D15" s="12"/>
      <c r="E15" s="12"/>
      <c r="F15" s="12"/>
      <c r="G15" s="12"/>
    </row>
    <row r="16" spans="1:7" x14ac:dyDescent="0.35">
      <c r="A16" s="12"/>
      <c r="B16" s="12"/>
      <c r="C16" s="12"/>
      <c r="D16" s="12"/>
      <c r="E16" s="12"/>
      <c r="F16" s="12"/>
      <c r="G16" s="12"/>
    </row>
    <row r="17" spans="1:7" x14ac:dyDescent="0.35">
      <c r="A17" s="12"/>
      <c r="B17" s="12"/>
      <c r="C17" s="12"/>
      <c r="D17" s="12"/>
      <c r="E17" s="12"/>
      <c r="F17" s="12"/>
      <c r="G17" s="12"/>
    </row>
    <row r="18" spans="1:7" x14ac:dyDescent="0.35">
      <c r="A18" s="12"/>
      <c r="B18" s="12"/>
      <c r="C18" s="12"/>
      <c r="D18" s="12"/>
      <c r="E18" s="12"/>
      <c r="F18" s="12"/>
      <c r="G18" s="12"/>
    </row>
    <row r="19" spans="1:7" x14ac:dyDescent="0.35">
      <c r="A19" s="12"/>
      <c r="B19" s="12"/>
      <c r="C19" s="12"/>
      <c r="D19" s="12"/>
      <c r="E19" s="12"/>
      <c r="F19" s="12"/>
      <c r="G19" s="12"/>
    </row>
    <row r="20" spans="1:7" x14ac:dyDescent="0.35">
      <c r="A20" s="12"/>
      <c r="B20" s="12"/>
      <c r="C20" s="12"/>
      <c r="D20" s="12"/>
      <c r="E20" s="12"/>
      <c r="F20" s="12"/>
      <c r="G20" s="12"/>
    </row>
    <row r="21" spans="1:7" x14ac:dyDescent="0.35">
      <c r="A21" s="12"/>
      <c r="B21" s="12"/>
      <c r="C21" s="12"/>
      <c r="D21" s="12"/>
      <c r="E21" s="12"/>
      <c r="F21" s="12"/>
      <c r="G21" s="12"/>
    </row>
    <row r="22" spans="1:7" x14ac:dyDescent="0.35">
      <c r="A22" s="12"/>
      <c r="B22" s="12"/>
      <c r="C22" s="12"/>
      <c r="D22" s="12"/>
      <c r="E22" s="12"/>
      <c r="F22" s="12"/>
      <c r="G22" s="12"/>
    </row>
    <row r="23" spans="1:7" x14ac:dyDescent="0.35">
      <c r="A23" s="12"/>
      <c r="B23" s="12"/>
      <c r="C23" s="12"/>
      <c r="D23" s="12"/>
      <c r="E23" s="12"/>
      <c r="F23" s="12"/>
      <c r="G23" s="12"/>
    </row>
    <row r="24" spans="1:7" x14ac:dyDescent="0.35">
      <c r="A24" s="12"/>
      <c r="B24" s="12"/>
      <c r="C24" s="12"/>
      <c r="D24" s="12"/>
      <c r="E24" s="12"/>
      <c r="F24" s="12"/>
      <c r="G24" s="12"/>
    </row>
    <row r="25" spans="1:7" x14ac:dyDescent="0.35">
      <c r="A25" s="12"/>
      <c r="B25" s="12"/>
      <c r="C25" s="12"/>
      <c r="D25" s="12"/>
      <c r="E25" s="12"/>
      <c r="F25" s="12"/>
      <c r="G25" s="12"/>
    </row>
    <row r="26" spans="1:7" x14ac:dyDescent="0.35">
      <c r="A26" s="12"/>
      <c r="B26" s="12"/>
      <c r="C26" s="12"/>
      <c r="D26" s="12"/>
      <c r="E26" s="12"/>
      <c r="F26" s="12"/>
      <c r="G26" s="12"/>
    </row>
    <row r="28" spans="1:7" x14ac:dyDescent="0.35">
      <c r="D28" s="5" t="s">
        <v>96</v>
      </c>
      <c r="E28" s="13">
        <f>SUM(E6:E26)</f>
        <v>14683</v>
      </c>
      <c r="F28" s="13">
        <f>SUM(F6:F26)</f>
        <v>200</v>
      </c>
    </row>
    <row r="30" spans="1:7" x14ac:dyDescent="0.35">
      <c r="A30" s="5" t="s">
        <v>97</v>
      </c>
    </row>
    <row r="31" spans="1:7" ht="30" customHeight="1" x14ac:dyDescent="0.35">
      <c r="A31" s="3" t="s">
        <v>70</v>
      </c>
      <c r="B31" s="3" t="s">
        <v>71</v>
      </c>
      <c r="C31" s="3" t="s">
        <v>72</v>
      </c>
      <c r="D31" s="3" t="s">
        <v>73</v>
      </c>
      <c r="E31" s="3" t="s">
        <v>74</v>
      </c>
      <c r="F31" s="3" t="s">
        <v>98</v>
      </c>
      <c r="G31" s="3" t="s">
        <v>99</v>
      </c>
    </row>
    <row r="32" spans="1:7" ht="91.5" customHeight="1" x14ac:dyDescent="0.35">
      <c r="A32" s="11" t="s">
        <v>100</v>
      </c>
      <c r="B32" s="12" t="s">
        <v>78</v>
      </c>
      <c r="C32" s="12" t="s">
        <v>101</v>
      </c>
      <c r="D32" s="11" t="s">
        <v>80</v>
      </c>
      <c r="E32" s="11">
        <v>118</v>
      </c>
      <c r="F32" s="11">
        <v>50</v>
      </c>
      <c r="G32" s="12" t="s">
        <v>102</v>
      </c>
    </row>
    <row r="33" spans="1:7" ht="66.5" customHeight="1" x14ac:dyDescent="0.35">
      <c r="A33" s="11" t="s">
        <v>103</v>
      </c>
      <c r="B33" s="12" t="s">
        <v>78</v>
      </c>
      <c r="C33" s="12" t="s">
        <v>104</v>
      </c>
      <c r="D33" s="11" t="s">
        <v>80</v>
      </c>
      <c r="E33" s="11">
        <v>334</v>
      </c>
      <c r="F33" s="11">
        <v>50</v>
      </c>
      <c r="G33" s="12" t="s">
        <v>105</v>
      </c>
    </row>
    <row r="34" spans="1:7" ht="54" customHeight="1" x14ac:dyDescent="0.35">
      <c r="A34" s="11" t="s">
        <v>106</v>
      </c>
      <c r="B34" s="12" t="s">
        <v>78</v>
      </c>
      <c r="C34" s="12" t="s">
        <v>107</v>
      </c>
      <c r="D34" s="11" t="s">
        <v>80</v>
      </c>
      <c r="E34" s="11">
        <v>102</v>
      </c>
      <c r="F34" s="11">
        <v>50</v>
      </c>
      <c r="G34" s="12" t="s">
        <v>108</v>
      </c>
    </row>
  </sheetData>
  <mergeCells count="1">
    <mergeCell ref="A2:G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31"/>
  <sheetViews>
    <sheetView workbookViewId="0">
      <pane xSplit="2" ySplit="4" topLeftCell="C5" activePane="bottomRight" state="frozen"/>
      <selection pane="topRight"/>
      <selection pane="bottomLeft"/>
      <selection pane="bottomRight"/>
    </sheetView>
  </sheetViews>
  <sheetFormatPr defaultRowHeight="14.5" x14ac:dyDescent="0.35"/>
  <cols>
    <col min="1" max="1" width="6" customWidth="1"/>
    <col min="2" max="2" width="40" customWidth="1"/>
    <col min="3" max="3" width="20" customWidth="1"/>
    <col min="4" max="4" width="8" customWidth="1"/>
    <col min="5" max="5" width="26" customWidth="1"/>
    <col min="6" max="6" width="18" customWidth="1"/>
    <col min="7" max="9" width="11" customWidth="1"/>
    <col min="10" max="10" width="22" customWidth="1"/>
    <col min="11" max="11" width="11" customWidth="1"/>
    <col min="12" max="12" width="15" customWidth="1"/>
    <col min="13" max="13" width="46" customWidth="1"/>
    <col min="14" max="14" width="14" customWidth="1"/>
    <col min="15" max="15" width="30" customWidth="1"/>
  </cols>
  <sheetData>
    <row r="1" spans="1:15" ht="18" customHeight="1" x14ac:dyDescent="0.4">
      <c r="A1" s="10" t="s">
        <v>109</v>
      </c>
    </row>
    <row r="2" spans="1:15" ht="30" customHeight="1" x14ac:dyDescent="0.35">
      <c r="A2" s="27" t="s">
        <v>110</v>
      </c>
      <c r="B2" s="25"/>
      <c r="C2" s="25"/>
      <c r="D2" s="25"/>
      <c r="E2" s="25"/>
      <c r="F2" s="25"/>
      <c r="G2" s="25"/>
      <c r="H2" s="25"/>
      <c r="I2" s="25"/>
      <c r="J2" s="25"/>
      <c r="K2" s="25"/>
      <c r="L2" s="25"/>
    </row>
    <row r="4" spans="1:15" ht="32" customHeight="1" x14ac:dyDescent="0.35">
      <c r="A4" s="3" t="s">
        <v>70</v>
      </c>
      <c r="B4" s="3" t="s">
        <v>111</v>
      </c>
      <c r="C4" s="3" t="s">
        <v>112</v>
      </c>
      <c r="D4" s="3" t="s">
        <v>113</v>
      </c>
      <c r="E4" s="3" t="s">
        <v>114</v>
      </c>
      <c r="F4" s="3" t="s">
        <v>115</v>
      </c>
      <c r="G4" s="3" t="s">
        <v>116</v>
      </c>
      <c r="H4" s="3" t="s">
        <v>117</v>
      </c>
      <c r="I4" s="3" t="s">
        <v>118</v>
      </c>
      <c r="J4" s="3" t="s">
        <v>119</v>
      </c>
      <c r="K4" s="3" t="s">
        <v>120</v>
      </c>
      <c r="L4" s="3" t="s">
        <v>121</v>
      </c>
      <c r="M4" s="3" t="s">
        <v>122</v>
      </c>
      <c r="N4" s="3" t="s">
        <v>123</v>
      </c>
      <c r="O4" s="3" t="s">
        <v>124</v>
      </c>
    </row>
    <row r="6" spans="1:15" ht="29" customHeight="1" x14ac:dyDescent="0.35">
      <c r="A6" s="11">
        <v>1</v>
      </c>
      <c r="B6" s="12" t="s">
        <v>125</v>
      </c>
      <c r="C6" s="12" t="s">
        <v>126</v>
      </c>
      <c r="D6" s="11">
        <v>2024</v>
      </c>
      <c r="E6" s="12" t="s">
        <v>127</v>
      </c>
      <c r="F6" s="12" t="s">
        <v>128</v>
      </c>
      <c r="G6" s="11" t="s">
        <v>129</v>
      </c>
      <c r="H6" s="11"/>
      <c r="I6" s="11"/>
      <c r="J6" s="12"/>
      <c r="K6" s="14" t="str">
        <f t="shared" ref="K6:K69" si="0">IF(AND(G6="KEEP",H6="KEEP",I6="KEEP"),"YES",IF(OR(G6="DROP",H6="DROP",I6="DROP"),"NO",""))</f>
        <v>NO</v>
      </c>
      <c r="L6" s="12" t="s">
        <v>130</v>
      </c>
      <c r="M6" s="12" t="s">
        <v>131</v>
      </c>
      <c r="N6" s="12" t="s">
        <v>132</v>
      </c>
      <c r="O6" s="12" t="s">
        <v>133</v>
      </c>
    </row>
    <row r="7" spans="1:15" ht="29" customHeight="1" x14ac:dyDescent="0.35">
      <c r="A7" s="11">
        <v>2</v>
      </c>
      <c r="B7" s="12" t="s">
        <v>134</v>
      </c>
      <c r="C7" s="12" t="s">
        <v>135</v>
      </c>
      <c r="D7" s="11">
        <v>2017</v>
      </c>
      <c r="E7" s="12" t="s">
        <v>136</v>
      </c>
      <c r="F7" s="12" t="s">
        <v>128</v>
      </c>
      <c r="G7" s="11" t="s">
        <v>137</v>
      </c>
      <c r="H7" s="11" t="s">
        <v>137</v>
      </c>
      <c r="I7" s="11" t="s">
        <v>129</v>
      </c>
      <c r="J7" s="12" t="s">
        <v>138</v>
      </c>
      <c r="K7" s="14" t="str">
        <f t="shared" si="0"/>
        <v>NO</v>
      </c>
      <c r="L7" s="12" t="s">
        <v>130</v>
      </c>
      <c r="M7" s="12" t="s">
        <v>139</v>
      </c>
      <c r="N7" s="12" t="s">
        <v>140</v>
      </c>
      <c r="O7" s="12" t="s">
        <v>141</v>
      </c>
    </row>
    <row r="8" spans="1:15" ht="41.5" customHeight="1" x14ac:dyDescent="0.35">
      <c r="A8" s="11">
        <v>3</v>
      </c>
      <c r="B8" s="12" t="s">
        <v>142</v>
      </c>
      <c r="C8" s="12" t="s">
        <v>143</v>
      </c>
      <c r="D8" s="11">
        <v>2019</v>
      </c>
      <c r="E8" s="12" t="s">
        <v>144</v>
      </c>
      <c r="F8" s="12" t="s">
        <v>128</v>
      </c>
      <c r="G8" s="11" t="s">
        <v>129</v>
      </c>
      <c r="H8" s="11"/>
      <c r="I8" s="11"/>
      <c r="J8" s="12"/>
      <c r="K8" s="14" t="str">
        <f t="shared" si="0"/>
        <v>NO</v>
      </c>
      <c r="L8" s="12" t="s">
        <v>130</v>
      </c>
      <c r="M8" s="12" t="s">
        <v>131</v>
      </c>
      <c r="N8" s="12" t="s">
        <v>145</v>
      </c>
      <c r="O8" s="12" t="s">
        <v>146</v>
      </c>
    </row>
    <row r="9" spans="1:15" ht="41.5" customHeight="1" x14ac:dyDescent="0.35">
      <c r="A9" s="11">
        <v>4</v>
      </c>
      <c r="B9" s="12" t="s">
        <v>147</v>
      </c>
      <c r="C9" s="12" t="s">
        <v>148</v>
      </c>
      <c r="D9" s="11">
        <v>2020</v>
      </c>
      <c r="E9" s="12" t="s">
        <v>149</v>
      </c>
      <c r="F9" s="12" t="s">
        <v>128</v>
      </c>
      <c r="G9" s="11" t="s">
        <v>129</v>
      </c>
      <c r="H9" s="11"/>
      <c r="I9" s="11"/>
      <c r="J9" s="12"/>
      <c r="K9" s="14" t="str">
        <f t="shared" si="0"/>
        <v>NO</v>
      </c>
      <c r="L9" s="12" t="s">
        <v>130</v>
      </c>
      <c r="M9" s="12" t="s">
        <v>131</v>
      </c>
      <c r="N9" s="12" t="s">
        <v>150</v>
      </c>
      <c r="O9" s="12" t="s">
        <v>151</v>
      </c>
    </row>
    <row r="10" spans="1:15" ht="41.5" customHeight="1" x14ac:dyDescent="0.35">
      <c r="A10" s="11">
        <v>5</v>
      </c>
      <c r="B10" s="12" t="s">
        <v>152</v>
      </c>
      <c r="C10" s="12" t="s">
        <v>153</v>
      </c>
      <c r="D10" s="11">
        <v>2024</v>
      </c>
      <c r="E10" s="12" t="s">
        <v>154</v>
      </c>
      <c r="F10" s="12" t="s">
        <v>128</v>
      </c>
      <c r="G10" s="11" t="s">
        <v>129</v>
      </c>
      <c r="H10" s="11"/>
      <c r="I10" s="11"/>
      <c r="J10" s="12"/>
      <c r="K10" s="14" t="str">
        <f t="shared" si="0"/>
        <v>NO</v>
      </c>
      <c r="L10" s="12" t="s">
        <v>130</v>
      </c>
      <c r="M10" s="12" t="s">
        <v>131</v>
      </c>
      <c r="N10" s="12" t="s">
        <v>155</v>
      </c>
      <c r="O10" s="12" t="s">
        <v>156</v>
      </c>
    </row>
    <row r="11" spans="1:15" ht="29" customHeight="1" x14ac:dyDescent="0.35">
      <c r="A11" s="11">
        <v>6</v>
      </c>
      <c r="B11" s="12" t="s">
        <v>157</v>
      </c>
      <c r="C11" s="12" t="s">
        <v>135</v>
      </c>
      <c r="D11" s="11">
        <v>2019</v>
      </c>
      <c r="E11" s="12" t="s">
        <v>158</v>
      </c>
      <c r="F11" s="12" t="s">
        <v>128</v>
      </c>
      <c r="G11" s="11" t="s">
        <v>137</v>
      </c>
      <c r="H11" s="11" t="s">
        <v>137</v>
      </c>
      <c r="I11" s="11" t="s">
        <v>137</v>
      </c>
      <c r="J11" s="12"/>
      <c r="K11" s="14" t="str">
        <f t="shared" si="0"/>
        <v>YES</v>
      </c>
      <c r="L11" s="12" t="s">
        <v>130</v>
      </c>
      <c r="M11" s="12" t="s">
        <v>159</v>
      </c>
      <c r="N11" s="12" t="s">
        <v>160</v>
      </c>
      <c r="O11" s="12" t="s">
        <v>161</v>
      </c>
    </row>
    <row r="12" spans="1:15" ht="41.5" customHeight="1" x14ac:dyDescent="0.35">
      <c r="A12" s="11">
        <v>7</v>
      </c>
      <c r="B12" s="12" t="s">
        <v>162</v>
      </c>
      <c r="C12" s="12" t="s">
        <v>163</v>
      </c>
      <c r="D12" s="11">
        <v>2020</v>
      </c>
      <c r="E12" s="12" t="s">
        <v>164</v>
      </c>
      <c r="F12" s="12" t="s">
        <v>128</v>
      </c>
      <c r="G12" s="11" t="s">
        <v>129</v>
      </c>
      <c r="H12" s="11"/>
      <c r="I12" s="11"/>
      <c r="J12" s="12"/>
      <c r="K12" s="14" t="str">
        <f t="shared" si="0"/>
        <v>NO</v>
      </c>
      <c r="L12" s="12" t="s">
        <v>130</v>
      </c>
      <c r="M12" s="12" t="s">
        <v>131</v>
      </c>
      <c r="N12" s="12" t="s">
        <v>165</v>
      </c>
      <c r="O12" s="12" t="s">
        <v>166</v>
      </c>
    </row>
    <row r="13" spans="1:15" ht="29" customHeight="1" x14ac:dyDescent="0.35">
      <c r="A13" s="11">
        <v>8</v>
      </c>
      <c r="B13" s="12" t="s">
        <v>167</v>
      </c>
      <c r="C13" s="12" t="s">
        <v>168</v>
      </c>
      <c r="D13" s="11">
        <v>2020</v>
      </c>
      <c r="E13" s="12" t="s">
        <v>136</v>
      </c>
      <c r="F13" s="12" t="s">
        <v>128</v>
      </c>
      <c r="G13" s="11" t="s">
        <v>129</v>
      </c>
      <c r="H13" s="11"/>
      <c r="I13" s="11"/>
      <c r="J13" s="12"/>
      <c r="K13" s="14" t="str">
        <f t="shared" si="0"/>
        <v>NO</v>
      </c>
      <c r="L13" s="12" t="s">
        <v>130</v>
      </c>
      <c r="M13" s="12" t="s">
        <v>169</v>
      </c>
      <c r="N13" s="12" t="s">
        <v>170</v>
      </c>
      <c r="O13" s="12" t="s">
        <v>171</v>
      </c>
    </row>
    <row r="14" spans="1:15" ht="29" customHeight="1" x14ac:dyDescent="0.35">
      <c r="A14" s="11">
        <v>9</v>
      </c>
      <c r="B14" s="12" t="s">
        <v>172</v>
      </c>
      <c r="C14" s="12" t="s">
        <v>173</v>
      </c>
      <c r="D14" s="11">
        <v>2024</v>
      </c>
      <c r="E14" s="12" t="s">
        <v>174</v>
      </c>
      <c r="F14" s="12" t="s">
        <v>128</v>
      </c>
      <c r="G14" s="11" t="s">
        <v>129</v>
      </c>
      <c r="H14" s="11"/>
      <c r="I14" s="11"/>
      <c r="J14" s="12"/>
      <c r="K14" s="14" t="str">
        <f t="shared" si="0"/>
        <v>NO</v>
      </c>
      <c r="L14" s="12" t="s">
        <v>130</v>
      </c>
      <c r="M14" s="12" t="s">
        <v>175</v>
      </c>
      <c r="N14" s="12" t="s">
        <v>176</v>
      </c>
      <c r="O14" s="12" t="s">
        <v>177</v>
      </c>
    </row>
    <row r="15" spans="1:15" ht="29" customHeight="1" x14ac:dyDescent="0.35">
      <c r="A15" s="11">
        <v>10</v>
      </c>
      <c r="B15" s="12" t="s">
        <v>134</v>
      </c>
      <c r="C15" s="12" t="s">
        <v>135</v>
      </c>
      <c r="D15" s="11">
        <v>2017</v>
      </c>
      <c r="E15" s="12" t="s">
        <v>178</v>
      </c>
      <c r="F15" s="12" t="s">
        <v>128</v>
      </c>
      <c r="G15" s="11" t="s">
        <v>137</v>
      </c>
      <c r="H15" s="11" t="s">
        <v>137</v>
      </c>
      <c r="I15" s="11" t="s">
        <v>137</v>
      </c>
      <c r="J15" s="12"/>
      <c r="K15" s="14" t="str">
        <f t="shared" si="0"/>
        <v>YES</v>
      </c>
      <c r="L15" s="12" t="s">
        <v>130</v>
      </c>
      <c r="M15" s="12"/>
      <c r="N15" s="12" t="s">
        <v>179</v>
      </c>
      <c r="O15" s="12"/>
    </row>
    <row r="16" spans="1:15" ht="41.5" customHeight="1" x14ac:dyDescent="0.35">
      <c r="A16" s="11">
        <v>11</v>
      </c>
      <c r="B16" s="12" t="s">
        <v>180</v>
      </c>
      <c r="C16" s="12" t="s">
        <v>181</v>
      </c>
      <c r="D16" s="11">
        <v>2017</v>
      </c>
      <c r="E16" s="12" t="s">
        <v>182</v>
      </c>
      <c r="F16" s="12" t="s">
        <v>128</v>
      </c>
      <c r="G16" s="11" t="s">
        <v>129</v>
      </c>
      <c r="H16" s="11"/>
      <c r="I16" s="11"/>
      <c r="J16" s="12"/>
      <c r="K16" s="14" t="str">
        <f t="shared" si="0"/>
        <v>NO</v>
      </c>
      <c r="L16" s="12" t="s">
        <v>130</v>
      </c>
      <c r="M16" s="12" t="s">
        <v>131</v>
      </c>
      <c r="N16" s="12" t="s">
        <v>183</v>
      </c>
      <c r="O16" s="12" t="s">
        <v>184</v>
      </c>
    </row>
    <row r="17" spans="1:15" ht="54" customHeight="1" x14ac:dyDescent="0.35">
      <c r="A17" s="11">
        <v>12</v>
      </c>
      <c r="B17" s="12" t="s">
        <v>185</v>
      </c>
      <c r="C17" s="12" t="s">
        <v>186</v>
      </c>
      <c r="D17" s="11">
        <v>2019</v>
      </c>
      <c r="E17" s="12" t="s">
        <v>187</v>
      </c>
      <c r="F17" s="12" t="s">
        <v>128</v>
      </c>
      <c r="G17" s="11" t="s">
        <v>129</v>
      </c>
      <c r="H17" s="11"/>
      <c r="I17" s="11"/>
      <c r="J17" s="12"/>
      <c r="K17" s="14" t="str">
        <f t="shared" si="0"/>
        <v>NO</v>
      </c>
      <c r="L17" s="12" t="s">
        <v>130</v>
      </c>
      <c r="M17" s="12" t="s">
        <v>188</v>
      </c>
      <c r="N17" s="12" t="s">
        <v>189</v>
      </c>
      <c r="O17" s="12" t="s">
        <v>190</v>
      </c>
    </row>
    <row r="18" spans="1:15" ht="54" customHeight="1" x14ac:dyDescent="0.35">
      <c r="A18" s="11">
        <v>13</v>
      </c>
      <c r="B18" s="12" t="s">
        <v>191</v>
      </c>
      <c r="C18" s="12" t="s">
        <v>192</v>
      </c>
      <c r="D18" s="11">
        <v>2020</v>
      </c>
      <c r="E18" s="12" t="s">
        <v>193</v>
      </c>
      <c r="F18" s="12" t="s">
        <v>128</v>
      </c>
      <c r="G18" s="11" t="s">
        <v>129</v>
      </c>
      <c r="H18" s="11"/>
      <c r="I18" s="11"/>
      <c r="J18" s="12"/>
      <c r="K18" s="14" t="str">
        <f t="shared" si="0"/>
        <v>NO</v>
      </c>
      <c r="L18" s="12" t="s">
        <v>130</v>
      </c>
      <c r="M18" s="12" t="s">
        <v>194</v>
      </c>
      <c r="N18" s="12" t="s">
        <v>195</v>
      </c>
      <c r="O18" s="12" t="s">
        <v>196</v>
      </c>
    </row>
    <row r="19" spans="1:15" ht="41.5" customHeight="1" x14ac:dyDescent="0.35">
      <c r="A19" s="11">
        <v>14</v>
      </c>
      <c r="B19" s="12" t="s">
        <v>197</v>
      </c>
      <c r="C19" s="12" t="s">
        <v>198</v>
      </c>
      <c r="D19" s="11">
        <v>2023</v>
      </c>
      <c r="E19" s="12" t="s">
        <v>199</v>
      </c>
      <c r="F19" s="12" t="s">
        <v>128</v>
      </c>
      <c r="G19" s="11" t="s">
        <v>129</v>
      </c>
      <c r="H19" s="11"/>
      <c r="I19" s="11"/>
      <c r="J19" s="12"/>
      <c r="K19" s="14" t="str">
        <f t="shared" si="0"/>
        <v>NO</v>
      </c>
      <c r="L19" s="12" t="s">
        <v>130</v>
      </c>
      <c r="M19" s="12" t="s">
        <v>200</v>
      </c>
      <c r="N19" s="12" t="s">
        <v>201</v>
      </c>
      <c r="O19" s="12" t="s">
        <v>202</v>
      </c>
    </row>
    <row r="20" spans="1:15" ht="66.5" customHeight="1" x14ac:dyDescent="0.35">
      <c r="A20" s="11">
        <v>15</v>
      </c>
      <c r="B20" s="12" t="s">
        <v>203</v>
      </c>
      <c r="C20" s="12" t="s">
        <v>204</v>
      </c>
      <c r="D20" s="11">
        <v>2020</v>
      </c>
      <c r="E20" s="12" t="s">
        <v>205</v>
      </c>
      <c r="F20" s="12" t="s">
        <v>128</v>
      </c>
      <c r="G20" s="11" t="s">
        <v>129</v>
      </c>
      <c r="H20" s="11"/>
      <c r="I20" s="11"/>
      <c r="J20" s="12"/>
      <c r="K20" s="14" t="str">
        <f t="shared" si="0"/>
        <v>NO</v>
      </c>
      <c r="L20" s="12" t="s">
        <v>130</v>
      </c>
      <c r="M20" s="12" t="s">
        <v>206</v>
      </c>
      <c r="N20" s="12" t="s">
        <v>207</v>
      </c>
      <c r="O20" s="12" t="s">
        <v>208</v>
      </c>
    </row>
    <row r="21" spans="1:15" ht="41.5" customHeight="1" x14ac:dyDescent="0.35">
      <c r="A21" s="11">
        <v>16</v>
      </c>
      <c r="B21" s="12" t="s">
        <v>209</v>
      </c>
      <c r="C21" s="12" t="s">
        <v>210</v>
      </c>
      <c r="D21" s="11">
        <v>2022</v>
      </c>
      <c r="E21" s="12" t="s">
        <v>149</v>
      </c>
      <c r="F21" s="12" t="s">
        <v>128</v>
      </c>
      <c r="G21" s="11" t="s">
        <v>129</v>
      </c>
      <c r="H21" s="11"/>
      <c r="I21" s="11"/>
      <c r="J21" s="12"/>
      <c r="K21" s="14" t="str">
        <f t="shared" si="0"/>
        <v>NO</v>
      </c>
      <c r="L21" s="12" t="s">
        <v>130</v>
      </c>
      <c r="M21" s="12" t="s">
        <v>131</v>
      </c>
      <c r="N21" s="12" t="s">
        <v>211</v>
      </c>
      <c r="O21" s="12" t="s">
        <v>212</v>
      </c>
    </row>
    <row r="22" spans="1:15" ht="41.5" customHeight="1" x14ac:dyDescent="0.35">
      <c r="A22" s="11">
        <v>17</v>
      </c>
      <c r="B22" s="12" t="s">
        <v>213</v>
      </c>
      <c r="C22" s="12" t="s">
        <v>214</v>
      </c>
      <c r="D22" s="11">
        <v>2022</v>
      </c>
      <c r="E22" s="12" t="s">
        <v>215</v>
      </c>
      <c r="F22" s="12" t="s">
        <v>128</v>
      </c>
      <c r="G22" s="11" t="s">
        <v>129</v>
      </c>
      <c r="H22" s="11"/>
      <c r="I22" s="11"/>
      <c r="J22" s="12"/>
      <c r="K22" s="14" t="str">
        <f t="shared" si="0"/>
        <v>NO</v>
      </c>
      <c r="L22" s="12" t="s">
        <v>130</v>
      </c>
      <c r="M22" s="12" t="s">
        <v>216</v>
      </c>
      <c r="N22" s="12" t="s">
        <v>217</v>
      </c>
      <c r="O22" s="12" t="s">
        <v>218</v>
      </c>
    </row>
    <row r="23" spans="1:15" ht="54" customHeight="1" x14ac:dyDescent="0.35">
      <c r="A23" s="11">
        <v>18</v>
      </c>
      <c r="B23" s="12" t="s">
        <v>219</v>
      </c>
      <c r="C23" s="12" t="s">
        <v>220</v>
      </c>
      <c r="D23" s="11">
        <v>2020</v>
      </c>
      <c r="E23" s="12" t="s">
        <v>221</v>
      </c>
      <c r="F23" s="12" t="s">
        <v>128</v>
      </c>
      <c r="G23" s="11" t="s">
        <v>129</v>
      </c>
      <c r="H23" s="11"/>
      <c r="I23" s="11"/>
      <c r="J23" s="12"/>
      <c r="K23" s="14" t="str">
        <f t="shared" si="0"/>
        <v>NO</v>
      </c>
      <c r="L23" s="12" t="s">
        <v>130</v>
      </c>
      <c r="M23" s="12" t="s">
        <v>222</v>
      </c>
      <c r="N23" s="12" t="s">
        <v>223</v>
      </c>
      <c r="O23" s="12" t="s">
        <v>224</v>
      </c>
    </row>
    <row r="24" spans="1:15" ht="41.5" customHeight="1" x14ac:dyDescent="0.35">
      <c r="A24" s="11">
        <v>19</v>
      </c>
      <c r="B24" s="12" t="s">
        <v>225</v>
      </c>
      <c r="C24" s="12" t="s">
        <v>226</v>
      </c>
      <c r="D24" s="11">
        <v>2022</v>
      </c>
      <c r="E24" s="12" t="s">
        <v>227</v>
      </c>
      <c r="F24" s="12" t="s">
        <v>128</v>
      </c>
      <c r="G24" s="11" t="s">
        <v>129</v>
      </c>
      <c r="H24" s="11"/>
      <c r="I24" s="11"/>
      <c r="J24" s="12"/>
      <c r="K24" s="14" t="str">
        <f t="shared" si="0"/>
        <v>NO</v>
      </c>
      <c r="L24" s="12" t="s">
        <v>130</v>
      </c>
      <c r="M24" s="12" t="s">
        <v>228</v>
      </c>
      <c r="N24" s="12" t="s">
        <v>229</v>
      </c>
      <c r="O24" s="12" t="s">
        <v>230</v>
      </c>
    </row>
    <row r="25" spans="1:15" ht="29" customHeight="1" x14ac:dyDescent="0.35">
      <c r="A25" s="11">
        <v>20</v>
      </c>
      <c r="B25" s="12" t="s">
        <v>231</v>
      </c>
      <c r="C25" s="12" t="s">
        <v>232</v>
      </c>
      <c r="D25" s="11">
        <v>2025</v>
      </c>
      <c r="E25" s="12" t="s">
        <v>233</v>
      </c>
      <c r="F25" s="12" t="s">
        <v>234</v>
      </c>
      <c r="G25" s="11" t="s">
        <v>137</v>
      </c>
      <c r="H25" s="11" t="s">
        <v>137</v>
      </c>
      <c r="I25" s="11" t="s">
        <v>137</v>
      </c>
      <c r="J25" s="12"/>
      <c r="K25" s="14" t="str">
        <f t="shared" si="0"/>
        <v>YES</v>
      </c>
      <c r="L25" s="12" t="s">
        <v>130</v>
      </c>
      <c r="M25" s="12"/>
      <c r="N25" s="12" t="s">
        <v>235</v>
      </c>
      <c r="O25" s="12" t="s">
        <v>236</v>
      </c>
    </row>
    <row r="26" spans="1:15" ht="41.5" customHeight="1" x14ac:dyDescent="0.35">
      <c r="A26" s="11">
        <v>21</v>
      </c>
      <c r="B26" s="12" t="s">
        <v>237</v>
      </c>
      <c r="C26" s="12" t="s">
        <v>238</v>
      </c>
      <c r="D26" s="11">
        <v>2021</v>
      </c>
      <c r="E26" s="12" t="s">
        <v>239</v>
      </c>
      <c r="F26" s="12" t="s">
        <v>128</v>
      </c>
      <c r="G26" s="11" t="s">
        <v>129</v>
      </c>
      <c r="H26" s="11"/>
      <c r="I26" s="11"/>
      <c r="J26" s="12"/>
      <c r="K26" s="14" t="str">
        <f t="shared" si="0"/>
        <v>NO</v>
      </c>
      <c r="L26" s="12" t="s">
        <v>130</v>
      </c>
      <c r="M26" s="12" t="s">
        <v>240</v>
      </c>
      <c r="N26" s="12" t="s">
        <v>241</v>
      </c>
      <c r="O26" s="12" t="s">
        <v>242</v>
      </c>
    </row>
    <row r="27" spans="1:15" ht="29" customHeight="1" x14ac:dyDescent="0.35">
      <c r="A27" s="11">
        <v>22</v>
      </c>
      <c r="B27" s="12" t="s">
        <v>243</v>
      </c>
      <c r="C27" s="12" t="s">
        <v>244</v>
      </c>
      <c r="D27" s="11">
        <v>2019</v>
      </c>
      <c r="E27" s="12" t="s">
        <v>245</v>
      </c>
      <c r="F27" s="12" t="s">
        <v>128</v>
      </c>
      <c r="G27" s="11" t="s">
        <v>137</v>
      </c>
      <c r="H27" s="11" t="s">
        <v>137</v>
      </c>
      <c r="I27" s="11" t="s">
        <v>137</v>
      </c>
      <c r="J27" s="12"/>
      <c r="K27" s="14" t="str">
        <f t="shared" si="0"/>
        <v>YES</v>
      </c>
      <c r="L27" s="12" t="s">
        <v>130</v>
      </c>
      <c r="M27" s="12"/>
      <c r="N27" s="12" t="s">
        <v>246</v>
      </c>
      <c r="O27" s="12" t="s">
        <v>247</v>
      </c>
    </row>
    <row r="28" spans="1:15" ht="54" customHeight="1" x14ac:dyDescent="0.35">
      <c r="A28" s="11">
        <v>23</v>
      </c>
      <c r="B28" s="12" t="s">
        <v>248</v>
      </c>
      <c r="C28" s="12" t="s">
        <v>249</v>
      </c>
      <c r="D28" s="11">
        <v>2020</v>
      </c>
      <c r="E28" s="12" t="s">
        <v>250</v>
      </c>
      <c r="F28" s="12" t="s">
        <v>128</v>
      </c>
      <c r="G28" s="11" t="s">
        <v>129</v>
      </c>
      <c r="H28" s="11"/>
      <c r="I28" s="11"/>
      <c r="J28" s="12"/>
      <c r="K28" s="14" t="str">
        <f t="shared" si="0"/>
        <v>NO</v>
      </c>
      <c r="L28" s="12" t="s">
        <v>130</v>
      </c>
      <c r="M28" s="12" t="s">
        <v>131</v>
      </c>
      <c r="N28" s="12" t="s">
        <v>251</v>
      </c>
      <c r="O28" s="12" t="s">
        <v>252</v>
      </c>
    </row>
    <row r="29" spans="1:15" ht="41.5" customHeight="1" x14ac:dyDescent="0.35">
      <c r="A29" s="11">
        <v>24</v>
      </c>
      <c r="B29" s="12" t="s">
        <v>253</v>
      </c>
      <c r="C29" s="12" t="s">
        <v>254</v>
      </c>
      <c r="D29" s="11">
        <v>2020</v>
      </c>
      <c r="E29" s="12" t="s">
        <v>255</v>
      </c>
      <c r="F29" s="12" t="s">
        <v>128</v>
      </c>
      <c r="G29" s="11" t="s">
        <v>129</v>
      </c>
      <c r="H29" s="11"/>
      <c r="I29" s="11"/>
      <c r="J29" s="12"/>
      <c r="K29" s="14" t="str">
        <f t="shared" si="0"/>
        <v>NO</v>
      </c>
      <c r="L29" s="12" t="s">
        <v>130</v>
      </c>
      <c r="M29" s="12" t="s">
        <v>206</v>
      </c>
      <c r="N29" s="12" t="s">
        <v>256</v>
      </c>
      <c r="O29" s="12" t="s">
        <v>257</v>
      </c>
    </row>
    <row r="30" spans="1:15" ht="29" customHeight="1" x14ac:dyDescent="0.35">
      <c r="A30" s="11">
        <v>25</v>
      </c>
      <c r="B30" s="12" t="s">
        <v>258</v>
      </c>
      <c r="C30" s="12" t="s">
        <v>259</v>
      </c>
      <c r="D30" s="11">
        <v>2019</v>
      </c>
      <c r="E30" s="12" t="s">
        <v>260</v>
      </c>
      <c r="F30" s="12" t="s">
        <v>128</v>
      </c>
      <c r="G30" s="11" t="s">
        <v>129</v>
      </c>
      <c r="H30" s="11"/>
      <c r="I30" s="11"/>
      <c r="J30" s="12"/>
      <c r="K30" s="14" t="str">
        <f t="shared" si="0"/>
        <v>NO</v>
      </c>
      <c r="L30" s="12" t="s">
        <v>130</v>
      </c>
      <c r="M30" s="12" t="s">
        <v>131</v>
      </c>
      <c r="N30" s="12" t="s">
        <v>261</v>
      </c>
      <c r="O30" s="12" t="s">
        <v>262</v>
      </c>
    </row>
    <row r="31" spans="1:15" ht="29" customHeight="1" x14ac:dyDescent="0.35">
      <c r="A31" s="11">
        <v>26</v>
      </c>
      <c r="B31" s="12" t="s">
        <v>263</v>
      </c>
      <c r="C31" s="12" t="s">
        <v>264</v>
      </c>
      <c r="D31" s="11">
        <v>2020</v>
      </c>
      <c r="E31" s="12" t="s">
        <v>265</v>
      </c>
      <c r="F31" s="12" t="s">
        <v>266</v>
      </c>
      <c r="G31" s="11" t="s">
        <v>137</v>
      </c>
      <c r="H31" s="11" t="s">
        <v>137</v>
      </c>
      <c r="I31" s="11" t="s">
        <v>137</v>
      </c>
      <c r="J31" s="12"/>
      <c r="K31" s="14" t="str">
        <f t="shared" si="0"/>
        <v>YES</v>
      </c>
      <c r="L31" s="12" t="s">
        <v>130</v>
      </c>
      <c r="M31" s="12"/>
      <c r="N31" s="12" t="s">
        <v>267</v>
      </c>
      <c r="O31" s="12" t="s">
        <v>268</v>
      </c>
    </row>
    <row r="32" spans="1:15" ht="29" customHeight="1" x14ac:dyDescent="0.35">
      <c r="A32" s="11">
        <v>27</v>
      </c>
      <c r="B32" s="12" t="s">
        <v>269</v>
      </c>
      <c r="C32" s="12" t="s">
        <v>270</v>
      </c>
      <c r="D32" s="11">
        <v>2025</v>
      </c>
      <c r="E32" s="12" t="s">
        <v>271</v>
      </c>
      <c r="F32" s="12" t="s">
        <v>266</v>
      </c>
      <c r="G32" s="11" t="s">
        <v>137</v>
      </c>
      <c r="H32" s="11" t="s">
        <v>137</v>
      </c>
      <c r="I32" s="11" t="s">
        <v>137</v>
      </c>
      <c r="J32" s="12"/>
      <c r="K32" s="14" t="str">
        <f t="shared" si="0"/>
        <v>YES</v>
      </c>
      <c r="L32" s="12" t="s">
        <v>130</v>
      </c>
      <c r="M32" s="12"/>
      <c r="N32" s="12" t="s">
        <v>272</v>
      </c>
      <c r="O32" s="12" t="s">
        <v>273</v>
      </c>
    </row>
    <row r="33" spans="1:15" ht="29" customHeight="1" x14ac:dyDescent="0.35">
      <c r="A33" s="11">
        <v>28</v>
      </c>
      <c r="B33" s="12" t="s">
        <v>274</v>
      </c>
      <c r="C33" s="12" t="s">
        <v>275</v>
      </c>
      <c r="D33" s="11">
        <v>2022</v>
      </c>
      <c r="E33" s="12" t="s">
        <v>276</v>
      </c>
      <c r="F33" s="12" t="s">
        <v>266</v>
      </c>
      <c r="G33" s="11" t="s">
        <v>137</v>
      </c>
      <c r="H33" s="11" t="s">
        <v>137</v>
      </c>
      <c r="I33" s="11" t="s">
        <v>137</v>
      </c>
      <c r="J33" s="12"/>
      <c r="K33" s="14" t="str">
        <f t="shared" si="0"/>
        <v>YES</v>
      </c>
      <c r="L33" s="12" t="s">
        <v>130</v>
      </c>
      <c r="M33" s="12"/>
      <c r="N33" s="12" t="s">
        <v>277</v>
      </c>
      <c r="O33" s="12" t="s">
        <v>278</v>
      </c>
    </row>
    <row r="34" spans="1:15" ht="29" customHeight="1" x14ac:dyDescent="0.35">
      <c r="A34" s="11">
        <v>29</v>
      </c>
      <c r="B34" s="12" t="s">
        <v>279</v>
      </c>
      <c r="C34" s="12" t="s">
        <v>280</v>
      </c>
      <c r="D34" s="11">
        <v>2024</v>
      </c>
      <c r="E34" s="12" t="s">
        <v>281</v>
      </c>
      <c r="F34" s="12" t="s">
        <v>266</v>
      </c>
      <c r="G34" s="11" t="s">
        <v>129</v>
      </c>
      <c r="H34" s="11"/>
      <c r="I34" s="11"/>
      <c r="J34" s="12"/>
      <c r="K34" s="14" t="str">
        <f t="shared" si="0"/>
        <v>NO</v>
      </c>
      <c r="L34" s="12" t="s">
        <v>130</v>
      </c>
      <c r="M34" s="12" t="s">
        <v>282</v>
      </c>
      <c r="N34" s="12" t="s">
        <v>283</v>
      </c>
      <c r="O34" s="12" t="s">
        <v>284</v>
      </c>
    </row>
    <row r="35" spans="1:15" ht="29" customHeight="1" x14ac:dyDescent="0.35">
      <c r="A35" s="11">
        <v>30</v>
      </c>
      <c r="B35" s="12" t="s">
        <v>285</v>
      </c>
      <c r="C35" s="12" t="s">
        <v>286</v>
      </c>
      <c r="D35" s="11">
        <v>2026</v>
      </c>
      <c r="E35" s="12" t="s">
        <v>287</v>
      </c>
      <c r="F35" s="12" t="s">
        <v>266</v>
      </c>
      <c r="G35" s="11" t="s">
        <v>137</v>
      </c>
      <c r="H35" s="11" t="s">
        <v>137</v>
      </c>
      <c r="I35" s="11" t="s">
        <v>137</v>
      </c>
      <c r="J35" s="12"/>
      <c r="K35" s="14" t="str">
        <f t="shared" si="0"/>
        <v>YES</v>
      </c>
      <c r="L35" s="12" t="s">
        <v>130</v>
      </c>
      <c r="M35" s="12"/>
      <c r="N35" s="12" t="s">
        <v>288</v>
      </c>
      <c r="O35" s="12" t="s">
        <v>289</v>
      </c>
    </row>
    <row r="36" spans="1:15" ht="29" customHeight="1" x14ac:dyDescent="0.35">
      <c r="A36" s="11">
        <v>31</v>
      </c>
      <c r="B36" s="12" t="s">
        <v>290</v>
      </c>
      <c r="C36" s="12" t="s">
        <v>291</v>
      </c>
      <c r="D36" s="11">
        <v>2026</v>
      </c>
      <c r="E36" s="12" t="s">
        <v>292</v>
      </c>
      <c r="F36" s="12" t="s">
        <v>293</v>
      </c>
      <c r="G36" s="11" t="s">
        <v>137</v>
      </c>
      <c r="H36" s="11" t="s">
        <v>137</v>
      </c>
      <c r="I36" s="11" t="s">
        <v>137</v>
      </c>
      <c r="J36" s="12"/>
      <c r="K36" s="14" t="str">
        <f t="shared" si="0"/>
        <v>YES</v>
      </c>
      <c r="L36" s="12" t="s">
        <v>130</v>
      </c>
      <c r="M36" s="12"/>
      <c r="N36" s="12" t="s">
        <v>294</v>
      </c>
      <c r="O36" s="12" t="s">
        <v>295</v>
      </c>
    </row>
    <row r="37" spans="1:15" ht="29" customHeight="1" x14ac:dyDescent="0.35">
      <c r="A37" s="11">
        <v>32</v>
      </c>
      <c r="B37" s="12" t="s">
        <v>296</v>
      </c>
      <c r="C37" s="12" t="s">
        <v>297</v>
      </c>
      <c r="D37" s="11">
        <v>2024</v>
      </c>
      <c r="E37" s="12" t="s">
        <v>298</v>
      </c>
      <c r="F37" s="12" t="s">
        <v>266</v>
      </c>
      <c r="G37" s="11" t="s">
        <v>129</v>
      </c>
      <c r="H37" s="11"/>
      <c r="I37" s="11"/>
      <c r="J37" s="12"/>
      <c r="K37" s="14" t="str">
        <f t="shared" si="0"/>
        <v>NO</v>
      </c>
      <c r="L37" s="12" t="s">
        <v>130</v>
      </c>
      <c r="M37" s="12" t="s">
        <v>299</v>
      </c>
      <c r="N37" s="12" t="s">
        <v>300</v>
      </c>
      <c r="O37" s="12" t="s">
        <v>301</v>
      </c>
    </row>
    <row r="38" spans="1:15" ht="29" customHeight="1" x14ac:dyDescent="0.35">
      <c r="A38" s="11">
        <v>33</v>
      </c>
      <c r="B38" s="12" t="s">
        <v>302</v>
      </c>
      <c r="C38" s="12" t="s">
        <v>303</v>
      </c>
      <c r="D38" s="11">
        <v>2023</v>
      </c>
      <c r="E38" s="12" t="s">
        <v>304</v>
      </c>
      <c r="F38" s="12" t="s">
        <v>266</v>
      </c>
      <c r="G38" s="11" t="s">
        <v>137</v>
      </c>
      <c r="H38" s="11" t="s">
        <v>137</v>
      </c>
      <c r="I38" s="11" t="s">
        <v>137</v>
      </c>
      <c r="J38" s="12"/>
      <c r="K38" s="14" t="str">
        <f t="shared" si="0"/>
        <v>YES</v>
      </c>
      <c r="L38" s="12" t="s">
        <v>130</v>
      </c>
      <c r="M38" s="12"/>
      <c r="N38" s="12" t="s">
        <v>305</v>
      </c>
      <c r="O38" s="12" t="s">
        <v>306</v>
      </c>
    </row>
    <row r="39" spans="1:15" ht="29" customHeight="1" x14ac:dyDescent="0.35">
      <c r="A39" s="11">
        <v>34</v>
      </c>
      <c r="B39" s="12" t="s">
        <v>307</v>
      </c>
      <c r="C39" s="12" t="s">
        <v>308</v>
      </c>
      <c r="D39" s="11">
        <v>2025</v>
      </c>
      <c r="E39" s="12" t="s">
        <v>309</v>
      </c>
      <c r="F39" s="12" t="s">
        <v>266</v>
      </c>
      <c r="G39" s="11" t="s">
        <v>137</v>
      </c>
      <c r="H39" s="11" t="s">
        <v>137</v>
      </c>
      <c r="I39" s="11" t="s">
        <v>137</v>
      </c>
      <c r="J39" s="12"/>
      <c r="K39" s="14" t="str">
        <f t="shared" si="0"/>
        <v>YES</v>
      </c>
      <c r="L39" s="12" t="s">
        <v>130</v>
      </c>
      <c r="M39" s="12"/>
      <c r="N39" s="12" t="s">
        <v>310</v>
      </c>
      <c r="O39" s="12" t="s">
        <v>311</v>
      </c>
    </row>
    <row r="40" spans="1:15" ht="41.5" customHeight="1" x14ac:dyDescent="0.35">
      <c r="A40" s="11">
        <v>35</v>
      </c>
      <c r="B40" s="12" t="s">
        <v>312</v>
      </c>
      <c r="C40" s="12" t="s">
        <v>313</v>
      </c>
      <c r="D40" s="11">
        <v>2024</v>
      </c>
      <c r="E40" s="12" t="s">
        <v>199</v>
      </c>
      <c r="F40" s="12" t="s">
        <v>266</v>
      </c>
      <c r="G40" s="11" t="s">
        <v>137</v>
      </c>
      <c r="H40" s="11" t="s">
        <v>129</v>
      </c>
      <c r="I40" s="11"/>
      <c r="J40" s="12"/>
      <c r="K40" s="14" t="str">
        <f t="shared" si="0"/>
        <v>NO</v>
      </c>
      <c r="L40" s="12" t="s">
        <v>130</v>
      </c>
      <c r="M40" s="12" t="s">
        <v>314</v>
      </c>
      <c r="N40" s="12" t="s">
        <v>315</v>
      </c>
      <c r="O40" s="12" t="s">
        <v>316</v>
      </c>
    </row>
    <row r="41" spans="1:15" ht="29" customHeight="1" x14ac:dyDescent="0.35">
      <c r="A41" s="11">
        <v>36</v>
      </c>
      <c r="B41" s="12" t="s">
        <v>317</v>
      </c>
      <c r="C41" s="12" t="s">
        <v>318</v>
      </c>
      <c r="D41" s="11">
        <v>2026</v>
      </c>
      <c r="E41" s="12" t="s">
        <v>319</v>
      </c>
      <c r="F41" s="12" t="s">
        <v>266</v>
      </c>
      <c r="G41" s="11" t="s">
        <v>129</v>
      </c>
      <c r="H41" s="11"/>
      <c r="I41" s="11"/>
      <c r="J41" s="12"/>
      <c r="K41" s="14" t="str">
        <f t="shared" si="0"/>
        <v>NO</v>
      </c>
      <c r="L41" s="12" t="s">
        <v>130</v>
      </c>
      <c r="M41" s="12" t="s">
        <v>320</v>
      </c>
      <c r="N41" s="12" t="s">
        <v>321</v>
      </c>
      <c r="O41" s="12" t="s">
        <v>322</v>
      </c>
    </row>
    <row r="42" spans="1:15" ht="41.5" customHeight="1" x14ac:dyDescent="0.35">
      <c r="A42" s="11">
        <v>37</v>
      </c>
      <c r="B42" s="12" t="s">
        <v>323</v>
      </c>
      <c r="C42" s="12" t="s">
        <v>324</v>
      </c>
      <c r="D42" s="11">
        <v>2025</v>
      </c>
      <c r="E42" s="12" t="s">
        <v>325</v>
      </c>
      <c r="F42" s="12" t="s">
        <v>266</v>
      </c>
      <c r="G42" s="11" t="s">
        <v>129</v>
      </c>
      <c r="H42" s="11"/>
      <c r="I42" s="11"/>
      <c r="J42" s="12"/>
      <c r="K42" s="14" t="str">
        <f t="shared" si="0"/>
        <v>NO</v>
      </c>
      <c r="L42" s="12" t="s">
        <v>130</v>
      </c>
      <c r="M42" s="12" t="s">
        <v>326</v>
      </c>
      <c r="N42" s="12" t="s">
        <v>327</v>
      </c>
      <c r="O42" s="12" t="s">
        <v>328</v>
      </c>
    </row>
    <row r="43" spans="1:15" ht="41.5" customHeight="1" x14ac:dyDescent="0.35">
      <c r="A43" s="11">
        <v>38</v>
      </c>
      <c r="B43" s="12" t="s">
        <v>329</v>
      </c>
      <c r="C43" s="12" t="s">
        <v>330</v>
      </c>
      <c r="D43" s="11">
        <v>2023</v>
      </c>
      <c r="E43" s="12" t="s">
        <v>136</v>
      </c>
      <c r="F43" s="12" t="s">
        <v>266</v>
      </c>
      <c r="G43" s="11" t="s">
        <v>129</v>
      </c>
      <c r="H43" s="11"/>
      <c r="I43" s="11"/>
      <c r="J43" s="12"/>
      <c r="K43" s="14" t="str">
        <f t="shared" si="0"/>
        <v>NO</v>
      </c>
      <c r="L43" s="12" t="s">
        <v>130</v>
      </c>
      <c r="M43" s="12" t="s">
        <v>331</v>
      </c>
      <c r="N43" s="12" t="s">
        <v>332</v>
      </c>
      <c r="O43" s="12" t="s">
        <v>333</v>
      </c>
    </row>
    <row r="44" spans="1:15" ht="41.5" customHeight="1" x14ac:dyDescent="0.35">
      <c r="A44" s="11">
        <v>39</v>
      </c>
      <c r="B44" s="12" t="s">
        <v>334</v>
      </c>
      <c r="C44" s="12" t="s">
        <v>335</v>
      </c>
      <c r="D44" s="11">
        <v>2026</v>
      </c>
      <c r="E44" s="12" t="s">
        <v>174</v>
      </c>
      <c r="F44" s="12" t="s">
        <v>266</v>
      </c>
      <c r="G44" s="11" t="s">
        <v>129</v>
      </c>
      <c r="H44" s="11"/>
      <c r="I44" s="11"/>
      <c r="J44" s="12"/>
      <c r="K44" s="14" t="str">
        <f t="shared" si="0"/>
        <v>NO</v>
      </c>
      <c r="L44" s="12" t="s">
        <v>130</v>
      </c>
      <c r="M44" s="12" t="s">
        <v>336</v>
      </c>
      <c r="N44" s="12" t="s">
        <v>337</v>
      </c>
      <c r="O44" s="12" t="s">
        <v>338</v>
      </c>
    </row>
    <row r="45" spans="1:15" ht="41.5" customHeight="1" x14ac:dyDescent="0.35">
      <c r="A45" s="11">
        <v>40</v>
      </c>
      <c r="B45" s="12" t="s">
        <v>339</v>
      </c>
      <c r="C45" s="12" t="s">
        <v>340</v>
      </c>
      <c r="D45" s="11">
        <v>2026</v>
      </c>
      <c r="E45" s="12" t="s">
        <v>341</v>
      </c>
      <c r="F45" s="12" t="s">
        <v>266</v>
      </c>
      <c r="G45" s="11" t="s">
        <v>129</v>
      </c>
      <c r="H45" s="11"/>
      <c r="I45" s="11"/>
      <c r="J45" s="12"/>
      <c r="K45" s="14" t="str">
        <f t="shared" si="0"/>
        <v>NO</v>
      </c>
      <c r="L45" s="12" t="s">
        <v>130</v>
      </c>
      <c r="M45" s="12" t="s">
        <v>342</v>
      </c>
      <c r="N45" s="12" t="s">
        <v>343</v>
      </c>
      <c r="O45" s="12" t="s">
        <v>344</v>
      </c>
    </row>
    <row r="46" spans="1:15" ht="29" customHeight="1" x14ac:dyDescent="0.35">
      <c r="A46" s="11">
        <v>41</v>
      </c>
      <c r="B46" s="12" t="s">
        <v>345</v>
      </c>
      <c r="C46" s="12" t="s">
        <v>346</v>
      </c>
      <c r="D46" s="11">
        <v>2025</v>
      </c>
      <c r="E46" s="12" t="s">
        <v>347</v>
      </c>
      <c r="F46" s="12" t="s">
        <v>266</v>
      </c>
      <c r="G46" s="11" t="s">
        <v>129</v>
      </c>
      <c r="H46" s="11"/>
      <c r="I46" s="11"/>
      <c r="J46" s="12"/>
      <c r="K46" s="14" t="str">
        <f t="shared" si="0"/>
        <v>NO</v>
      </c>
      <c r="L46" s="12" t="s">
        <v>130</v>
      </c>
      <c r="M46" s="12" t="s">
        <v>348</v>
      </c>
      <c r="N46" s="12" t="s">
        <v>349</v>
      </c>
      <c r="O46" s="12" t="s">
        <v>350</v>
      </c>
    </row>
    <row r="47" spans="1:15" ht="29" customHeight="1" x14ac:dyDescent="0.35">
      <c r="A47" s="11">
        <v>42</v>
      </c>
      <c r="B47" s="12" t="s">
        <v>351</v>
      </c>
      <c r="C47" s="12" t="s">
        <v>352</v>
      </c>
      <c r="D47" s="11">
        <v>2025</v>
      </c>
      <c r="E47" s="12" t="s">
        <v>353</v>
      </c>
      <c r="F47" s="12" t="s">
        <v>266</v>
      </c>
      <c r="G47" s="11" t="s">
        <v>129</v>
      </c>
      <c r="H47" s="11"/>
      <c r="I47" s="11"/>
      <c r="J47" s="12"/>
      <c r="K47" s="14" t="str">
        <f t="shared" si="0"/>
        <v>NO</v>
      </c>
      <c r="L47" s="12" t="s">
        <v>130</v>
      </c>
      <c r="M47" s="12" t="s">
        <v>354</v>
      </c>
      <c r="N47" s="12" t="s">
        <v>355</v>
      </c>
      <c r="O47" s="12" t="s">
        <v>356</v>
      </c>
    </row>
    <row r="48" spans="1:15" ht="41.5" customHeight="1" x14ac:dyDescent="0.35">
      <c r="A48" s="11">
        <v>43</v>
      </c>
      <c r="B48" s="12" t="s">
        <v>357</v>
      </c>
      <c r="C48" s="12" t="s">
        <v>358</v>
      </c>
      <c r="D48" s="11">
        <v>2026</v>
      </c>
      <c r="E48" s="12" t="s">
        <v>359</v>
      </c>
      <c r="F48" s="12" t="s">
        <v>266</v>
      </c>
      <c r="G48" s="11" t="s">
        <v>129</v>
      </c>
      <c r="H48" s="11"/>
      <c r="I48" s="11"/>
      <c r="J48" s="12"/>
      <c r="K48" s="14" t="str">
        <f t="shared" si="0"/>
        <v>NO</v>
      </c>
      <c r="L48" s="12" t="s">
        <v>130</v>
      </c>
      <c r="M48" s="12" t="s">
        <v>360</v>
      </c>
      <c r="N48" s="12" t="s">
        <v>361</v>
      </c>
      <c r="O48" s="12" t="s">
        <v>362</v>
      </c>
    </row>
    <row r="49" spans="1:15" ht="41.5" customHeight="1" x14ac:dyDescent="0.35">
      <c r="A49" s="11">
        <v>44</v>
      </c>
      <c r="B49" s="12" t="s">
        <v>363</v>
      </c>
      <c r="C49" s="12" t="s">
        <v>364</v>
      </c>
      <c r="D49" s="11">
        <v>2026</v>
      </c>
      <c r="E49" s="12" t="s">
        <v>365</v>
      </c>
      <c r="F49" s="12" t="s">
        <v>266</v>
      </c>
      <c r="G49" s="11" t="s">
        <v>129</v>
      </c>
      <c r="H49" s="11"/>
      <c r="I49" s="11"/>
      <c r="J49" s="12"/>
      <c r="K49" s="14" t="str">
        <f t="shared" si="0"/>
        <v>NO</v>
      </c>
      <c r="L49" s="12" t="s">
        <v>130</v>
      </c>
      <c r="M49" s="12" t="s">
        <v>366</v>
      </c>
      <c r="N49" s="12" t="s">
        <v>367</v>
      </c>
      <c r="O49" s="12" t="s">
        <v>368</v>
      </c>
    </row>
    <row r="50" spans="1:15" ht="41.5" customHeight="1" x14ac:dyDescent="0.35">
      <c r="A50" s="11">
        <v>45</v>
      </c>
      <c r="B50" s="12" t="s">
        <v>369</v>
      </c>
      <c r="C50" s="12" t="s">
        <v>370</v>
      </c>
      <c r="D50" s="11">
        <v>2025</v>
      </c>
      <c r="E50" s="12" t="s">
        <v>371</v>
      </c>
      <c r="F50" s="12" t="s">
        <v>266</v>
      </c>
      <c r="G50" s="11" t="s">
        <v>129</v>
      </c>
      <c r="H50" s="11"/>
      <c r="I50" s="11"/>
      <c r="J50" s="12"/>
      <c r="K50" s="14" t="str">
        <f t="shared" si="0"/>
        <v>NO</v>
      </c>
      <c r="L50" s="12" t="s">
        <v>130</v>
      </c>
      <c r="M50" s="12" t="s">
        <v>372</v>
      </c>
      <c r="N50" s="12" t="s">
        <v>373</v>
      </c>
      <c r="O50" s="12" t="s">
        <v>374</v>
      </c>
    </row>
    <row r="51" spans="1:15" ht="29" customHeight="1" x14ac:dyDescent="0.35">
      <c r="A51" s="11">
        <v>46</v>
      </c>
      <c r="B51" s="12" t="s">
        <v>375</v>
      </c>
      <c r="C51" s="12" t="s">
        <v>376</v>
      </c>
      <c r="D51" s="11">
        <v>2025</v>
      </c>
      <c r="E51" s="12" t="s">
        <v>377</v>
      </c>
      <c r="F51" s="12" t="s">
        <v>266</v>
      </c>
      <c r="G51" s="11" t="s">
        <v>129</v>
      </c>
      <c r="H51" s="11"/>
      <c r="I51" s="11"/>
      <c r="J51" s="12"/>
      <c r="K51" s="14" t="str">
        <f t="shared" si="0"/>
        <v>NO</v>
      </c>
      <c r="L51" s="12" t="s">
        <v>130</v>
      </c>
      <c r="M51" s="12" t="s">
        <v>378</v>
      </c>
      <c r="N51" s="12" t="s">
        <v>379</v>
      </c>
      <c r="O51" s="12" t="s">
        <v>380</v>
      </c>
    </row>
    <row r="52" spans="1:15" ht="41.5" customHeight="1" x14ac:dyDescent="0.35">
      <c r="A52" s="11">
        <v>47</v>
      </c>
      <c r="B52" s="12" t="s">
        <v>381</v>
      </c>
      <c r="C52" s="12" t="s">
        <v>382</v>
      </c>
      <c r="D52" s="11">
        <v>2025</v>
      </c>
      <c r="E52" s="12" t="s">
        <v>383</v>
      </c>
      <c r="F52" s="12" t="s">
        <v>266</v>
      </c>
      <c r="G52" s="11" t="s">
        <v>137</v>
      </c>
      <c r="H52" s="11" t="s">
        <v>137</v>
      </c>
      <c r="I52" s="11" t="s">
        <v>137</v>
      </c>
      <c r="J52" s="12"/>
      <c r="K52" s="14" t="str">
        <f t="shared" si="0"/>
        <v>YES</v>
      </c>
      <c r="L52" s="12" t="s">
        <v>130</v>
      </c>
      <c r="M52" s="12"/>
      <c r="N52" s="12" t="s">
        <v>384</v>
      </c>
      <c r="O52" s="12" t="s">
        <v>385</v>
      </c>
    </row>
    <row r="53" spans="1:15" ht="29" customHeight="1" x14ac:dyDescent="0.35">
      <c r="A53" s="11">
        <v>48</v>
      </c>
      <c r="B53" s="12" t="s">
        <v>386</v>
      </c>
      <c r="C53" s="12" t="s">
        <v>387</v>
      </c>
      <c r="D53" s="11">
        <v>2025</v>
      </c>
      <c r="E53" s="12" t="s">
        <v>388</v>
      </c>
      <c r="F53" s="12" t="s">
        <v>266</v>
      </c>
      <c r="G53" s="11" t="s">
        <v>137</v>
      </c>
      <c r="H53" s="11" t="s">
        <v>137</v>
      </c>
      <c r="I53" s="11" t="s">
        <v>137</v>
      </c>
      <c r="J53" s="12"/>
      <c r="K53" s="14" t="str">
        <f t="shared" si="0"/>
        <v>YES</v>
      </c>
      <c r="L53" s="12" t="s">
        <v>130</v>
      </c>
      <c r="M53" s="12"/>
      <c r="N53" s="12" t="s">
        <v>389</v>
      </c>
      <c r="O53" s="12" t="s">
        <v>390</v>
      </c>
    </row>
    <row r="54" spans="1:15" ht="29" customHeight="1" x14ac:dyDescent="0.35">
      <c r="A54" s="11">
        <v>49</v>
      </c>
      <c r="B54" s="12" t="s">
        <v>391</v>
      </c>
      <c r="C54" s="12" t="s">
        <v>392</v>
      </c>
      <c r="D54" s="11">
        <v>2026</v>
      </c>
      <c r="E54" s="12" t="s">
        <v>136</v>
      </c>
      <c r="F54" s="12" t="s">
        <v>266</v>
      </c>
      <c r="G54" s="11" t="s">
        <v>129</v>
      </c>
      <c r="H54" s="11"/>
      <c r="I54" s="11"/>
      <c r="J54" s="12"/>
      <c r="K54" s="14" t="str">
        <f t="shared" si="0"/>
        <v>NO</v>
      </c>
      <c r="L54" s="12" t="s">
        <v>130</v>
      </c>
      <c r="M54" s="12" t="s">
        <v>393</v>
      </c>
      <c r="N54" s="12" t="s">
        <v>394</v>
      </c>
      <c r="O54" s="12" t="s">
        <v>395</v>
      </c>
    </row>
    <row r="55" spans="1:15" ht="41.5" customHeight="1" x14ac:dyDescent="0.35">
      <c r="A55" s="11">
        <v>50</v>
      </c>
      <c r="B55" s="12" t="s">
        <v>396</v>
      </c>
      <c r="C55" s="12" t="s">
        <v>397</v>
      </c>
      <c r="D55" s="11">
        <v>2026</v>
      </c>
      <c r="E55" s="12" t="s">
        <v>398</v>
      </c>
      <c r="F55" s="12" t="s">
        <v>266</v>
      </c>
      <c r="G55" s="11" t="s">
        <v>129</v>
      </c>
      <c r="H55" s="11"/>
      <c r="I55" s="11"/>
      <c r="J55" s="12"/>
      <c r="K55" s="14" t="str">
        <f t="shared" si="0"/>
        <v>NO</v>
      </c>
      <c r="L55" s="12" t="s">
        <v>130</v>
      </c>
      <c r="M55" s="12" t="s">
        <v>399</v>
      </c>
      <c r="N55" s="12" t="s">
        <v>400</v>
      </c>
      <c r="O55" s="12" t="s">
        <v>401</v>
      </c>
    </row>
    <row r="56" spans="1:15" ht="29" customHeight="1" x14ac:dyDescent="0.35">
      <c r="A56" s="11">
        <v>51</v>
      </c>
      <c r="B56" s="12" t="s">
        <v>402</v>
      </c>
      <c r="C56" s="12" t="s">
        <v>403</v>
      </c>
      <c r="D56" s="11">
        <v>2020</v>
      </c>
      <c r="E56" s="12" t="s">
        <v>404</v>
      </c>
      <c r="F56" s="12" t="s">
        <v>405</v>
      </c>
      <c r="G56" s="11" t="s">
        <v>129</v>
      </c>
      <c r="H56" s="11"/>
      <c r="I56" s="11"/>
      <c r="J56" s="12"/>
      <c r="K56" s="14" t="str">
        <f t="shared" si="0"/>
        <v>NO</v>
      </c>
      <c r="L56" s="12" t="s">
        <v>130</v>
      </c>
      <c r="M56" s="12" t="s">
        <v>406</v>
      </c>
      <c r="N56" s="12" t="s">
        <v>407</v>
      </c>
      <c r="O56" s="12" t="s">
        <v>408</v>
      </c>
    </row>
    <row r="57" spans="1:15" ht="41.5" customHeight="1" x14ac:dyDescent="0.35">
      <c r="A57" s="11">
        <v>52</v>
      </c>
      <c r="B57" s="12" t="s">
        <v>409</v>
      </c>
      <c r="C57" s="12" t="s">
        <v>410</v>
      </c>
      <c r="D57" s="11">
        <v>2021</v>
      </c>
      <c r="E57" s="12" t="s">
        <v>411</v>
      </c>
      <c r="F57" s="12" t="s">
        <v>405</v>
      </c>
      <c r="G57" s="11" t="s">
        <v>129</v>
      </c>
      <c r="H57" s="11"/>
      <c r="I57" s="11"/>
      <c r="J57" s="12"/>
      <c r="K57" s="14" t="str">
        <f t="shared" si="0"/>
        <v>NO</v>
      </c>
      <c r="L57" s="12" t="s">
        <v>130</v>
      </c>
      <c r="M57" s="12" t="s">
        <v>412</v>
      </c>
      <c r="N57" s="12" t="s">
        <v>413</v>
      </c>
      <c r="O57" s="12" t="s">
        <v>414</v>
      </c>
    </row>
    <row r="58" spans="1:15" ht="41.5" customHeight="1" x14ac:dyDescent="0.35">
      <c r="A58" s="11">
        <v>53</v>
      </c>
      <c r="B58" s="12" t="s">
        <v>415</v>
      </c>
      <c r="C58" s="12" t="s">
        <v>416</v>
      </c>
      <c r="D58" s="11">
        <v>2021</v>
      </c>
      <c r="E58" s="12" t="s">
        <v>417</v>
      </c>
      <c r="F58" s="12" t="s">
        <v>405</v>
      </c>
      <c r="G58" s="11" t="s">
        <v>129</v>
      </c>
      <c r="H58" s="11"/>
      <c r="I58" s="11"/>
      <c r="J58" s="12"/>
      <c r="K58" s="14" t="str">
        <f t="shared" si="0"/>
        <v>NO</v>
      </c>
      <c r="L58" s="12" t="s">
        <v>130</v>
      </c>
      <c r="M58" s="12" t="s">
        <v>412</v>
      </c>
      <c r="N58" s="12" t="s">
        <v>418</v>
      </c>
      <c r="O58" s="12" t="s">
        <v>419</v>
      </c>
    </row>
    <row r="59" spans="1:15" ht="41.5" customHeight="1" x14ac:dyDescent="0.35">
      <c r="A59" s="11">
        <v>54</v>
      </c>
      <c r="B59" s="12" t="s">
        <v>420</v>
      </c>
      <c r="C59" s="12" t="s">
        <v>421</v>
      </c>
      <c r="D59" s="11">
        <v>2020</v>
      </c>
      <c r="E59" s="12" t="s">
        <v>422</v>
      </c>
      <c r="F59" s="12" t="s">
        <v>405</v>
      </c>
      <c r="G59" s="11" t="s">
        <v>129</v>
      </c>
      <c r="H59" s="11"/>
      <c r="I59" s="11"/>
      <c r="J59" s="12"/>
      <c r="K59" s="14" t="str">
        <f t="shared" si="0"/>
        <v>NO</v>
      </c>
      <c r="L59" s="12" t="s">
        <v>130</v>
      </c>
      <c r="M59" s="12" t="s">
        <v>423</v>
      </c>
      <c r="N59" s="12" t="s">
        <v>424</v>
      </c>
      <c r="O59" s="12" t="s">
        <v>425</v>
      </c>
    </row>
    <row r="60" spans="1:15" ht="29" customHeight="1" x14ac:dyDescent="0.35">
      <c r="A60" s="11">
        <v>55</v>
      </c>
      <c r="B60" s="12" t="s">
        <v>426</v>
      </c>
      <c r="C60" s="12" t="s">
        <v>427</v>
      </c>
      <c r="D60" s="11">
        <v>2023</v>
      </c>
      <c r="E60" s="12" t="s">
        <v>428</v>
      </c>
      <c r="F60" s="12" t="s">
        <v>405</v>
      </c>
      <c r="G60" s="11" t="s">
        <v>129</v>
      </c>
      <c r="H60" s="11"/>
      <c r="I60" s="11"/>
      <c r="J60" s="12"/>
      <c r="K60" s="14" t="str">
        <f t="shared" si="0"/>
        <v>NO</v>
      </c>
      <c r="L60" s="12" t="s">
        <v>130</v>
      </c>
      <c r="M60" s="12" t="s">
        <v>429</v>
      </c>
      <c r="N60" s="12" t="s">
        <v>430</v>
      </c>
      <c r="O60" s="12" t="s">
        <v>431</v>
      </c>
    </row>
    <row r="61" spans="1:15" ht="54" customHeight="1" x14ac:dyDescent="0.35">
      <c r="A61" s="11">
        <v>56</v>
      </c>
      <c r="B61" s="12" t="s">
        <v>432</v>
      </c>
      <c r="C61" s="12" t="s">
        <v>433</v>
      </c>
      <c r="D61" s="11">
        <v>2024</v>
      </c>
      <c r="E61" s="12" t="s">
        <v>434</v>
      </c>
      <c r="F61" s="12" t="s">
        <v>405</v>
      </c>
      <c r="G61" s="11" t="s">
        <v>129</v>
      </c>
      <c r="H61" s="11"/>
      <c r="I61" s="11"/>
      <c r="J61" s="12"/>
      <c r="K61" s="14" t="str">
        <f t="shared" si="0"/>
        <v>NO</v>
      </c>
      <c r="L61" s="12" t="s">
        <v>130</v>
      </c>
      <c r="M61" s="12" t="s">
        <v>435</v>
      </c>
      <c r="N61" s="12" t="s">
        <v>436</v>
      </c>
      <c r="O61" s="12" t="s">
        <v>437</v>
      </c>
    </row>
    <row r="62" spans="1:15" ht="41.5" customHeight="1" x14ac:dyDescent="0.35">
      <c r="A62" s="11">
        <v>57</v>
      </c>
      <c r="B62" s="12" t="s">
        <v>438</v>
      </c>
      <c r="C62" s="12" t="s">
        <v>439</v>
      </c>
      <c r="D62" s="11">
        <v>2021</v>
      </c>
      <c r="E62" s="12" t="s">
        <v>417</v>
      </c>
      <c r="F62" s="12" t="s">
        <v>405</v>
      </c>
      <c r="G62" s="11" t="s">
        <v>129</v>
      </c>
      <c r="H62" s="11"/>
      <c r="I62" s="11"/>
      <c r="J62" s="12"/>
      <c r="K62" s="14" t="str">
        <f t="shared" si="0"/>
        <v>NO</v>
      </c>
      <c r="L62" s="12" t="s">
        <v>130</v>
      </c>
      <c r="M62" s="12" t="s">
        <v>412</v>
      </c>
      <c r="N62" s="12" t="s">
        <v>440</v>
      </c>
      <c r="O62" s="12" t="s">
        <v>441</v>
      </c>
    </row>
    <row r="63" spans="1:15" ht="41.5" customHeight="1" x14ac:dyDescent="0.35">
      <c r="A63" s="11">
        <v>58</v>
      </c>
      <c r="B63" s="12" t="s">
        <v>442</v>
      </c>
      <c r="C63" s="12" t="s">
        <v>443</v>
      </c>
      <c r="D63" s="11">
        <v>2024</v>
      </c>
      <c r="E63" s="12" t="s">
        <v>417</v>
      </c>
      <c r="F63" s="12" t="s">
        <v>405</v>
      </c>
      <c r="G63" s="11" t="s">
        <v>129</v>
      </c>
      <c r="H63" s="11"/>
      <c r="I63" s="11"/>
      <c r="J63" s="12"/>
      <c r="K63" s="14" t="str">
        <f t="shared" si="0"/>
        <v>NO</v>
      </c>
      <c r="L63" s="12" t="s">
        <v>130</v>
      </c>
      <c r="M63" s="12" t="s">
        <v>412</v>
      </c>
      <c r="N63" s="12" t="s">
        <v>444</v>
      </c>
      <c r="O63" s="12" t="s">
        <v>445</v>
      </c>
    </row>
    <row r="64" spans="1:15" ht="29" customHeight="1" x14ac:dyDescent="0.35">
      <c r="A64" s="11">
        <v>59</v>
      </c>
      <c r="B64" s="12" t="s">
        <v>446</v>
      </c>
      <c r="C64" s="12" t="s">
        <v>447</v>
      </c>
      <c r="D64" s="11">
        <v>2022</v>
      </c>
      <c r="E64" s="12" t="s">
        <v>448</v>
      </c>
      <c r="F64" s="12" t="s">
        <v>405</v>
      </c>
      <c r="G64" s="11" t="s">
        <v>129</v>
      </c>
      <c r="H64" s="11"/>
      <c r="I64" s="11"/>
      <c r="J64" s="12"/>
      <c r="K64" s="14" t="str">
        <f t="shared" si="0"/>
        <v>NO</v>
      </c>
      <c r="L64" s="12" t="s">
        <v>130</v>
      </c>
      <c r="M64" s="12" t="s">
        <v>412</v>
      </c>
      <c r="N64" s="12" t="s">
        <v>449</v>
      </c>
      <c r="O64" s="12" t="s">
        <v>450</v>
      </c>
    </row>
    <row r="65" spans="1:15" ht="29" customHeight="1" x14ac:dyDescent="0.35">
      <c r="A65" s="11">
        <v>60</v>
      </c>
      <c r="B65" s="12" t="s">
        <v>451</v>
      </c>
      <c r="C65" s="12" t="s">
        <v>452</v>
      </c>
      <c r="D65" s="11">
        <v>2023</v>
      </c>
      <c r="E65" s="12" t="s">
        <v>255</v>
      </c>
      <c r="F65" s="12" t="s">
        <v>405</v>
      </c>
      <c r="G65" s="11" t="s">
        <v>129</v>
      </c>
      <c r="H65" s="11"/>
      <c r="I65" s="11"/>
      <c r="J65" s="12"/>
      <c r="K65" s="14" t="str">
        <f t="shared" si="0"/>
        <v>NO</v>
      </c>
      <c r="L65" s="12" t="s">
        <v>130</v>
      </c>
      <c r="M65" s="12" t="s">
        <v>453</v>
      </c>
      <c r="N65" s="12" t="s">
        <v>454</v>
      </c>
      <c r="O65" s="12" t="s">
        <v>455</v>
      </c>
    </row>
    <row r="66" spans="1:15" ht="41.5" customHeight="1" x14ac:dyDescent="0.35">
      <c r="A66" s="11">
        <v>61</v>
      </c>
      <c r="B66" s="12" t="s">
        <v>456</v>
      </c>
      <c r="C66" s="12" t="s">
        <v>457</v>
      </c>
      <c r="D66" s="11">
        <v>2024</v>
      </c>
      <c r="E66" s="12" t="s">
        <v>458</v>
      </c>
      <c r="F66" s="12" t="s">
        <v>405</v>
      </c>
      <c r="G66" s="11" t="s">
        <v>129</v>
      </c>
      <c r="H66" s="11"/>
      <c r="I66" s="11"/>
      <c r="J66" s="12"/>
      <c r="K66" s="14" t="str">
        <f t="shared" si="0"/>
        <v>NO</v>
      </c>
      <c r="L66" s="12" t="s">
        <v>130</v>
      </c>
      <c r="M66" s="12" t="s">
        <v>459</v>
      </c>
      <c r="N66" s="12" t="s">
        <v>460</v>
      </c>
      <c r="O66" s="12" t="s">
        <v>461</v>
      </c>
    </row>
    <row r="67" spans="1:15" ht="29" customHeight="1" x14ac:dyDescent="0.35">
      <c r="A67" s="11">
        <v>62</v>
      </c>
      <c r="B67" s="12" t="s">
        <v>462</v>
      </c>
      <c r="C67" s="12" t="s">
        <v>463</v>
      </c>
      <c r="D67" s="11">
        <v>2024</v>
      </c>
      <c r="E67" s="12" t="s">
        <v>464</v>
      </c>
      <c r="F67" s="12" t="s">
        <v>405</v>
      </c>
      <c r="G67" s="11" t="s">
        <v>129</v>
      </c>
      <c r="H67" s="11"/>
      <c r="I67" s="11"/>
      <c r="J67" s="12"/>
      <c r="K67" s="14" t="str">
        <f t="shared" si="0"/>
        <v>NO</v>
      </c>
      <c r="L67" s="12" t="s">
        <v>130</v>
      </c>
      <c r="M67" s="12" t="s">
        <v>465</v>
      </c>
      <c r="N67" s="12" t="s">
        <v>466</v>
      </c>
      <c r="O67" s="12" t="s">
        <v>467</v>
      </c>
    </row>
    <row r="68" spans="1:15" ht="41.5" customHeight="1" x14ac:dyDescent="0.35">
      <c r="A68" s="11">
        <v>63</v>
      </c>
      <c r="B68" s="12" t="s">
        <v>468</v>
      </c>
      <c r="C68" s="12" t="s">
        <v>469</v>
      </c>
      <c r="D68" s="11">
        <v>2021</v>
      </c>
      <c r="E68" s="12" t="s">
        <v>411</v>
      </c>
      <c r="F68" s="12" t="s">
        <v>405</v>
      </c>
      <c r="G68" s="11" t="s">
        <v>129</v>
      </c>
      <c r="H68" s="11"/>
      <c r="I68" s="11"/>
      <c r="J68" s="12"/>
      <c r="K68" s="14" t="str">
        <f t="shared" si="0"/>
        <v>NO</v>
      </c>
      <c r="L68" s="12" t="s">
        <v>130</v>
      </c>
      <c r="M68" s="12" t="s">
        <v>412</v>
      </c>
      <c r="N68" s="12" t="s">
        <v>470</v>
      </c>
      <c r="O68" s="12" t="s">
        <v>471</v>
      </c>
    </row>
    <row r="69" spans="1:15" ht="29" customHeight="1" x14ac:dyDescent="0.35">
      <c r="A69" s="11">
        <v>64</v>
      </c>
      <c r="B69" s="12" t="s">
        <v>472</v>
      </c>
      <c r="C69" s="12" t="s">
        <v>473</v>
      </c>
      <c r="D69" s="11">
        <v>2020</v>
      </c>
      <c r="E69" s="12" t="s">
        <v>136</v>
      </c>
      <c r="F69" s="12" t="s">
        <v>405</v>
      </c>
      <c r="G69" s="11" t="s">
        <v>129</v>
      </c>
      <c r="H69" s="11"/>
      <c r="I69" s="11"/>
      <c r="J69" s="12"/>
      <c r="K69" s="14" t="str">
        <f t="shared" si="0"/>
        <v>NO</v>
      </c>
      <c r="L69" s="12" t="s">
        <v>130</v>
      </c>
      <c r="M69" s="12" t="s">
        <v>474</v>
      </c>
      <c r="N69" s="12" t="s">
        <v>475</v>
      </c>
      <c r="O69" s="12" t="s">
        <v>476</v>
      </c>
    </row>
    <row r="70" spans="1:15" ht="41.5" customHeight="1" x14ac:dyDescent="0.35">
      <c r="A70" s="11">
        <v>65</v>
      </c>
      <c r="B70" s="12" t="s">
        <v>477</v>
      </c>
      <c r="C70" s="12" t="s">
        <v>478</v>
      </c>
      <c r="D70" s="11">
        <v>2019</v>
      </c>
      <c r="E70" s="12" t="s">
        <v>479</v>
      </c>
      <c r="F70" s="12" t="s">
        <v>405</v>
      </c>
      <c r="G70" s="11" t="s">
        <v>129</v>
      </c>
      <c r="H70" s="11"/>
      <c r="I70" s="11"/>
      <c r="J70" s="12"/>
      <c r="K70" s="14" t="str">
        <f t="shared" ref="K70:K133" si="1">IF(AND(G70="KEEP",H70="KEEP",I70="KEEP"),"YES",IF(OR(G70="DROP",H70="DROP",I70="DROP"),"NO",""))</f>
        <v>NO</v>
      </c>
      <c r="L70" s="12" t="s">
        <v>130</v>
      </c>
      <c r="M70" s="12" t="s">
        <v>480</v>
      </c>
      <c r="N70" s="12" t="s">
        <v>481</v>
      </c>
      <c r="O70" s="12" t="s">
        <v>482</v>
      </c>
    </row>
    <row r="71" spans="1:15" ht="29" customHeight="1" x14ac:dyDescent="0.35">
      <c r="A71" s="11">
        <v>66</v>
      </c>
      <c r="B71" s="12" t="s">
        <v>483</v>
      </c>
      <c r="C71" s="12" t="s">
        <v>484</v>
      </c>
      <c r="D71" s="11">
        <v>2025</v>
      </c>
      <c r="E71" s="12" t="s">
        <v>485</v>
      </c>
      <c r="F71" s="12" t="s">
        <v>405</v>
      </c>
      <c r="G71" s="11" t="s">
        <v>129</v>
      </c>
      <c r="H71" s="11"/>
      <c r="I71" s="11"/>
      <c r="J71" s="12"/>
      <c r="K71" s="14" t="str">
        <f t="shared" si="1"/>
        <v>NO</v>
      </c>
      <c r="L71" s="12" t="s">
        <v>130</v>
      </c>
      <c r="M71" s="12" t="s">
        <v>486</v>
      </c>
      <c r="N71" s="12" t="s">
        <v>487</v>
      </c>
      <c r="O71" s="12" t="s">
        <v>488</v>
      </c>
    </row>
    <row r="72" spans="1:15" ht="41.5" customHeight="1" x14ac:dyDescent="0.35">
      <c r="A72" s="11">
        <v>67</v>
      </c>
      <c r="B72" s="12" t="s">
        <v>489</v>
      </c>
      <c r="C72" s="12" t="s">
        <v>490</v>
      </c>
      <c r="D72" s="11">
        <v>2025</v>
      </c>
      <c r="E72" s="12" t="s">
        <v>491</v>
      </c>
      <c r="F72" s="12" t="s">
        <v>405</v>
      </c>
      <c r="G72" s="11" t="s">
        <v>129</v>
      </c>
      <c r="H72" s="11"/>
      <c r="I72" s="11"/>
      <c r="J72" s="12"/>
      <c r="K72" s="14" t="str">
        <f t="shared" si="1"/>
        <v>NO</v>
      </c>
      <c r="L72" s="12" t="s">
        <v>130</v>
      </c>
      <c r="M72" s="12" t="s">
        <v>492</v>
      </c>
      <c r="N72" s="12" t="s">
        <v>493</v>
      </c>
      <c r="O72" s="12" t="s">
        <v>494</v>
      </c>
    </row>
    <row r="73" spans="1:15" ht="29" customHeight="1" x14ac:dyDescent="0.35">
      <c r="A73" s="11">
        <v>68</v>
      </c>
      <c r="B73" s="12" t="s">
        <v>495</v>
      </c>
      <c r="C73" s="12" t="s">
        <v>496</v>
      </c>
      <c r="D73" s="11">
        <v>2023</v>
      </c>
      <c r="E73" s="12" t="s">
        <v>497</v>
      </c>
      <c r="F73" s="12" t="s">
        <v>405</v>
      </c>
      <c r="G73" s="11" t="s">
        <v>137</v>
      </c>
      <c r="H73" s="11" t="s">
        <v>137</v>
      </c>
      <c r="I73" s="11" t="s">
        <v>137</v>
      </c>
      <c r="J73" s="12"/>
      <c r="K73" s="14" t="str">
        <f t="shared" si="1"/>
        <v>YES</v>
      </c>
      <c r="L73" s="12" t="s">
        <v>130</v>
      </c>
      <c r="M73" s="12" t="s">
        <v>159</v>
      </c>
      <c r="N73" s="12" t="s">
        <v>498</v>
      </c>
      <c r="O73" s="12" t="s">
        <v>499</v>
      </c>
    </row>
    <row r="74" spans="1:15" ht="41.5" customHeight="1" x14ac:dyDescent="0.35">
      <c r="A74" s="11">
        <v>69</v>
      </c>
      <c r="B74" s="12" t="s">
        <v>500</v>
      </c>
      <c r="C74" s="12" t="s">
        <v>501</v>
      </c>
      <c r="D74" s="11">
        <v>2024</v>
      </c>
      <c r="E74" s="12" t="s">
        <v>502</v>
      </c>
      <c r="F74" s="12" t="s">
        <v>405</v>
      </c>
      <c r="G74" s="11" t="s">
        <v>129</v>
      </c>
      <c r="H74" s="11"/>
      <c r="I74" s="11"/>
      <c r="J74" s="12"/>
      <c r="K74" s="14" t="str">
        <f t="shared" si="1"/>
        <v>NO</v>
      </c>
      <c r="L74" s="12" t="s">
        <v>130</v>
      </c>
      <c r="M74" s="12" t="s">
        <v>503</v>
      </c>
      <c r="N74" s="12" t="s">
        <v>504</v>
      </c>
      <c r="O74" s="12" t="s">
        <v>505</v>
      </c>
    </row>
    <row r="75" spans="1:15" ht="41.5" customHeight="1" x14ac:dyDescent="0.35">
      <c r="A75" s="11">
        <v>70</v>
      </c>
      <c r="B75" s="12" t="s">
        <v>506</v>
      </c>
      <c r="C75" s="12" t="s">
        <v>507</v>
      </c>
      <c r="D75" s="11">
        <v>2024</v>
      </c>
      <c r="E75" s="12" t="s">
        <v>508</v>
      </c>
      <c r="F75" s="12" t="s">
        <v>405</v>
      </c>
      <c r="G75" s="11" t="s">
        <v>129</v>
      </c>
      <c r="H75" s="11"/>
      <c r="I75" s="11"/>
      <c r="J75" s="12"/>
      <c r="K75" s="14" t="str">
        <f t="shared" si="1"/>
        <v>NO</v>
      </c>
      <c r="L75" s="12" t="s">
        <v>130</v>
      </c>
      <c r="M75" s="12" t="s">
        <v>509</v>
      </c>
      <c r="N75" s="12" t="s">
        <v>510</v>
      </c>
      <c r="O75" s="12" t="s">
        <v>511</v>
      </c>
    </row>
    <row r="76" spans="1:15" ht="41.5" customHeight="1" x14ac:dyDescent="0.35">
      <c r="A76" s="11">
        <v>71</v>
      </c>
      <c r="B76" s="12" t="s">
        <v>512</v>
      </c>
      <c r="C76" s="12" t="s">
        <v>513</v>
      </c>
      <c r="D76" s="11">
        <v>2025</v>
      </c>
      <c r="E76" s="12" t="s">
        <v>514</v>
      </c>
      <c r="F76" s="12" t="s">
        <v>405</v>
      </c>
      <c r="G76" s="11" t="s">
        <v>129</v>
      </c>
      <c r="H76" s="11"/>
      <c r="I76" s="11"/>
      <c r="J76" s="12"/>
      <c r="K76" s="14" t="str">
        <f t="shared" si="1"/>
        <v>NO</v>
      </c>
      <c r="L76" s="12" t="s">
        <v>130</v>
      </c>
      <c r="M76" s="12" t="s">
        <v>503</v>
      </c>
      <c r="N76" s="12" t="s">
        <v>515</v>
      </c>
      <c r="O76" s="12" t="s">
        <v>516</v>
      </c>
    </row>
    <row r="77" spans="1:15" ht="41.5" customHeight="1" x14ac:dyDescent="0.35">
      <c r="A77" s="11">
        <v>72</v>
      </c>
      <c r="B77" s="12" t="s">
        <v>517</v>
      </c>
      <c r="C77" s="12" t="s">
        <v>518</v>
      </c>
      <c r="D77" s="11">
        <v>2024</v>
      </c>
      <c r="E77" s="12" t="s">
        <v>519</v>
      </c>
      <c r="F77" s="12" t="s">
        <v>405</v>
      </c>
      <c r="G77" s="11" t="s">
        <v>129</v>
      </c>
      <c r="H77" s="11"/>
      <c r="I77" s="11"/>
      <c r="J77" s="12"/>
      <c r="K77" s="14" t="str">
        <f t="shared" si="1"/>
        <v>NO</v>
      </c>
      <c r="L77" s="12" t="s">
        <v>130</v>
      </c>
      <c r="M77" s="12" t="s">
        <v>520</v>
      </c>
      <c r="N77" s="12" t="s">
        <v>521</v>
      </c>
      <c r="O77" s="12" t="s">
        <v>522</v>
      </c>
    </row>
    <row r="78" spans="1:15" ht="41.5" customHeight="1" x14ac:dyDescent="0.35">
      <c r="A78" s="11">
        <v>73</v>
      </c>
      <c r="B78" s="12" t="s">
        <v>523</v>
      </c>
      <c r="C78" s="12" t="s">
        <v>524</v>
      </c>
      <c r="D78" s="11">
        <v>2024</v>
      </c>
      <c r="E78" s="12" t="s">
        <v>525</v>
      </c>
      <c r="F78" s="12" t="s">
        <v>405</v>
      </c>
      <c r="G78" s="11" t="s">
        <v>129</v>
      </c>
      <c r="H78" s="11"/>
      <c r="I78" s="11"/>
      <c r="J78" s="12"/>
      <c r="K78" s="14" t="str">
        <f t="shared" si="1"/>
        <v>NO</v>
      </c>
      <c r="L78" s="12" t="s">
        <v>130</v>
      </c>
      <c r="M78" s="12" t="s">
        <v>526</v>
      </c>
      <c r="N78" s="12" t="s">
        <v>527</v>
      </c>
      <c r="O78" s="12" t="s">
        <v>528</v>
      </c>
    </row>
    <row r="79" spans="1:15" ht="41.5" customHeight="1" x14ac:dyDescent="0.35">
      <c r="A79" s="11">
        <v>74</v>
      </c>
      <c r="B79" s="12" t="s">
        <v>529</v>
      </c>
      <c r="C79" s="12" t="s">
        <v>530</v>
      </c>
      <c r="D79" s="11">
        <v>2023</v>
      </c>
      <c r="E79" s="12" t="s">
        <v>255</v>
      </c>
      <c r="F79" s="12" t="s">
        <v>405</v>
      </c>
      <c r="G79" s="11" t="s">
        <v>129</v>
      </c>
      <c r="H79" s="11"/>
      <c r="I79" s="11"/>
      <c r="J79" s="12"/>
      <c r="K79" s="14" t="str">
        <f t="shared" si="1"/>
        <v>NO</v>
      </c>
      <c r="L79" s="12" t="s">
        <v>130</v>
      </c>
      <c r="M79" s="12" t="s">
        <v>326</v>
      </c>
      <c r="N79" s="12" t="s">
        <v>531</v>
      </c>
      <c r="O79" s="12" t="s">
        <v>532</v>
      </c>
    </row>
    <row r="80" spans="1:15" ht="29" customHeight="1" x14ac:dyDescent="0.35">
      <c r="A80" s="11">
        <v>75</v>
      </c>
      <c r="B80" s="12" t="s">
        <v>533</v>
      </c>
      <c r="C80" s="12" t="s">
        <v>534</v>
      </c>
      <c r="D80" s="11">
        <v>2022</v>
      </c>
      <c r="E80" s="12" t="s">
        <v>535</v>
      </c>
      <c r="F80" s="12" t="s">
        <v>405</v>
      </c>
      <c r="G80" s="11" t="s">
        <v>129</v>
      </c>
      <c r="H80" s="11"/>
      <c r="I80" s="11"/>
      <c r="J80" s="12"/>
      <c r="K80" s="14" t="str">
        <f t="shared" si="1"/>
        <v>NO</v>
      </c>
      <c r="L80" s="12" t="s">
        <v>130</v>
      </c>
      <c r="M80" s="12" t="s">
        <v>423</v>
      </c>
      <c r="N80" s="12" t="s">
        <v>536</v>
      </c>
      <c r="O80" s="12" t="s">
        <v>537</v>
      </c>
    </row>
    <row r="81" spans="1:15" ht="41.5" customHeight="1" x14ac:dyDescent="0.35">
      <c r="A81" s="11">
        <v>76</v>
      </c>
      <c r="B81" s="12" t="s">
        <v>538</v>
      </c>
      <c r="C81" s="12" t="s">
        <v>539</v>
      </c>
      <c r="D81" s="11">
        <v>2020</v>
      </c>
      <c r="E81" s="12" t="s">
        <v>491</v>
      </c>
      <c r="F81" s="12" t="s">
        <v>540</v>
      </c>
      <c r="G81" s="11" t="s">
        <v>129</v>
      </c>
      <c r="H81" s="11"/>
      <c r="I81" s="11"/>
      <c r="J81" s="12"/>
      <c r="K81" s="14" t="str">
        <f t="shared" si="1"/>
        <v>NO</v>
      </c>
      <c r="L81" s="12" t="s">
        <v>130</v>
      </c>
      <c r="M81" s="12" t="s">
        <v>541</v>
      </c>
      <c r="N81" s="12" t="s">
        <v>542</v>
      </c>
      <c r="O81" s="12" t="s">
        <v>543</v>
      </c>
    </row>
    <row r="82" spans="1:15" ht="41.5" customHeight="1" x14ac:dyDescent="0.35">
      <c r="A82" s="11">
        <v>77</v>
      </c>
      <c r="B82" s="12" t="s">
        <v>544</v>
      </c>
      <c r="C82" s="12" t="s">
        <v>545</v>
      </c>
      <c r="D82" s="11">
        <v>2019</v>
      </c>
      <c r="E82" s="12" t="s">
        <v>546</v>
      </c>
      <c r="F82" s="12" t="s">
        <v>540</v>
      </c>
      <c r="G82" s="11" t="s">
        <v>129</v>
      </c>
      <c r="H82" s="11"/>
      <c r="I82" s="11"/>
      <c r="J82" s="12"/>
      <c r="K82" s="14" t="str">
        <f t="shared" si="1"/>
        <v>NO</v>
      </c>
      <c r="L82" s="12" t="s">
        <v>130</v>
      </c>
      <c r="M82" s="12" t="s">
        <v>547</v>
      </c>
      <c r="N82" s="12" t="s">
        <v>548</v>
      </c>
      <c r="O82" s="12" t="s">
        <v>549</v>
      </c>
    </row>
    <row r="83" spans="1:15" ht="29" customHeight="1" x14ac:dyDescent="0.35">
      <c r="A83" s="11">
        <v>78</v>
      </c>
      <c r="B83" s="12" t="s">
        <v>550</v>
      </c>
      <c r="C83" s="12" t="s">
        <v>551</v>
      </c>
      <c r="D83" s="11">
        <v>2018</v>
      </c>
      <c r="E83" s="12" t="s">
        <v>552</v>
      </c>
      <c r="F83" s="12" t="s">
        <v>540</v>
      </c>
      <c r="G83" s="11" t="s">
        <v>137</v>
      </c>
      <c r="H83" s="11" t="s">
        <v>137</v>
      </c>
      <c r="I83" s="11" t="s">
        <v>137</v>
      </c>
      <c r="J83" s="12"/>
      <c r="K83" s="14" t="str">
        <f t="shared" si="1"/>
        <v>YES</v>
      </c>
      <c r="L83" s="12" t="s">
        <v>130</v>
      </c>
      <c r="M83" s="12"/>
      <c r="N83" s="12" t="s">
        <v>553</v>
      </c>
      <c r="O83" s="12" t="s">
        <v>554</v>
      </c>
    </row>
    <row r="84" spans="1:15" ht="29" customHeight="1" x14ac:dyDescent="0.35">
      <c r="A84" s="11">
        <v>79</v>
      </c>
      <c r="B84" s="12" t="s">
        <v>555</v>
      </c>
      <c r="C84" s="12" t="s">
        <v>556</v>
      </c>
      <c r="D84" s="11">
        <v>2020</v>
      </c>
      <c r="E84" s="12" t="s">
        <v>557</v>
      </c>
      <c r="F84" s="12" t="s">
        <v>540</v>
      </c>
      <c r="G84" s="11" t="s">
        <v>137</v>
      </c>
      <c r="H84" s="11" t="s">
        <v>137</v>
      </c>
      <c r="I84" s="11" t="s">
        <v>137</v>
      </c>
      <c r="J84" s="12"/>
      <c r="K84" s="14" t="str">
        <f t="shared" si="1"/>
        <v>YES</v>
      </c>
      <c r="L84" s="12" t="s">
        <v>130</v>
      </c>
      <c r="M84" s="12" t="s">
        <v>159</v>
      </c>
      <c r="N84" s="12" t="s">
        <v>558</v>
      </c>
      <c r="O84" s="12" t="s">
        <v>559</v>
      </c>
    </row>
    <row r="85" spans="1:15" ht="29" customHeight="1" x14ac:dyDescent="0.35">
      <c r="A85" s="11">
        <v>80</v>
      </c>
      <c r="B85" s="12" t="s">
        <v>560</v>
      </c>
      <c r="C85" s="12" t="s">
        <v>561</v>
      </c>
      <c r="D85" s="11">
        <v>2023</v>
      </c>
      <c r="E85" s="12" t="s">
        <v>562</v>
      </c>
      <c r="F85" s="12" t="s">
        <v>540</v>
      </c>
      <c r="G85" s="11" t="s">
        <v>137</v>
      </c>
      <c r="H85" s="11" t="s">
        <v>137</v>
      </c>
      <c r="I85" s="11" t="s">
        <v>129</v>
      </c>
      <c r="J85" s="12" t="s">
        <v>563</v>
      </c>
      <c r="K85" s="14" t="str">
        <f t="shared" si="1"/>
        <v>NO</v>
      </c>
      <c r="L85" s="12" t="s">
        <v>130</v>
      </c>
      <c r="M85" s="12" t="s">
        <v>564</v>
      </c>
      <c r="N85" s="12" t="s">
        <v>565</v>
      </c>
      <c r="O85" s="12" t="s">
        <v>566</v>
      </c>
    </row>
    <row r="86" spans="1:15" ht="41.5" customHeight="1" x14ac:dyDescent="0.35">
      <c r="A86" s="11">
        <v>81</v>
      </c>
      <c r="B86" s="12" t="s">
        <v>567</v>
      </c>
      <c r="C86" s="12" t="s">
        <v>568</v>
      </c>
      <c r="D86" s="11">
        <v>2022</v>
      </c>
      <c r="E86" s="12" t="s">
        <v>569</v>
      </c>
      <c r="F86" s="12" t="s">
        <v>540</v>
      </c>
      <c r="G86" s="11" t="s">
        <v>129</v>
      </c>
      <c r="H86" s="11"/>
      <c r="I86" s="11"/>
      <c r="J86" s="12"/>
      <c r="K86" s="14" t="str">
        <f t="shared" si="1"/>
        <v>NO</v>
      </c>
      <c r="L86" s="12" t="s">
        <v>130</v>
      </c>
      <c r="M86" s="12" t="s">
        <v>570</v>
      </c>
      <c r="N86" s="12" t="s">
        <v>571</v>
      </c>
      <c r="O86" s="12" t="s">
        <v>572</v>
      </c>
    </row>
    <row r="87" spans="1:15" ht="29" customHeight="1" x14ac:dyDescent="0.35">
      <c r="A87" s="11">
        <v>82</v>
      </c>
      <c r="B87" s="12" t="s">
        <v>573</v>
      </c>
      <c r="C87" s="12" t="s">
        <v>574</v>
      </c>
      <c r="D87" s="11">
        <v>2023</v>
      </c>
      <c r="E87" s="12" t="s">
        <v>304</v>
      </c>
      <c r="F87" s="12" t="s">
        <v>540</v>
      </c>
      <c r="G87" s="11" t="s">
        <v>137</v>
      </c>
      <c r="H87" s="11" t="s">
        <v>137</v>
      </c>
      <c r="I87" s="11" t="s">
        <v>137</v>
      </c>
      <c r="J87" s="12"/>
      <c r="K87" s="14" t="str">
        <f t="shared" si="1"/>
        <v>YES</v>
      </c>
      <c r="L87" s="12" t="s">
        <v>130</v>
      </c>
      <c r="M87" s="12"/>
      <c r="N87" s="12" t="s">
        <v>575</v>
      </c>
      <c r="O87" s="12" t="s">
        <v>576</v>
      </c>
    </row>
    <row r="88" spans="1:15" ht="29" customHeight="1" x14ac:dyDescent="0.35">
      <c r="A88" s="11">
        <v>83</v>
      </c>
      <c r="B88" s="12" t="s">
        <v>577</v>
      </c>
      <c r="C88" s="12" t="s">
        <v>545</v>
      </c>
      <c r="D88" s="11">
        <v>2018</v>
      </c>
      <c r="E88" s="12" t="s">
        <v>578</v>
      </c>
      <c r="F88" s="12" t="s">
        <v>540</v>
      </c>
      <c r="G88" s="11" t="s">
        <v>129</v>
      </c>
      <c r="H88" s="11"/>
      <c r="I88" s="11"/>
      <c r="J88" s="12"/>
      <c r="K88" s="14" t="str">
        <f t="shared" si="1"/>
        <v>NO</v>
      </c>
      <c r="L88" s="12" t="s">
        <v>130</v>
      </c>
      <c r="M88" s="12" t="s">
        <v>547</v>
      </c>
      <c r="N88" s="12" t="s">
        <v>579</v>
      </c>
      <c r="O88" s="12" t="s">
        <v>580</v>
      </c>
    </row>
    <row r="89" spans="1:15" ht="29" customHeight="1" x14ac:dyDescent="0.35">
      <c r="A89" s="11">
        <v>84</v>
      </c>
      <c r="B89" s="12" t="s">
        <v>581</v>
      </c>
      <c r="C89" s="12" t="s">
        <v>582</v>
      </c>
      <c r="D89" s="11">
        <v>2025</v>
      </c>
      <c r="E89" s="12" t="s">
        <v>583</v>
      </c>
      <c r="F89" s="12" t="s">
        <v>540</v>
      </c>
      <c r="G89" s="11" t="s">
        <v>137</v>
      </c>
      <c r="H89" s="11" t="s">
        <v>137</v>
      </c>
      <c r="I89" s="11" t="s">
        <v>137</v>
      </c>
      <c r="J89" s="12"/>
      <c r="K89" s="14" t="str">
        <f t="shared" si="1"/>
        <v>YES</v>
      </c>
      <c r="L89" s="12" t="s">
        <v>130</v>
      </c>
      <c r="M89" s="12"/>
      <c r="N89" s="12" t="s">
        <v>584</v>
      </c>
      <c r="O89" s="12" t="s">
        <v>585</v>
      </c>
    </row>
    <row r="90" spans="1:15" ht="29" customHeight="1" x14ac:dyDescent="0.35">
      <c r="A90" s="11">
        <v>85</v>
      </c>
      <c r="B90" s="12" t="s">
        <v>586</v>
      </c>
      <c r="C90" s="12" t="s">
        <v>587</v>
      </c>
      <c r="D90" s="11">
        <v>2022</v>
      </c>
      <c r="E90" s="12" t="s">
        <v>136</v>
      </c>
      <c r="F90" s="12" t="s">
        <v>540</v>
      </c>
      <c r="G90" s="11" t="s">
        <v>137</v>
      </c>
      <c r="H90" s="11" t="s">
        <v>137</v>
      </c>
      <c r="I90" s="11" t="s">
        <v>129</v>
      </c>
      <c r="J90" s="12" t="s">
        <v>588</v>
      </c>
      <c r="K90" s="14" t="str">
        <f t="shared" si="1"/>
        <v>NO</v>
      </c>
      <c r="L90" s="12" t="s">
        <v>130</v>
      </c>
      <c r="M90" s="12" t="s">
        <v>589</v>
      </c>
      <c r="N90" s="12" t="s">
        <v>590</v>
      </c>
      <c r="O90" s="12" t="s">
        <v>591</v>
      </c>
    </row>
    <row r="91" spans="1:15" ht="29" customHeight="1" x14ac:dyDescent="0.35">
      <c r="A91" s="11">
        <v>86</v>
      </c>
      <c r="B91" s="12" t="s">
        <v>592</v>
      </c>
      <c r="C91" s="12" t="s">
        <v>545</v>
      </c>
      <c r="D91" s="11">
        <v>2019</v>
      </c>
      <c r="E91" s="12" t="s">
        <v>593</v>
      </c>
      <c r="F91" s="12" t="s">
        <v>540</v>
      </c>
      <c r="G91" s="11" t="s">
        <v>129</v>
      </c>
      <c r="H91" s="11"/>
      <c r="I91" s="11"/>
      <c r="J91" s="12"/>
      <c r="K91" s="14" t="str">
        <f t="shared" si="1"/>
        <v>NO</v>
      </c>
      <c r="L91" s="12" t="s">
        <v>130</v>
      </c>
      <c r="M91" s="12" t="s">
        <v>547</v>
      </c>
      <c r="N91" s="12" t="s">
        <v>594</v>
      </c>
      <c r="O91" s="12" t="s">
        <v>595</v>
      </c>
    </row>
    <row r="92" spans="1:15" ht="29" customHeight="1" x14ac:dyDescent="0.35">
      <c r="A92" s="11">
        <v>87</v>
      </c>
      <c r="B92" s="12" t="s">
        <v>596</v>
      </c>
      <c r="C92" s="12" t="s">
        <v>597</v>
      </c>
      <c r="D92" s="11">
        <v>2021</v>
      </c>
      <c r="E92" s="12" t="s">
        <v>136</v>
      </c>
      <c r="F92" s="12" t="s">
        <v>540</v>
      </c>
      <c r="G92" s="11" t="s">
        <v>129</v>
      </c>
      <c r="H92" s="11"/>
      <c r="I92" s="11"/>
      <c r="J92" s="12"/>
      <c r="K92" s="14" t="str">
        <f t="shared" si="1"/>
        <v>NO</v>
      </c>
      <c r="L92" s="12" t="s">
        <v>130</v>
      </c>
      <c r="M92" s="12" t="s">
        <v>598</v>
      </c>
      <c r="N92" s="12" t="s">
        <v>599</v>
      </c>
      <c r="O92" s="12" t="s">
        <v>600</v>
      </c>
    </row>
    <row r="93" spans="1:15" ht="41.5" customHeight="1" x14ac:dyDescent="0.35">
      <c r="A93" s="11">
        <v>88</v>
      </c>
      <c r="B93" s="12" t="s">
        <v>601</v>
      </c>
      <c r="C93" s="12" t="s">
        <v>602</v>
      </c>
      <c r="D93" s="11">
        <v>2021</v>
      </c>
      <c r="E93" s="12" t="s">
        <v>136</v>
      </c>
      <c r="F93" s="12" t="s">
        <v>540</v>
      </c>
      <c r="G93" s="11" t="s">
        <v>137</v>
      </c>
      <c r="H93" s="11" t="s">
        <v>129</v>
      </c>
      <c r="I93" s="11"/>
      <c r="J93" s="12"/>
      <c r="K93" s="14" t="str">
        <f t="shared" si="1"/>
        <v>NO</v>
      </c>
      <c r="L93" s="12" t="s">
        <v>130</v>
      </c>
      <c r="M93" s="12" t="s">
        <v>603</v>
      </c>
      <c r="N93" s="12" t="s">
        <v>604</v>
      </c>
      <c r="O93" s="12" t="s">
        <v>605</v>
      </c>
    </row>
    <row r="94" spans="1:15" ht="29" customHeight="1" x14ac:dyDescent="0.35">
      <c r="A94" s="11">
        <v>89</v>
      </c>
      <c r="B94" s="12" t="s">
        <v>606</v>
      </c>
      <c r="C94" s="12" t="s">
        <v>607</v>
      </c>
      <c r="D94" s="11">
        <v>2018</v>
      </c>
      <c r="E94" s="12" t="s">
        <v>608</v>
      </c>
      <c r="F94" s="12" t="s">
        <v>540</v>
      </c>
      <c r="G94" s="11" t="s">
        <v>137</v>
      </c>
      <c r="H94" s="11" t="s">
        <v>137</v>
      </c>
      <c r="I94" s="11" t="s">
        <v>129</v>
      </c>
      <c r="J94" s="12" t="s">
        <v>563</v>
      </c>
      <c r="K94" s="14" t="str">
        <f t="shared" si="1"/>
        <v>NO</v>
      </c>
      <c r="L94" s="12" t="s">
        <v>130</v>
      </c>
      <c r="M94" s="12" t="s">
        <v>609</v>
      </c>
      <c r="N94" s="12" t="s">
        <v>610</v>
      </c>
      <c r="O94" s="12" t="s">
        <v>611</v>
      </c>
    </row>
    <row r="95" spans="1:15" ht="54" customHeight="1" x14ac:dyDescent="0.35">
      <c r="A95" s="11">
        <v>90</v>
      </c>
      <c r="B95" s="12" t="s">
        <v>612</v>
      </c>
      <c r="C95" s="12" t="s">
        <v>613</v>
      </c>
      <c r="D95" s="11">
        <v>2021</v>
      </c>
      <c r="E95" s="12" t="s">
        <v>614</v>
      </c>
      <c r="F95" s="12" t="s">
        <v>540</v>
      </c>
      <c r="G95" s="11" t="s">
        <v>129</v>
      </c>
      <c r="H95" s="11"/>
      <c r="I95" s="11"/>
      <c r="J95" s="12"/>
      <c r="K95" s="14" t="str">
        <f t="shared" si="1"/>
        <v>NO</v>
      </c>
      <c r="L95" s="12" t="s">
        <v>130</v>
      </c>
      <c r="M95" s="12" t="s">
        <v>547</v>
      </c>
      <c r="N95" s="12" t="s">
        <v>615</v>
      </c>
      <c r="O95" s="12" t="s">
        <v>616</v>
      </c>
    </row>
    <row r="96" spans="1:15" ht="41.5" customHeight="1" x14ac:dyDescent="0.35">
      <c r="A96" s="11">
        <v>91</v>
      </c>
      <c r="B96" s="12" t="s">
        <v>617</v>
      </c>
      <c r="C96" s="12" t="s">
        <v>618</v>
      </c>
      <c r="D96" s="11">
        <v>2017</v>
      </c>
      <c r="E96" s="12" t="s">
        <v>619</v>
      </c>
      <c r="F96" s="12" t="s">
        <v>540</v>
      </c>
      <c r="G96" s="11" t="s">
        <v>129</v>
      </c>
      <c r="H96" s="11"/>
      <c r="I96" s="11"/>
      <c r="J96" s="12"/>
      <c r="K96" s="14" t="str">
        <f t="shared" si="1"/>
        <v>NO</v>
      </c>
      <c r="L96" s="12" t="s">
        <v>130</v>
      </c>
      <c r="M96" s="12" t="s">
        <v>620</v>
      </c>
      <c r="N96" s="12" t="s">
        <v>621</v>
      </c>
      <c r="O96" s="12" t="s">
        <v>622</v>
      </c>
    </row>
    <row r="97" spans="1:15" ht="29" customHeight="1" x14ac:dyDescent="0.35">
      <c r="A97" s="11">
        <v>92</v>
      </c>
      <c r="B97" s="12" t="s">
        <v>623</v>
      </c>
      <c r="C97" s="12" t="s">
        <v>624</v>
      </c>
      <c r="D97" s="11">
        <v>2020</v>
      </c>
      <c r="E97" s="12" t="s">
        <v>625</v>
      </c>
      <c r="F97" s="12" t="s">
        <v>540</v>
      </c>
      <c r="G97" s="11" t="s">
        <v>129</v>
      </c>
      <c r="H97" s="11"/>
      <c r="I97" s="11"/>
      <c r="J97" s="12"/>
      <c r="K97" s="14" t="str">
        <f t="shared" si="1"/>
        <v>NO</v>
      </c>
      <c r="L97" s="12" t="s">
        <v>130</v>
      </c>
      <c r="M97" s="12" t="s">
        <v>626</v>
      </c>
      <c r="N97" s="12" t="s">
        <v>627</v>
      </c>
      <c r="O97" s="12" t="s">
        <v>628</v>
      </c>
    </row>
    <row r="98" spans="1:15" ht="29" customHeight="1" x14ac:dyDescent="0.35">
      <c r="A98" s="11">
        <v>93</v>
      </c>
      <c r="B98" s="12" t="s">
        <v>629</v>
      </c>
      <c r="C98" s="12" t="s">
        <v>630</v>
      </c>
      <c r="D98" s="11">
        <v>2022</v>
      </c>
      <c r="E98" s="12" t="s">
        <v>569</v>
      </c>
      <c r="F98" s="12" t="s">
        <v>540</v>
      </c>
      <c r="G98" s="11" t="s">
        <v>129</v>
      </c>
      <c r="H98" s="11"/>
      <c r="I98" s="11"/>
      <c r="J98" s="12"/>
      <c r="K98" s="14" t="str">
        <f t="shared" si="1"/>
        <v>NO</v>
      </c>
      <c r="L98" s="12" t="s">
        <v>130</v>
      </c>
      <c r="M98" s="12" t="s">
        <v>631</v>
      </c>
      <c r="N98" s="12" t="s">
        <v>632</v>
      </c>
      <c r="O98" s="12" t="s">
        <v>633</v>
      </c>
    </row>
    <row r="99" spans="1:15" ht="29" customHeight="1" x14ac:dyDescent="0.35">
      <c r="A99" s="11">
        <v>94</v>
      </c>
      <c r="B99" s="12" t="s">
        <v>634</v>
      </c>
      <c r="C99" s="12" t="s">
        <v>635</v>
      </c>
      <c r="D99" s="11">
        <v>2024</v>
      </c>
      <c r="E99" s="12" t="s">
        <v>636</v>
      </c>
      <c r="F99" s="12" t="s">
        <v>540</v>
      </c>
      <c r="G99" s="11" t="s">
        <v>129</v>
      </c>
      <c r="H99" s="11"/>
      <c r="I99" s="11"/>
      <c r="J99" s="12"/>
      <c r="K99" s="14" t="str">
        <f t="shared" si="1"/>
        <v>NO</v>
      </c>
      <c r="L99" s="12" t="s">
        <v>130</v>
      </c>
      <c r="M99" s="12" t="s">
        <v>637</v>
      </c>
      <c r="N99" s="12" t="s">
        <v>638</v>
      </c>
      <c r="O99" s="12" t="s">
        <v>639</v>
      </c>
    </row>
    <row r="100" spans="1:15" ht="29" customHeight="1" x14ac:dyDescent="0.35">
      <c r="A100" s="11">
        <v>95</v>
      </c>
      <c r="B100" s="12" t="s">
        <v>640</v>
      </c>
      <c r="C100" s="12" t="s">
        <v>641</v>
      </c>
      <c r="D100" s="11">
        <v>2022</v>
      </c>
      <c r="E100" s="12" t="s">
        <v>642</v>
      </c>
      <c r="F100" s="12" t="s">
        <v>540</v>
      </c>
      <c r="G100" s="11" t="s">
        <v>129</v>
      </c>
      <c r="H100" s="11"/>
      <c r="I100" s="11"/>
      <c r="J100" s="12"/>
      <c r="K100" s="14" t="str">
        <f t="shared" si="1"/>
        <v>NO</v>
      </c>
      <c r="L100" s="12" t="s">
        <v>130</v>
      </c>
      <c r="M100" s="12" t="s">
        <v>643</v>
      </c>
      <c r="N100" s="12" t="s">
        <v>644</v>
      </c>
      <c r="O100" s="12" t="s">
        <v>645</v>
      </c>
    </row>
    <row r="101" spans="1:15" ht="29" customHeight="1" x14ac:dyDescent="0.35">
      <c r="A101" s="11">
        <v>96</v>
      </c>
      <c r="B101" s="12" t="s">
        <v>646</v>
      </c>
      <c r="C101" s="12" t="s">
        <v>647</v>
      </c>
      <c r="D101" s="11">
        <v>2019</v>
      </c>
      <c r="E101" s="12" t="s">
        <v>648</v>
      </c>
      <c r="F101" s="12" t="s">
        <v>540</v>
      </c>
      <c r="G101" s="11" t="s">
        <v>137</v>
      </c>
      <c r="H101" s="11" t="s">
        <v>137</v>
      </c>
      <c r="I101" s="11" t="s">
        <v>137</v>
      </c>
      <c r="J101" s="12"/>
      <c r="K101" s="14" t="str">
        <f t="shared" si="1"/>
        <v>YES</v>
      </c>
      <c r="L101" s="12" t="s">
        <v>130</v>
      </c>
      <c r="M101" s="12"/>
      <c r="N101" s="12" t="s">
        <v>649</v>
      </c>
      <c r="O101" s="12" t="s">
        <v>650</v>
      </c>
    </row>
    <row r="102" spans="1:15" ht="41.5" customHeight="1" x14ac:dyDescent="0.35">
      <c r="A102" s="11">
        <v>97</v>
      </c>
      <c r="B102" s="12" t="s">
        <v>651</v>
      </c>
      <c r="C102" s="12" t="s">
        <v>652</v>
      </c>
      <c r="D102" s="11">
        <v>2024</v>
      </c>
      <c r="E102" s="12" t="s">
        <v>653</v>
      </c>
      <c r="F102" s="12" t="s">
        <v>540</v>
      </c>
      <c r="G102" s="11" t="s">
        <v>129</v>
      </c>
      <c r="H102" s="11"/>
      <c r="I102" s="11"/>
      <c r="J102" s="12"/>
      <c r="K102" s="14" t="str">
        <f t="shared" si="1"/>
        <v>NO</v>
      </c>
      <c r="L102" s="12" t="s">
        <v>130</v>
      </c>
      <c r="M102" s="12" t="s">
        <v>654</v>
      </c>
      <c r="N102" s="12" t="s">
        <v>655</v>
      </c>
      <c r="O102" s="12" t="s">
        <v>656</v>
      </c>
    </row>
    <row r="103" spans="1:15" ht="29" customHeight="1" x14ac:dyDescent="0.35">
      <c r="A103" s="11">
        <v>98</v>
      </c>
      <c r="B103" s="12" t="s">
        <v>657</v>
      </c>
      <c r="C103" s="12" t="s">
        <v>658</v>
      </c>
      <c r="D103" s="11">
        <v>2023</v>
      </c>
      <c r="E103" s="12" t="s">
        <v>659</v>
      </c>
      <c r="F103" s="12" t="s">
        <v>540</v>
      </c>
      <c r="G103" s="11" t="s">
        <v>137</v>
      </c>
      <c r="H103" s="11" t="s">
        <v>129</v>
      </c>
      <c r="I103" s="11"/>
      <c r="J103" s="12"/>
      <c r="K103" s="14" t="str">
        <f t="shared" si="1"/>
        <v>NO</v>
      </c>
      <c r="L103" s="12" t="s">
        <v>130</v>
      </c>
      <c r="M103" s="12" t="s">
        <v>660</v>
      </c>
      <c r="N103" s="12" t="s">
        <v>661</v>
      </c>
      <c r="O103" s="12" t="s">
        <v>662</v>
      </c>
    </row>
    <row r="104" spans="1:15" ht="29" customHeight="1" x14ac:dyDescent="0.35">
      <c r="A104" s="11">
        <v>99</v>
      </c>
      <c r="B104" s="12" t="s">
        <v>663</v>
      </c>
      <c r="C104" s="12" t="s">
        <v>664</v>
      </c>
      <c r="D104" s="11">
        <v>2020</v>
      </c>
      <c r="E104" s="12" t="s">
        <v>665</v>
      </c>
      <c r="F104" s="12" t="s">
        <v>540</v>
      </c>
      <c r="G104" s="11" t="s">
        <v>137</v>
      </c>
      <c r="H104" s="11" t="s">
        <v>137</v>
      </c>
      <c r="I104" s="11" t="s">
        <v>137</v>
      </c>
      <c r="J104" s="12"/>
      <c r="K104" s="14" t="str">
        <f t="shared" si="1"/>
        <v>YES</v>
      </c>
      <c r="L104" s="12" t="s">
        <v>130</v>
      </c>
      <c r="M104" s="12"/>
      <c r="N104" s="12" t="s">
        <v>666</v>
      </c>
      <c r="O104" s="12" t="s">
        <v>667</v>
      </c>
    </row>
    <row r="105" spans="1:15" ht="29" customHeight="1" x14ac:dyDescent="0.35">
      <c r="A105" s="11">
        <v>100</v>
      </c>
      <c r="B105" s="12" t="s">
        <v>668</v>
      </c>
      <c r="C105" s="12" t="s">
        <v>669</v>
      </c>
      <c r="D105" s="11">
        <v>2020</v>
      </c>
      <c r="E105" s="12" t="s">
        <v>255</v>
      </c>
      <c r="F105" s="12" t="s">
        <v>540</v>
      </c>
      <c r="G105" s="11" t="s">
        <v>129</v>
      </c>
      <c r="H105" s="11"/>
      <c r="I105" s="11"/>
      <c r="J105" s="12"/>
      <c r="K105" s="14" t="str">
        <f t="shared" si="1"/>
        <v>NO</v>
      </c>
      <c r="L105" s="12" t="s">
        <v>130</v>
      </c>
      <c r="M105" s="12" t="s">
        <v>670</v>
      </c>
      <c r="N105" s="12" t="s">
        <v>671</v>
      </c>
      <c r="O105" s="12" t="s">
        <v>672</v>
      </c>
    </row>
    <row r="106" spans="1:15" ht="41.5" customHeight="1" x14ac:dyDescent="0.35">
      <c r="A106" s="11">
        <v>101</v>
      </c>
      <c r="B106" s="12" t="s">
        <v>673</v>
      </c>
      <c r="C106" s="12" t="s">
        <v>674</v>
      </c>
      <c r="D106" s="11">
        <v>2020</v>
      </c>
      <c r="E106" s="12" t="s">
        <v>136</v>
      </c>
      <c r="F106" s="12" t="s">
        <v>675</v>
      </c>
      <c r="G106" s="11" t="s">
        <v>129</v>
      </c>
      <c r="H106" s="11"/>
      <c r="I106" s="11"/>
      <c r="J106" s="12"/>
      <c r="K106" s="14" t="str">
        <f t="shared" si="1"/>
        <v>NO</v>
      </c>
      <c r="L106" s="12" t="s">
        <v>130</v>
      </c>
      <c r="M106" s="12" t="s">
        <v>676</v>
      </c>
      <c r="N106" s="12" t="s">
        <v>677</v>
      </c>
      <c r="O106" s="12" t="s">
        <v>678</v>
      </c>
    </row>
    <row r="107" spans="1:15" ht="29" customHeight="1" x14ac:dyDescent="0.35">
      <c r="A107" s="11">
        <v>102</v>
      </c>
      <c r="B107" s="12" t="s">
        <v>679</v>
      </c>
      <c r="C107" s="12" t="s">
        <v>680</v>
      </c>
      <c r="D107" s="11">
        <v>2023</v>
      </c>
      <c r="E107" s="12" t="s">
        <v>681</v>
      </c>
      <c r="F107" s="12" t="s">
        <v>675</v>
      </c>
      <c r="G107" s="11" t="s">
        <v>137</v>
      </c>
      <c r="H107" s="11" t="s">
        <v>137</v>
      </c>
      <c r="I107" s="11" t="s">
        <v>137</v>
      </c>
      <c r="J107" s="12"/>
      <c r="K107" s="14" t="str">
        <f t="shared" si="1"/>
        <v>YES</v>
      </c>
      <c r="L107" s="12" t="s">
        <v>130</v>
      </c>
      <c r="M107" s="12"/>
      <c r="N107" s="12" t="s">
        <v>682</v>
      </c>
      <c r="O107" s="12" t="s">
        <v>683</v>
      </c>
    </row>
    <row r="108" spans="1:15" ht="41.5" customHeight="1" x14ac:dyDescent="0.35">
      <c r="A108" s="11">
        <v>103</v>
      </c>
      <c r="B108" s="12" t="s">
        <v>684</v>
      </c>
      <c r="C108" s="12" t="s">
        <v>685</v>
      </c>
      <c r="D108" s="11">
        <v>2018</v>
      </c>
      <c r="E108" s="12" t="s">
        <v>659</v>
      </c>
      <c r="F108" s="12" t="s">
        <v>675</v>
      </c>
      <c r="G108" s="11" t="s">
        <v>129</v>
      </c>
      <c r="H108" s="11"/>
      <c r="I108" s="11"/>
      <c r="J108" s="12"/>
      <c r="K108" s="14" t="str">
        <f t="shared" si="1"/>
        <v>NO</v>
      </c>
      <c r="L108" s="12" t="s">
        <v>130</v>
      </c>
      <c r="M108" s="12" t="s">
        <v>686</v>
      </c>
      <c r="N108" s="12" t="s">
        <v>687</v>
      </c>
      <c r="O108" s="12" t="s">
        <v>688</v>
      </c>
    </row>
    <row r="109" spans="1:15" ht="29" customHeight="1" x14ac:dyDescent="0.35">
      <c r="A109" s="11">
        <v>104</v>
      </c>
      <c r="B109" s="12" t="s">
        <v>689</v>
      </c>
      <c r="C109" s="12" t="s">
        <v>690</v>
      </c>
      <c r="D109" s="11">
        <v>2021</v>
      </c>
      <c r="E109" s="12" t="s">
        <v>174</v>
      </c>
      <c r="F109" s="12" t="s">
        <v>675</v>
      </c>
      <c r="G109" s="11" t="s">
        <v>129</v>
      </c>
      <c r="H109" s="11"/>
      <c r="I109" s="11"/>
      <c r="J109" s="12"/>
      <c r="K109" s="14" t="str">
        <f t="shared" si="1"/>
        <v>NO</v>
      </c>
      <c r="L109" s="12" t="s">
        <v>130</v>
      </c>
      <c r="M109" s="12" t="s">
        <v>691</v>
      </c>
      <c r="N109" s="12" t="s">
        <v>692</v>
      </c>
      <c r="O109" s="12" t="s">
        <v>693</v>
      </c>
    </row>
    <row r="110" spans="1:15" ht="24" customHeight="1" x14ac:dyDescent="0.35">
      <c r="A110" s="11">
        <v>105</v>
      </c>
      <c r="B110" s="12" t="s">
        <v>694</v>
      </c>
      <c r="C110" s="12" t="s">
        <v>695</v>
      </c>
      <c r="D110" s="11">
        <v>2019</v>
      </c>
      <c r="E110" s="12" t="s">
        <v>245</v>
      </c>
      <c r="F110" s="12" t="s">
        <v>675</v>
      </c>
      <c r="G110" s="11" t="s">
        <v>137</v>
      </c>
      <c r="H110" s="11" t="s">
        <v>137</v>
      </c>
      <c r="I110" s="11" t="s">
        <v>137</v>
      </c>
      <c r="J110" s="12"/>
      <c r="K110" s="14" t="str">
        <f t="shared" si="1"/>
        <v>YES</v>
      </c>
      <c r="L110" s="12" t="s">
        <v>130</v>
      </c>
      <c r="M110" s="12"/>
      <c r="N110" s="12" t="s">
        <v>696</v>
      </c>
      <c r="O110" s="12" t="s">
        <v>697</v>
      </c>
    </row>
    <row r="111" spans="1:15" ht="41.5" customHeight="1" x14ac:dyDescent="0.35">
      <c r="A111" s="11">
        <v>106</v>
      </c>
      <c r="B111" s="12" t="s">
        <v>698</v>
      </c>
      <c r="C111" s="12" t="s">
        <v>680</v>
      </c>
      <c r="D111" s="11">
        <v>2021</v>
      </c>
      <c r="E111" s="12" t="s">
        <v>136</v>
      </c>
      <c r="F111" s="12" t="s">
        <v>675</v>
      </c>
      <c r="G111" s="11" t="s">
        <v>137</v>
      </c>
      <c r="H111" s="11" t="s">
        <v>137</v>
      </c>
      <c r="I111" s="11" t="s">
        <v>129</v>
      </c>
      <c r="J111" s="12" t="s">
        <v>138</v>
      </c>
      <c r="K111" s="14" t="str">
        <f t="shared" si="1"/>
        <v>NO</v>
      </c>
      <c r="L111" s="12" t="s">
        <v>130</v>
      </c>
      <c r="M111" s="12" t="s">
        <v>699</v>
      </c>
      <c r="N111" s="12" t="s">
        <v>700</v>
      </c>
      <c r="O111" s="12" t="s">
        <v>701</v>
      </c>
    </row>
    <row r="112" spans="1:15" ht="29" customHeight="1" x14ac:dyDescent="0.35">
      <c r="A112" s="11">
        <v>107</v>
      </c>
      <c r="B112" s="12" t="s">
        <v>702</v>
      </c>
      <c r="C112" s="12" t="s">
        <v>703</v>
      </c>
      <c r="D112" s="11">
        <v>2021</v>
      </c>
      <c r="E112" s="12" t="s">
        <v>704</v>
      </c>
      <c r="F112" s="12" t="s">
        <v>675</v>
      </c>
      <c r="G112" s="11" t="s">
        <v>137</v>
      </c>
      <c r="H112" s="11" t="s">
        <v>137</v>
      </c>
      <c r="I112" s="11" t="s">
        <v>137</v>
      </c>
      <c r="J112" s="12"/>
      <c r="K112" s="14" t="str">
        <f t="shared" si="1"/>
        <v>YES</v>
      </c>
      <c r="L112" s="12" t="s">
        <v>130</v>
      </c>
      <c r="M112" s="12"/>
      <c r="N112" s="12" t="s">
        <v>705</v>
      </c>
      <c r="O112" s="12" t="s">
        <v>706</v>
      </c>
    </row>
    <row r="113" spans="1:15" ht="29" customHeight="1" x14ac:dyDescent="0.35">
      <c r="A113" s="11">
        <v>108</v>
      </c>
      <c r="B113" s="12" t="s">
        <v>679</v>
      </c>
      <c r="C113" s="12" t="s">
        <v>680</v>
      </c>
      <c r="D113" s="11">
        <v>2023</v>
      </c>
      <c r="E113" s="12" t="s">
        <v>707</v>
      </c>
      <c r="F113" s="12" t="s">
        <v>675</v>
      </c>
      <c r="G113" s="11" t="s">
        <v>137</v>
      </c>
      <c r="H113" s="11" t="s">
        <v>137</v>
      </c>
      <c r="I113" s="11" t="s">
        <v>129</v>
      </c>
      <c r="J113" s="12" t="s">
        <v>138</v>
      </c>
      <c r="K113" s="14" t="str">
        <f t="shared" si="1"/>
        <v>NO</v>
      </c>
      <c r="L113" s="12" t="s">
        <v>130</v>
      </c>
      <c r="M113" s="12" t="s">
        <v>708</v>
      </c>
      <c r="N113" s="12" t="s">
        <v>709</v>
      </c>
      <c r="O113" s="12" t="s">
        <v>710</v>
      </c>
    </row>
    <row r="114" spans="1:15" ht="41.5" customHeight="1" x14ac:dyDescent="0.35">
      <c r="A114" s="11">
        <v>109</v>
      </c>
      <c r="B114" s="12" t="s">
        <v>711</v>
      </c>
      <c r="C114" s="12" t="s">
        <v>712</v>
      </c>
      <c r="D114" s="11">
        <v>2022</v>
      </c>
      <c r="E114" s="12" t="s">
        <v>713</v>
      </c>
      <c r="F114" s="12" t="s">
        <v>675</v>
      </c>
      <c r="G114" s="11" t="s">
        <v>129</v>
      </c>
      <c r="H114" s="11"/>
      <c r="I114" s="11"/>
      <c r="J114" s="12"/>
      <c r="K114" s="14" t="str">
        <f t="shared" si="1"/>
        <v>NO</v>
      </c>
      <c r="L114" s="12" t="s">
        <v>130</v>
      </c>
      <c r="M114" s="12" t="s">
        <v>714</v>
      </c>
      <c r="N114" s="12" t="s">
        <v>715</v>
      </c>
      <c r="O114" s="12" t="s">
        <v>716</v>
      </c>
    </row>
    <row r="115" spans="1:15" ht="41.5" customHeight="1" x14ac:dyDescent="0.35">
      <c r="A115" s="11">
        <v>110</v>
      </c>
      <c r="B115" s="12" t="s">
        <v>717</v>
      </c>
      <c r="C115" s="12" t="s">
        <v>718</v>
      </c>
      <c r="D115" s="11">
        <v>2026</v>
      </c>
      <c r="E115" s="12" t="s">
        <v>719</v>
      </c>
      <c r="F115" s="12" t="s">
        <v>675</v>
      </c>
      <c r="G115" s="11" t="s">
        <v>129</v>
      </c>
      <c r="H115" s="11"/>
      <c r="I115" s="11"/>
      <c r="J115" s="12"/>
      <c r="K115" s="14" t="str">
        <f t="shared" si="1"/>
        <v>NO</v>
      </c>
      <c r="L115" s="12" t="s">
        <v>130</v>
      </c>
      <c r="M115" s="12" t="s">
        <v>720</v>
      </c>
      <c r="N115" s="12" t="s">
        <v>721</v>
      </c>
      <c r="O115" s="12" t="s">
        <v>722</v>
      </c>
    </row>
    <row r="116" spans="1:15" ht="54" customHeight="1" x14ac:dyDescent="0.35">
      <c r="A116" s="11">
        <v>111</v>
      </c>
      <c r="B116" s="12" t="s">
        <v>723</v>
      </c>
      <c r="C116" s="12" t="s">
        <v>724</v>
      </c>
      <c r="D116" s="11">
        <v>2022</v>
      </c>
      <c r="E116" s="12" t="s">
        <v>725</v>
      </c>
      <c r="F116" s="12" t="s">
        <v>675</v>
      </c>
      <c r="G116" s="11" t="s">
        <v>129</v>
      </c>
      <c r="H116" s="11"/>
      <c r="I116" s="11"/>
      <c r="J116" s="12"/>
      <c r="K116" s="14" t="str">
        <f t="shared" si="1"/>
        <v>NO</v>
      </c>
      <c r="L116" s="12" t="s">
        <v>130</v>
      </c>
      <c r="M116" s="12" t="s">
        <v>726</v>
      </c>
      <c r="N116" s="12" t="s">
        <v>727</v>
      </c>
      <c r="O116" s="12" t="s">
        <v>728</v>
      </c>
    </row>
    <row r="117" spans="1:15" ht="29" customHeight="1" x14ac:dyDescent="0.35">
      <c r="A117" s="11">
        <v>112</v>
      </c>
      <c r="B117" s="12" t="s">
        <v>729</v>
      </c>
      <c r="C117" s="12" t="s">
        <v>680</v>
      </c>
      <c r="D117" s="11">
        <v>2023</v>
      </c>
      <c r="E117" s="12" t="s">
        <v>730</v>
      </c>
      <c r="F117" s="12" t="s">
        <v>675</v>
      </c>
      <c r="G117" s="11" t="s">
        <v>137</v>
      </c>
      <c r="H117" s="11" t="s">
        <v>137</v>
      </c>
      <c r="I117" s="11" t="s">
        <v>137</v>
      </c>
      <c r="J117" s="12"/>
      <c r="K117" s="14" t="str">
        <f t="shared" si="1"/>
        <v>YES</v>
      </c>
      <c r="L117" s="12" t="s">
        <v>130</v>
      </c>
      <c r="M117" s="12"/>
      <c r="N117" s="12" t="s">
        <v>731</v>
      </c>
      <c r="O117" s="12" t="s">
        <v>732</v>
      </c>
    </row>
    <row r="118" spans="1:15" ht="54" customHeight="1" x14ac:dyDescent="0.35">
      <c r="A118" s="11">
        <v>113</v>
      </c>
      <c r="B118" s="12" t="s">
        <v>733</v>
      </c>
      <c r="C118" s="12" t="s">
        <v>734</v>
      </c>
      <c r="D118" s="11">
        <v>2022</v>
      </c>
      <c r="E118" s="12" t="s">
        <v>735</v>
      </c>
      <c r="F118" s="12" t="s">
        <v>675</v>
      </c>
      <c r="G118" s="11" t="s">
        <v>129</v>
      </c>
      <c r="H118" s="11"/>
      <c r="I118" s="11"/>
      <c r="J118" s="12"/>
      <c r="K118" s="14" t="str">
        <f t="shared" si="1"/>
        <v>NO</v>
      </c>
      <c r="L118" s="12" t="s">
        <v>130</v>
      </c>
      <c r="M118" s="12" t="s">
        <v>736</v>
      </c>
      <c r="N118" s="12" t="s">
        <v>737</v>
      </c>
      <c r="O118" s="12" t="s">
        <v>738</v>
      </c>
    </row>
    <row r="119" spans="1:15" ht="29" customHeight="1" x14ac:dyDescent="0.35">
      <c r="A119" s="11">
        <v>114</v>
      </c>
      <c r="B119" s="12" t="s">
        <v>739</v>
      </c>
      <c r="C119" s="12" t="s">
        <v>740</v>
      </c>
      <c r="D119" s="11">
        <v>2024</v>
      </c>
      <c r="E119" s="12" t="s">
        <v>741</v>
      </c>
      <c r="F119" s="12" t="s">
        <v>675</v>
      </c>
      <c r="G119" s="11" t="s">
        <v>137</v>
      </c>
      <c r="H119" s="11" t="s">
        <v>137</v>
      </c>
      <c r="I119" s="11" t="s">
        <v>137</v>
      </c>
      <c r="J119" s="12"/>
      <c r="K119" s="14" t="str">
        <f t="shared" si="1"/>
        <v>YES</v>
      </c>
      <c r="L119" s="12" t="s">
        <v>130</v>
      </c>
      <c r="M119" s="12"/>
      <c r="N119" s="12" t="s">
        <v>742</v>
      </c>
      <c r="O119" s="12" t="s">
        <v>743</v>
      </c>
    </row>
    <row r="120" spans="1:15" ht="29" customHeight="1" x14ac:dyDescent="0.35">
      <c r="A120" s="11">
        <v>115</v>
      </c>
      <c r="B120" s="12" t="s">
        <v>744</v>
      </c>
      <c r="C120" s="12" t="s">
        <v>703</v>
      </c>
      <c r="D120" s="11">
        <v>2025</v>
      </c>
      <c r="E120" s="12" t="s">
        <v>745</v>
      </c>
      <c r="F120" s="12" t="s">
        <v>675</v>
      </c>
      <c r="G120" s="11" t="s">
        <v>137</v>
      </c>
      <c r="H120" s="11" t="s">
        <v>137</v>
      </c>
      <c r="I120" s="11" t="s">
        <v>137</v>
      </c>
      <c r="J120" s="12"/>
      <c r="K120" s="14" t="str">
        <f t="shared" si="1"/>
        <v>YES</v>
      </c>
      <c r="L120" s="12" t="s">
        <v>130</v>
      </c>
      <c r="M120" s="12"/>
      <c r="N120" s="12" t="s">
        <v>746</v>
      </c>
      <c r="O120" s="12" t="s">
        <v>747</v>
      </c>
    </row>
    <row r="121" spans="1:15" ht="29" customHeight="1" x14ac:dyDescent="0.35">
      <c r="A121" s="11">
        <v>116</v>
      </c>
      <c r="B121" s="12" t="s">
        <v>748</v>
      </c>
      <c r="C121" s="12" t="s">
        <v>749</v>
      </c>
      <c r="D121" s="11">
        <v>2022</v>
      </c>
      <c r="E121" s="12" t="s">
        <v>750</v>
      </c>
      <c r="F121" s="12" t="s">
        <v>675</v>
      </c>
      <c r="G121" s="11" t="s">
        <v>129</v>
      </c>
      <c r="H121" s="11"/>
      <c r="I121" s="11"/>
      <c r="J121" s="12"/>
      <c r="K121" s="14" t="str">
        <f t="shared" si="1"/>
        <v>NO</v>
      </c>
      <c r="L121" s="12" t="s">
        <v>130</v>
      </c>
      <c r="M121" s="12" t="s">
        <v>751</v>
      </c>
      <c r="N121" s="12" t="s">
        <v>752</v>
      </c>
      <c r="O121" s="12" t="s">
        <v>753</v>
      </c>
    </row>
    <row r="122" spans="1:15" ht="24" customHeight="1" x14ac:dyDescent="0.35">
      <c r="A122" s="11">
        <v>117</v>
      </c>
      <c r="B122" s="12" t="s">
        <v>754</v>
      </c>
      <c r="C122" s="12" t="s">
        <v>755</v>
      </c>
      <c r="D122" s="11">
        <v>2022</v>
      </c>
      <c r="E122" s="12" t="s">
        <v>756</v>
      </c>
      <c r="F122" s="12" t="s">
        <v>675</v>
      </c>
      <c r="G122" s="11" t="s">
        <v>137</v>
      </c>
      <c r="H122" s="11" t="s">
        <v>137</v>
      </c>
      <c r="I122" s="11" t="s">
        <v>137</v>
      </c>
      <c r="J122" s="12"/>
      <c r="K122" s="14" t="str">
        <f t="shared" si="1"/>
        <v>YES</v>
      </c>
      <c r="L122" s="12" t="s">
        <v>130</v>
      </c>
      <c r="M122" s="12"/>
      <c r="N122" s="12" t="s">
        <v>757</v>
      </c>
      <c r="O122" s="12" t="s">
        <v>758</v>
      </c>
    </row>
    <row r="123" spans="1:15" ht="24" customHeight="1" x14ac:dyDescent="0.35">
      <c r="A123" s="11">
        <v>118</v>
      </c>
      <c r="B123" s="12" t="s">
        <v>759</v>
      </c>
      <c r="C123" s="12" t="s">
        <v>680</v>
      </c>
      <c r="D123" s="11">
        <v>2024</v>
      </c>
      <c r="E123" s="12" t="s">
        <v>760</v>
      </c>
      <c r="F123" s="12" t="s">
        <v>675</v>
      </c>
      <c r="G123" s="11" t="s">
        <v>137</v>
      </c>
      <c r="H123" s="11" t="s">
        <v>137</v>
      </c>
      <c r="I123" s="11" t="s">
        <v>137</v>
      </c>
      <c r="J123" s="12"/>
      <c r="K123" s="14" t="str">
        <f t="shared" si="1"/>
        <v>YES</v>
      </c>
      <c r="L123" s="12" t="s">
        <v>130</v>
      </c>
      <c r="M123" s="12"/>
      <c r="N123" s="12" t="s">
        <v>761</v>
      </c>
      <c r="O123" s="12" t="s">
        <v>762</v>
      </c>
    </row>
    <row r="124" spans="1:15" ht="41.5" customHeight="1" x14ac:dyDescent="0.35">
      <c r="A124" s="11">
        <v>119</v>
      </c>
      <c r="B124" s="12" t="s">
        <v>763</v>
      </c>
      <c r="C124" s="12" t="s">
        <v>764</v>
      </c>
      <c r="D124" s="11">
        <v>2023</v>
      </c>
      <c r="E124" s="12" t="s">
        <v>765</v>
      </c>
      <c r="F124" s="12" t="s">
        <v>675</v>
      </c>
      <c r="G124" s="11" t="s">
        <v>129</v>
      </c>
      <c r="H124" s="11"/>
      <c r="I124" s="11"/>
      <c r="J124" s="12"/>
      <c r="K124" s="14" t="str">
        <f t="shared" si="1"/>
        <v>NO</v>
      </c>
      <c r="L124" s="12" t="s">
        <v>130</v>
      </c>
      <c r="M124" s="12" t="s">
        <v>766</v>
      </c>
      <c r="N124" s="12" t="s">
        <v>767</v>
      </c>
      <c r="O124" s="12" t="s">
        <v>768</v>
      </c>
    </row>
    <row r="125" spans="1:15" ht="29" customHeight="1" x14ac:dyDescent="0.35">
      <c r="A125" s="11">
        <v>120</v>
      </c>
      <c r="B125" s="12" t="s">
        <v>769</v>
      </c>
      <c r="C125" s="12" t="s">
        <v>770</v>
      </c>
      <c r="D125" s="11">
        <v>2024</v>
      </c>
      <c r="E125" s="12" t="s">
        <v>771</v>
      </c>
      <c r="F125" s="12" t="s">
        <v>675</v>
      </c>
      <c r="G125" s="11" t="s">
        <v>137</v>
      </c>
      <c r="H125" s="11" t="s">
        <v>137</v>
      </c>
      <c r="I125" s="11" t="s">
        <v>137</v>
      </c>
      <c r="J125" s="12"/>
      <c r="K125" s="14" t="str">
        <f t="shared" si="1"/>
        <v>YES</v>
      </c>
      <c r="L125" s="12" t="s">
        <v>130</v>
      </c>
      <c r="M125" s="12"/>
      <c r="N125" s="12" t="s">
        <v>772</v>
      </c>
      <c r="O125" s="12" t="s">
        <v>773</v>
      </c>
    </row>
    <row r="126" spans="1:15" ht="29" customHeight="1" x14ac:dyDescent="0.35">
      <c r="A126" s="11">
        <v>121</v>
      </c>
      <c r="B126" s="12" t="s">
        <v>774</v>
      </c>
      <c r="C126" s="12" t="s">
        <v>703</v>
      </c>
      <c r="D126" s="11">
        <v>2024</v>
      </c>
      <c r="E126" s="12" t="s">
        <v>775</v>
      </c>
      <c r="F126" s="12" t="s">
        <v>675</v>
      </c>
      <c r="G126" s="11" t="s">
        <v>137</v>
      </c>
      <c r="H126" s="11" t="s">
        <v>137</v>
      </c>
      <c r="I126" s="11" t="s">
        <v>137</v>
      </c>
      <c r="J126" s="12"/>
      <c r="K126" s="14" t="str">
        <f t="shared" si="1"/>
        <v>YES</v>
      </c>
      <c r="L126" s="12" t="s">
        <v>130</v>
      </c>
      <c r="M126" s="12"/>
      <c r="N126" s="12" t="s">
        <v>776</v>
      </c>
      <c r="O126" s="12" t="s">
        <v>777</v>
      </c>
    </row>
    <row r="127" spans="1:15" ht="41.5" customHeight="1" x14ac:dyDescent="0.35">
      <c r="A127" s="11">
        <v>122</v>
      </c>
      <c r="B127" s="12" t="s">
        <v>778</v>
      </c>
      <c r="C127" s="12" t="s">
        <v>779</v>
      </c>
      <c r="D127" s="11">
        <v>2024</v>
      </c>
      <c r="E127" s="12" t="s">
        <v>780</v>
      </c>
      <c r="F127" s="12" t="s">
        <v>675</v>
      </c>
      <c r="G127" s="11" t="s">
        <v>137</v>
      </c>
      <c r="H127" s="11" t="s">
        <v>137</v>
      </c>
      <c r="I127" s="11" t="s">
        <v>137</v>
      </c>
      <c r="J127" s="12"/>
      <c r="K127" s="14" t="str">
        <f t="shared" si="1"/>
        <v>YES</v>
      </c>
      <c r="L127" s="12" t="s">
        <v>130</v>
      </c>
      <c r="M127" s="12"/>
      <c r="N127" s="12" t="s">
        <v>781</v>
      </c>
      <c r="O127" s="12" t="s">
        <v>782</v>
      </c>
    </row>
    <row r="128" spans="1:15" ht="41.5" customHeight="1" x14ac:dyDescent="0.35">
      <c r="A128" s="11">
        <v>123</v>
      </c>
      <c r="B128" s="12" t="s">
        <v>783</v>
      </c>
      <c r="C128" s="12" t="s">
        <v>784</v>
      </c>
      <c r="D128" s="11">
        <v>2024</v>
      </c>
      <c r="E128" s="12" t="s">
        <v>785</v>
      </c>
      <c r="F128" s="12" t="s">
        <v>675</v>
      </c>
      <c r="G128" s="11" t="s">
        <v>129</v>
      </c>
      <c r="H128" s="11"/>
      <c r="I128" s="11"/>
      <c r="J128" s="12"/>
      <c r="K128" s="14" t="str">
        <f t="shared" si="1"/>
        <v>NO</v>
      </c>
      <c r="L128" s="12" t="s">
        <v>130</v>
      </c>
      <c r="M128" s="12" t="s">
        <v>786</v>
      </c>
      <c r="N128" s="12" t="s">
        <v>787</v>
      </c>
      <c r="O128" s="12" t="s">
        <v>788</v>
      </c>
    </row>
    <row r="129" spans="1:15" ht="29" customHeight="1" x14ac:dyDescent="0.35">
      <c r="A129" s="11">
        <v>124</v>
      </c>
      <c r="B129" s="12" t="s">
        <v>789</v>
      </c>
      <c r="C129" s="12" t="s">
        <v>790</v>
      </c>
      <c r="D129" s="11">
        <v>2023</v>
      </c>
      <c r="E129" s="12" t="s">
        <v>791</v>
      </c>
      <c r="F129" s="12" t="s">
        <v>675</v>
      </c>
      <c r="G129" s="11" t="s">
        <v>137</v>
      </c>
      <c r="H129" s="11" t="s">
        <v>137</v>
      </c>
      <c r="I129" s="11" t="s">
        <v>137</v>
      </c>
      <c r="J129" s="12"/>
      <c r="K129" s="14" t="str">
        <f t="shared" si="1"/>
        <v>YES</v>
      </c>
      <c r="L129" s="12" t="s">
        <v>130</v>
      </c>
      <c r="M129" s="12"/>
      <c r="N129" s="12" t="s">
        <v>792</v>
      </c>
      <c r="O129" s="12" t="s">
        <v>793</v>
      </c>
    </row>
    <row r="130" spans="1:15" ht="41.5" customHeight="1" x14ac:dyDescent="0.35">
      <c r="A130" s="11">
        <v>125</v>
      </c>
      <c r="B130" s="12" t="s">
        <v>794</v>
      </c>
      <c r="C130" s="12" t="s">
        <v>795</v>
      </c>
      <c r="D130" s="11">
        <v>2025</v>
      </c>
      <c r="E130" s="12" t="s">
        <v>796</v>
      </c>
      <c r="F130" s="12" t="s">
        <v>675</v>
      </c>
      <c r="G130" s="11" t="s">
        <v>129</v>
      </c>
      <c r="H130" s="11"/>
      <c r="I130" s="11"/>
      <c r="J130" s="12"/>
      <c r="K130" s="14" t="str">
        <f t="shared" si="1"/>
        <v>NO</v>
      </c>
      <c r="L130" s="12" t="s">
        <v>130</v>
      </c>
      <c r="M130" s="12" t="s">
        <v>797</v>
      </c>
      <c r="N130" s="12" t="s">
        <v>798</v>
      </c>
      <c r="O130" s="12" t="s">
        <v>799</v>
      </c>
    </row>
    <row r="131" spans="1:15" ht="29" customHeight="1" x14ac:dyDescent="0.35">
      <c r="A131" s="11">
        <v>126</v>
      </c>
      <c r="B131" s="12" t="s">
        <v>800</v>
      </c>
      <c r="C131" s="12" t="s">
        <v>801</v>
      </c>
      <c r="D131" s="11">
        <v>2024</v>
      </c>
      <c r="E131" s="12" t="s">
        <v>802</v>
      </c>
      <c r="F131" s="12" t="s">
        <v>803</v>
      </c>
      <c r="G131" s="11" t="s">
        <v>137</v>
      </c>
      <c r="H131" s="11" t="s">
        <v>137</v>
      </c>
      <c r="I131" s="11" t="s">
        <v>137</v>
      </c>
      <c r="J131" s="12"/>
      <c r="K131" s="14" t="str">
        <f t="shared" si="1"/>
        <v>YES</v>
      </c>
      <c r="L131" s="12" t="s">
        <v>130</v>
      </c>
      <c r="M131" s="12"/>
      <c r="N131" s="12" t="s">
        <v>804</v>
      </c>
      <c r="O131" s="12" t="s">
        <v>805</v>
      </c>
    </row>
    <row r="132" spans="1:15" ht="29" customHeight="1" x14ac:dyDescent="0.35">
      <c r="A132" s="11">
        <v>127</v>
      </c>
      <c r="B132" s="12" t="s">
        <v>806</v>
      </c>
      <c r="C132" s="12" t="s">
        <v>807</v>
      </c>
      <c r="D132" s="11">
        <v>2024</v>
      </c>
      <c r="E132" s="12" t="s">
        <v>808</v>
      </c>
      <c r="F132" s="12" t="s">
        <v>803</v>
      </c>
      <c r="G132" s="11" t="s">
        <v>129</v>
      </c>
      <c r="H132" s="11"/>
      <c r="I132" s="11"/>
      <c r="J132" s="12"/>
      <c r="K132" s="14" t="str">
        <f t="shared" si="1"/>
        <v>NO</v>
      </c>
      <c r="L132" s="12" t="s">
        <v>130</v>
      </c>
      <c r="M132" s="12" t="s">
        <v>809</v>
      </c>
      <c r="N132" s="12" t="s">
        <v>810</v>
      </c>
      <c r="O132" s="12" t="s">
        <v>811</v>
      </c>
    </row>
    <row r="133" spans="1:15" ht="29" customHeight="1" x14ac:dyDescent="0.35">
      <c r="A133" s="11">
        <v>128</v>
      </c>
      <c r="B133" s="12" t="s">
        <v>812</v>
      </c>
      <c r="C133" s="12" t="s">
        <v>813</v>
      </c>
      <c r="D133" s="11">
        <v>2023</v>
      </c>
      <c r="E133" s="12" t="s">
        <v>448</v>
      </c>
      <c r="F133" s="12" t="s">
        <v>803</v>
      </c>
      <c r="G133" s="11" t="s">
        <v>129</v>
      </c>
      <c r="H133" s="11"/>
      <c r="I133" s="11"/>
      <c r="J133" s="12"/>
      <c r="K133" s="14" t="str">
        <f t="shared" si="1"/>
        <v>NO</v>
      </c>
      <c r="L133" s="12" t="s">
        <v>130</v>
      </c>
      <c r="M133" s="12" t="s">
        <v>814</v>
      </c>
      <c r="N133" s="12" t="s">
        <v>815</v>
      </c>
      <c r="O133" s="12" t="s">
        <v>816</v>
      </c>
    </row>
    <row r="134" spans="1:15" ht="29" customHeight="1" x14ac:dyDescent="0.35">
      <c r="A134" s="11">
        <v>129</v>
      </c>
      <c r="B134" s="12" t="s">
        <v>817</v>
      </c>
      <c r="C134" s="12" t="s">
        <v>818</v>
      </c>
      <c r="D134" s="11">
        <v>2025</v>
      </c>
      <c r="E134" s="12" t="s">
        <v>819</v>
      </c>
      <c r="F134" s="12" t="s">
        <v>803</v>
      </c>
      <c r="G134" s="11" t="s">
        <v>137</v>
      </c>
      <c r="H134" s="11" t="s">
        <v>137</v>
      </c>
      <c r="I134" s="11" t="s">
        <v>137</v>
      </c>
      <c r="J134" s="12"/>
      <c r="K134" s="14" t="str">
        <f t="shared" ref="K134:K197" si="2">IF(AND(G134="KEEP",H134="KEEP",I134="KEEP"),"YES",IF(OR(G134="DROP",H134="DROP",I134="DROP"),"NO",""))</f>
        <v>YES</v>
      </c>
      <c r="L134" s="12" t="s">
        <v>130</v>
      </c>
      <c r="M134" s="12"/>
      <c r="N134" s="12" t="s">
        <v>820</v>
      </c>
      <c r="O134" s="12" t="s">
        <v>821</v>
      </c>
    </row>
    <row r="135" spans="1:15" ht="41.5" customHeight="1" x14ac:dyDescent="0.35">
      <c r="A135" s="11">
        <v>130</v>
      </c>
      <c r="B135" s="12" t="s">
        <v>822</v>
      </c>
      <c r="C135" s="12" t="s">
        <v>823</v>
      </c>
      <c r="D135" s="11">
        <v>2024</v>
      </c>
      <c r="E135" s="12" t="s">
        <v>824</v>
      </c>
      <c r="F135" s="12" t="s">
        <v>803</v>
      </c>
      <c r="G135" s="11" t="s">
        <v>129</v>
      </c>
      <c r="H135" s="11"/>
      <c r="I135" s="11"/>
      <c r="J135" s="12"/>
      <c r="K135" s="14" t="str">
        <f t="shared" si="2"/>
        <v>NO</v>
      </c>
      <c r="L135" s="12" t="s">
        <v>130</v>
      </c>
      <c r="M135" s="12" t="s">
        <v>631</v>
      </c>
      <c r="N135" s="12" t="s">
        <v>825</v>
      </c>
      <c r="O135" s="12" t="s">
        <v>826</v>
      </c>
    </row>
    <row r="136" spans="1:15" ht="41.5" customHeight="1" x14ac:dyDescent="0.35">
      <c r="A136" s="11">
        <v>131</v>
      </c>
      <c r="B136" s="12" t="s">
        <v>827</v>
      </c>
      <c r="C136" s="12" t="s">
        <v>828</v>
      </c>
      <c r="D136" s="11">
        <v>2023</v>
      </c>
      <c r="E136" s="12" t="s">
        <v>829</v>
      </c>
      <c r="F136" s="12" t="s">
        <v>803</v>
      </c>
      <c r="G136" s="11" t="s">
        <v>137</v>
      </c>
      <c r="H136" s="11" t="s">
        <v>137</v>
      </c>
      <c r="I136" s="11" t="s">
        <v>137</v>
      </c>
      <c r="J136" s="12"/>
      <c r="K136" s="14" t="str">
        <f t="shared" si="2"/>
        <v>YES</v>
      </c>
      <c r="L136" s="12" t="s">
        <v>130</v>
      </c>
      <c r="M136" s="12"/>
      <c r="N136" s="12" t="s">
        <v>830</v>
      </c>
      <c r="O136" s="12" t="s">
        <v>831</v>
      </c>
    </row>
    <row r="137" spans="1:15" ht="41.5" customHeight="1" x14ac:dyDescent="0.35">
      <c r="A137" s="11">
        <v>132</v>
      </c>
      <c r="B137" s="12" t="s">
        <v>832</v>
      </c>
      <c r="C137" s="12" t="s">
        <v>807</v>
      </c>
      <c r="D137" s="11">
        <v>2024</v>
      </c>
      <c r="E137" s="12" t="s">
        <v>833</v>
      </c>
      <c r="F137" s="12" t="s">
        <v>803</v>
      </c>
      <c r="G137" s="11" t="s">
        <v>129</v>
      </c>
      <c r="H137" s="11"/>
      <c r="I137" s="11"/>
      <c r="J137" s="12"/>
      <c r="K137" s="14" t="str">
        <f t="shared" si="2"/>
        <v>NO</v>
      </c>
      <c r="L137" s="12" t="s">
        <v>130</v>
      </c>
      <c r="M137" s="12" t="s">
        <v>809</v>
      </c>
      <c r="N137" s="12" t="s">
        <v>834</v>
      </c>
      <c r="O137" s="12" t="s">
        <v>835</v>
      </c>
    </row>
    <row r="138" spans="1:15" ht="29" customHeight="1" x14ac:dyDescent="0.35">
      <c r="A138" s="11">
        <v>133</v>
      </c>
      <c r="B138" s="12" t="s">
        <v>836</v>
      </c>
      <c r="C138" s="12" t="s">
        <v>837</v>
      </c>
      <c r="D138" s="11">
        <v>2025</v>
      </c>
      <c r="E138" s="12" t="s">
        <v>838</v>
      </c>
      <c r="F138" s="12" t="s">
        <v>803</v>
      </c>
      <c r="G138" s="11" t="s">
        <v>129</v>
      </c>
      <c r="H138" s="11"/>
      <c r="I138" s="11"/>
      <c r="J138" s="12"/>
      <c r="K138" s="14" t="str">
        <f t="shared" si="2"/>
        <v>NO</v>
      </c>
      <c r="L138" s="12" t="s">
        <v>130</v>
      </c>
      <c r="M138" s="12" t="s">
        <v>839</v>
      </c>
      <c r="N138" s="12" t="s">
        <v>840</v>
      </c>
      <c r="O138" s="12" t="s">
        <v>841</v>
      </c>
    </row>
    <row r="139" spans="1:15" ht="29" customHeight="1" x14ac:dyDescent="0.35">
      <c r="A139" s="11">
        <v>134</v>
      </c>
      <c r="B139" s="12" t="s">
        <v>842</v>
      </c>
      <c r="C139" s="12" t="s">
        <v>843</v>
      </c>
      <c r="D139" s="11">
        <v>2024</v>
      </c>
      <c r="E139" s="12" t="s">
        <v>844</v>
      </c>
      <c r="F139" s="12" t="s">
        <v>803</v>
      </c>
      <c r="G139" s="11" t="s">
        <v>129</v>
      </c>
      <c r="H139" s="11"/>
      <c r="I139" s="11"/>
      <c r="J139" s="12"/>
      <c r="K139" s="14" t="str">
        <f t="shared" si="2"/>
        <v>NO</v>
      </c>
      <c r="L139" s="12" t="s">
        <v>130</v>
      </c>
      <c r="M139" s="12" t="s">
        <v>326</v>
      </c>
      <c r="N139" s="12" t="s">
        <v>845</v>
      </c>
      <c r="O139" s="12" t="s">
        <v>846</v>
      </c>
    </row>
    <row r="140" spans="1:15" ht="41.5" customHeight="1" x14ac:dyDescent="0.35">
      <c r="A140" s="11">
        <v>135</v>
      </c>
      <c r="B140" s="12" t="s">
        <v>847</v>
      </c>
      <c r="C140" s="12" t="s">
        <v>848</v>
      </c>
      <c r="D140" s="11">
        <v>2024</v>
      </c>
      <c r="E140" s="12" t="s">
        <v>849</v>
      </c>
      <c r="F140" s="12" t="s">
        <v>803</v>
      </c>
      <c r="G140" s="11" t="s">
        <v>137</v>
      </c>
      <c r="H140" s="11" t="s">
        <v>137</v>
      </c>
      <c r="I140" s="11" t="s">
        <v>137</v>
      </c>
      <c r="J140" s="12"/>
      <c r="K140" s="14" t="str">
        <f t="shared" si="2"/>
        <v>YES</v>
      </c>
      <c r="L140" s="12" t="s">
        <v>130</v>
      </c>
      <c r="M140" s="12"/>
      <c r="N140" s="12" t="s">
        <v>850</v>
      </c>
      <c r="O140" s="12" t="s">
        <v>851</v>
      </c>
    </row>
    <row r="141" spans="1:15" ht="29" customHeight="1" x14ac:dyDescent="0.35">
      <c r="A141" s="11">
        <v>136</v>
      </c>
      <c r="B141" s="12" t="s">
        <v>852</v>
      </c>
      <c r="C141" s="12" t="s">
        <v>853</v>
      </c>
      <c r="D141" s="11">
        <v>2023</v>
      </c>
      <c r="E141" s="12" t="s">
        <v>136</v>
      </c>
      <c r="F141" s="12" t="s">
        <v>803</v>
      </c>
      <c r="G141" s="11" t="s">
        <v>137</v>
      </c>
      <c r="H141" s="11" t="s">
        <v>137</v>
      </c>
      <c r="I141" s="11" t="s">
        <v>129</v>
      </c>
      <c r="J141" s="12" t="s">
        <v>588</v>
      </c>
      <c r="K141" s="14" t="str">
        <f t="shared" si="2"/>
        <v>NO</v>
      </c>
      <c r="L141" s="12" t="s">
        <v>130</v>
      </c>
      <c r="M141" s="12" t="s">
        <v>854</v>
      </c>
      <c r="N141" s="12" t="s">
        <v>855</v>
      </c>
      <c r="O141" s="12" t="s">
        <v>856</v>
      </c>
    </row>
    <row r="142" spans="1:15" ht="41.5" customHeight="1" x14ac:dyDescent="0.35">
      <c r="A142" s="11">
        <v>137</v>
      </c>
      <c r="B142" s="12" t="s">
        <v>857</v>
      </c>
      <c r="C142" s="12" t="s">
        <v>858</v>
      </c>
      <c r="D142" s="11">
        <v>2026</v>
      </c>
      <c r="E142" s="12" t="s">
        <v>569</v>
      </c>
      <c r="F142" s="12" t="s">
        <v>803</v>
      </c>
      <c r="G142" s="11" t="s">
        <v>129</v>
      </c>
      <c r="H142" s="11"/>
      <c r="I142" s="11"/>
      <c r="J142" s="12"/>
      <c r="K142" s="14" t="str">
        <f t="shared" si="2"/>
        <v>NO</v>
      </c>
      <c r="L142" s="12" t="s">
        <v>130</v>
      </c>
      <c r="M142" s="12" t="s">
        <v>859</v>
      </c>
      <c r="N142" s="12" t="s">
        <v>860</v>
      </c>
      <c r="O142" s="12" t="s">
        <v>861</v>
      </c>
    </row>
    <row r="143" spans="1:15" ht="29" customHeight="1" x14ac:dyDescent="0.35">
      <c r="A143" s="11">
        <v>138</v>
      </c>
      <c r="B143" s="12" t="s">
        <v>862</v>
      </c>
      <c r="C143" s="12" t="s">
        <v>863</v>
      </c>
      <c r="D143" s="11">
        <v>2023</v>
      </c>
      <c r="E143" s="12" t="s">
        <v>428</v>
      </c>
      <c r="F143" s="12" t="s">
        <v>803</v>
      </c>
      <c r="G143" s="11" t="s">
        <v>129</v>
      </c>
      <c r="H143" s="11"/>
      <c r="I143" s="11"/>
      <c r="J143" s="12"/>
      <c r="K143" s="14" t="str">
        <f t="shared" si="2"/>
        <v>NO</v>
      </c>
      <c r="L143" s="12" t="s">
        <v>130</v>
      </c>
      <c r="M143" s="12" t="s">
        <v>864</v>
      </c>
      <c r="N143" s="12" t="s">
        <v>865</v>
      </c>
      <c r="O143" s="12" t="s">
        <v>866</v>
      </c>
    </row>
    <row r="144" spans="1:15" ht="29" customHeight="1" x14ac:dyDescent="0.35">
      <c r="A144" s="11">
        <v>139</v>
      </c>
      <c r="B144" s="12" t="s">
        <v>867</v>
      </c>
      <c r="C144" s="12" t="s">
        <v>868</v>
      </c>
      <c r="D144" s="11">
        <v>2025</v>
      </c>
      <c r="E144" s="12" t="s">
        <v>869</v>
      </c>
      <c r="F144" s="12" t="s">
        <v>803</v>
      </c>
      <c r="G144" s="11" t="s">
        <v>129</v>
      </c>
      <c r="H144" s="11"/>
      <c r="I144" s="11"/>
      <c r="J144" s="12"/>
      <c r="K144" s="14" t="str">
        <f t="shared" si="2"/>
        <v>NO</v>
      </c>
      <c r="L144" s="12" t="s">
        <v>130</v>
      </c>
      <c r="M144" s="12" t="s">
        <v>870</v>
      </c>
      <c r="N144" s="12" t="s">
        <v>871</v>
      </c>
      <c r="O144" s="12" t="s">
        <v>872</v>
      </c>
    </row>
    <row r="145" spans="1:15" ht="29" customHeight="1" x14ac:dyDescent="0.35">
      <c r="A145" s="11">
        <v>140</v>
      </c>
      <c r="B145" s="12" t="s">
        <v>873</v>
      </c>
      <c r="C145" s="12" t="s">
        <v>874</v>
      </c>
      <c r="D145" s="11">
        <v>2026</v>
      </c>
      <c r="E145" s="12" t="s">
        <v>875</v>
      </c>
      <c r="F145" s="12" t="s">
        <v>803</v>
      </c>
      <c r="G145" s="11" t="s">
        <v>137</v>
      </c>
      <c r="H145" s="11" t="s">
        <v>137</v>
      </c>
      <c r="I145" s="11" t="s">
        <v>137</v>
      </c>
      <c r="J145" s="12"/>
      <c r="K145" s="14" t="str">
        <f t="shared" si="2"/>
        <v>YES</v>
      </c>
      <c r="L145" s="12" t="s">
        <v>130</v>
      </c>
      <c r="M145" s="12"/>
      <c r="N145" s="12" t="s">
        <v>876</v>
      </c>
      <c r="O145" s="12" t="s">
        <v>877</v>
      </c>
    </row>
    <row r="146" spans="1:15" ht="29" customHeight="1" x14ac:dyDescent="0.35">
      <c r="A146" s="11">
        <v>141</v>
      </c>
      <c r="B146" s="12" t="s">
        <v>878</v>
      </c>
      <c r="C146" s="12" t="s">
        <v>879</v>
      </c>
      <c r="D146" s="11">
        <v>2024</v>
      </c>
      <c r="E146" s="12" t="s">
        <v>880</v>
      </c>
      <c r="F146" s="12" t="s">
        <v>803</v>
      </c>
      <c r="G146" s="11" t="s">
        <v>137</v>
      </c>
      <c r="H146" s="11" t="s">
        <v>137</v>
      </c>
      <c r="I146" s="11" t="s">
        <v>137</v>
      </c>
      <c r="J146" s="12"/>
      <c r="K146" s="14" t="str">
        <f t="shared" si="2"/>
        <v>YES</v>
      </c>
      <c r="L146" s="12" t="s">
        <v>130</v>
      </c>
      <c r="M146" s="12"/>
      <c r="N146" s="12" t="s">
        <v>881</v>
      </c>
      <c r="O146" s="12" t="s">
        <v>882</v>
      </c>
    </row>
    <row r="147" spans="1:15" ht="41.5" customHeight="1" x14ac:dyDescent="0.35">
      <c r="A147" s="11">
        <v>142</v>
      </c>
      <c r="B147" s="12" t="s">
        <v>883</v>
      </c>
      <c r="C147" s="12" t="s">
        <v>884</v>
      </c>
      <c r="D147" s="11">
        <v>2024</v>
      </c>
      <c r="E147" s="12" t="s">
        <v>885</v>
      </c>
      <c r="F147" s="12" t="s">
        <v>803</v>
      </c>
      <c r="G147" s="11" t="s">
        <v>129</v>
      </c>
      <c r="H147" s="11"/>
      <c r="I147" s="11"/>
      <c r="J147" s="12"/>
      <c r="K147" s="14" t="str">
        <f t="shared" si="2"/>
        <v>NO</v>
      </c>
      <c r="L147" s="12" t="s">
        <v>130</v>
      </c>
      <c r="M147" s="12" t="s">
        <v>631</v>
      </c>
      <c r="N147" s="12" t="s">
        <v>886</v>
      </c>
      <c r="O147" s="12" t="s">
        <v>887</v>
      </c>
    </row>
    <row r="148" spans="1:15" ht="29" customHeight="1" x14ac:dyDescent="0.35">
      <c r="A148" s="11">
        <v>143</v>
      </c>
      <c r="B148" s="12" t="s">
        <v>888</v>
      </c>
      <c r="C148" s="12" t="s">
        <v>889</v>
      </c>
      <c r="D148" s="11">
        <v>2024</v>
      </c>
      <c r="E148" s="12" t="s">
        <v>890</v>
      </c>
      <c r="F148" s="12" t="s">
        <v>803</v>
      </c>
      <c r="G148" s="11" t="s">
        <v>137</v>
      </c>
      <c r="H148" s="11" t="s">
        <v>137</v>
      </c>
      <c r="I148" s="11" t="s">
        <v>137</v>
      </c>
      <c r="J148" s="12"/>
      <c r="K148" s="14" t="str">
        <f t="shared" si="2"/>
        <v>YES</v>
      </c>
      <c r="L148" s="12" t="s">
        <v>130</v>
      </c>
      <c r="M148" s="12"/>
      <c r="N148" s="12" t="s">
        <v>891</v>
      </c>
      <c r="O148" s="12" t="s">
        <v>892</v>
      </c>
    </row>
    <row r="149" spans="1:15" ht="41.5" customHeight="1" x14ac:dyDescent="0.35">
      <c r="A149" s="11">
        <v>144</v>
      </c>
      <c r="B149" s="12" t="s">
        <v>893</v>
      </c>
      <c r="C149" s="12" t="s">
        <v>823</v>
      </c>
      <c r="D149" s="11">
        <v>2024</v>
      </c>
      <c r="E149" s="12" t="s">
        <v>833</v>
      </c>
      <c r="F149" s="12" t="s">
        <v>803</v>
      </c>
      <c r="G149" s="11" t="s">
        <v>129</v>
      </c>
      <c r="H149" s="11"/>
      <c r="I149" s="11"/>
      <c r="J149" s="12"/>
      <c r="K149" s="14" t="str">
        <f t="shared" si="2"/>
        <v>NO</v>
      </c>
      <c r="L149" s="12" t="s">
        <v>130</v>
      </c>
      <c r="M149" s="12" t="s">
        <v>714</v>
      </c>
      <c r="N149" s="12" t="s">
        <v>894</v>
      </c>
      <c r="O149" s="12" t="s">
        <v>895</v>
      </c>
    </row>
    <row r="150" spans="1:15" ht="29" customHeight="1" x14ac:dyDescent="0.35">
      <c r="A150" s="11">
        <v>145</v>
      </c>
      <c r="B150" s="12" t="s">
        <v>896</v>
      </c>
      <c r="C150" s="12" t="s">
        <v>897</v>
      </c>
      <c r="D150" s="11">
        <v>2026</v>
      </c>
      <c r="E150" s="12" t="s">
        <v>898</v>
      </c>
      <c r="F150" s="12" t="s">
        <v>803</v>
      </c>
      <c r="G150" s="11" t="s">
        <v>129</v>
      </c>
      <c r="H150" s="11"/>
      <c r="I150" s="11"/>
      <c r="J150" s="12"/>
      <c r="K150" s="14" t="str">
        <f t="shared" si="2"/>
        <v>NO</v>
      </c>
      <c r="L150" s="12" t="s">
        <v>130</v>
      </c>
      <c r="M150" s="12" t="s">
        <v>899</v>
      </c>
      <c r="N150" s="12" t="s">
        <v>900</v>
      </c>
      <c r="O150" s="12" t="s">
        <v>901</v>
      </c>
    </row>
    <row r="151" spans="1:15" ht="41.5" customHeight="1" x14ac:dyDescent="0.35">
      <c r="A151" s="11">
        <v>146</v>
      </c>
      <c r="B151" s="12" t="s">
        <v>902</v>
      </c>
      <c r="C151" s="12" t="s">
        <v>903</v>
      </c>
      <c r="D151" s="11">
        <v>2024</v>
      </c>
      <c r="E151" s="12" t="s">
        <v>136</v>
      </c>
      <c r="F151" s="12" t="s">
        <v>803</v>
      </c>
      <c r="G151" s="11" t="s">
        <v>129</v>
      </c>
      <c r="H151" s="11"/>
      <c r="I151" s="11"/>
      <c r="J151" s="12"/>
      <c r="K151" s="14" t="str">
        <f t="shared" si="2"/>
        <v>NO</v>
      </c>
      <c r="L151" s="12" t="s">
        <v>130</v>
      </c>
      <c r="M151" s="12" t="s">
        <v>904</v>
      </c>
      <c r="N151" s="12" t="s">
        <v>905</v>
      </c>
      <c r="O151" s="12" t="s">
        <v>906</v>
      </c>
    </row>
    <row r="152" spans="1:15" ht="29" customHeight="1" x14ac:dyDescent="0.35">
      <c r="A152" s="11">
        <v>147</v>
      </c>
      <c r="B152" s="12" t="s">
        <v>907</v>
      </c>
      <c r="C152" s="12" t="s">
        <v>908</v>
      </c>
      <c r="D152" s="11">
        <v>2024</v>
      </c>
      <c r="E152" s="12" t="s">
        <v>880</v>
      </c>
      <c r="F152" s="12" t="s">
        <v>803</v>
      </c>
      <c r="G152" s="11" t="s">
        <v>137</v>
      </c>
      <c r="H152" s="11" t="s">
        <v>137</v>
      </c>
      <c r="I152" s="11" t="s">
        <v>137</v>
      </c>
      <c r="J152" s="12"/>
      <c r="K152" s="14" t="str">
        <f t="shared" si="2"/>
        <v>YES</v>
      </c>
      <c r="L152" s="12" t="s">
        <v>130</v>
      </c>
      <c r="M152" s="12"/>
      <c r="N152" s="12" t="s">
        <v>909</v>
      </c>
      <c r="O152" s="12" t="s">
        <v>910</v>
      </c>
    </row>
    <row r="153" spans="1:15" ht="29" customHeight="1" x14ac:dyDescent="0.35">
      <c r="A153" s="11">
        <v>148</v>
      </c>
      <c r="B153" s="12" t="s">
        <v>911</v>
      </c>
      <c r="C153" s="12" t="s">
        <v>912</v>
      </c>
      <c r="D153" s="11">
        <v>2024</v>
      </c>
      <c r="E153" s="12" t="s">
        <v>913</v>
      </c>
      <c r="F153" s="12" t="s">
        <v>803</v>
      </c>
      <c r="G153" s="11" t="s">
        <v>137</v>
      </c>
      <c r="H153" s="11" t="s">
        <v>137</v>
      </c>
      <c r="I153" s="11" t="s">
        <v>137</v>
      </c>
      <c r="J153" s="12"/>
      <c r="K153" s="14" t="str">
        <f t="shared" si="2"/>
        <v>YES</v>
      </c>
      <c r="L153" s="12" t="s">
        <v>130</v>
      </c>
      <c r="M153" s="12"/>
      <c r="N153" s="12" t="s">
        <v>914</v>
      </c>
      <c r="O153" s="12" t="s">
        <v>915</v>
      </c>
    </row>
    <row r="154" spans="1:15" ht="29" customHeight="1" x14ac:dyDescent="0.35">
      <c r="A154" s="11">
        <v>149</v>
      </c>
      <c r="B154" s="12" t="s">
        <v>916</v>
      </c>
      <c r="C154" s="12" t="s">
        <v>917</v>
      </c>
      <c r="D154" s="11">
        <v>2017</v>
      </c>
      <c r="E154" s="12" t="s">
        <v>178</v>
      </c>
      <c r="F154" s="12" t="s">
        <v>918</v>
      </c>
      <c r="G154" s="11" t="s">
        <v>137</v>
      </c>
      <c r="H154" s="11" t="s">
        <v>137</v>
      </c>
      <c r="I154" s="11" t="s">
        <v>137</v>
      </c>
      <c r="J154" s="12"/>
      <c r="K154" s="14" t="str">
        <f t="shared" si="2"/>
        <v>YES</v>
      </c>
      <c r="L154" s="12" t="s">
        <v>130</v>
      </c>
      <c r="M154" s="12"/>
      <c r="N154" s="12" t="s">
        <v>919</v>
      </c>
      <c r="O154" s="12" t="s">
        <v>920</v>
      </c>
    </row>
    <row r="155" spans="1:15" ht="29" customHeight="1" x14ac:dyDescent="0.35">
      <c r="A155" s="11">
        <v>150</v>
      </c>
      <c r="B155" s="12" t="s">
        <v>921</v>
      </c>
      <c r="C155" s="12" t="s">
        <v>922</v>
      </c>
      <c r="D155" s="11">
        <v>2020</v>
      </c>
      <c r="E155" s="12" t="s">
        <v>923</v>
      </c>
      <c r="F155" s="12" t="s">
        <v>918</v>
      </c>
      <c r="G155" s="11" t="s">
        <v>137</v>
      </c>
      <c r="H155" s="11" t="s">
        <v>137</v>
      </c>
      <c r="I155" s="11" t="s">
        <v>137</v>
      </c>
      <c r="J155" s="12"/>
      <c r="K155" s="14" t="str">
        <f t="shared" si="2"/>
        <v>YES</v>
      </c>
      <c r="L155" s="12" t="s">
        <v>130</v>
      </c>
      <c r="M155" s="12"/>
      <c r="N155" s="12" t="s">
        <v>924</v>
      </c>
      <c r="O155" s="12" t="s">
        <v>925</v>
      </c>
    </row>
    <row r="156" spans="1:15" ht="41.5" customHeight="1" x14ac:dyDescent="0.35">
      <c r="A156" s="11">
        <v>151</v>
      </c>
      <c r="B156" s="12" t="s">
        <v>926</v>
      </c>
      <c r="C156" s="12" t="s">
        <v>927</v>
      </c>
      <c r="D156" s="11">
        <v>2021</v>
      </c>
      <c r="E156" s="12" t="s">
        <v>928</v>
      </c>
      <c r="F156" s="12" t="s">
        <v>918</v>
      </c>
      <c r="G156" s="11" t="s">
        <v>129</v>
      </c>
      <c r="H156" s="11"/>
      <c r="I156" s="11"/>
      <c r="J156" s="12"/>
      <c r="K156" s="14" t="str">
        <f t="shared" si="2"/>
        <v>NO</v>
      </c>
      <c r="L156" s="12" t="s">
        <v>130</v>
      </c>
      <c r="M156" s="12" t="s">
        <v>929</v>
      </c>
      <c r="N156" s="12" t="s">
        <v>930</v>
      </c>
      <c r="O156" s="12" t="s">
        <v>931</v>
      </c>
    </row>
    <row r="157" spans="1:15" ht="29" customHeight="1" x14ac:dyDescent="0.35">
      <c r="A157" s="11">
        <v>152</v>
      </c>
      <c r="B157" s="12" t="s">
        <v>932</v>
      </c>
      <c r="C157" s="12" t="s">
        <v>933</v>
      </c>
      <c r="D157" s="11">
        <v>2025</v>
      </c>
      <c r="E157" s="12" t="s">
        <v>934</v>
      </c>
      <c r="F157" s="12" t="s">
        <v>918</v>
      </c>
      <c r="G157" s="11" t="s">
        <v>137</v>
      </c>
      <c r="H157" s="11" t="s">
        <v>137</v>
      </c>
      <c r="I157" s="11" t="s">
        <v>137</v>
      </c>
      <c r="J157" s="12"/>
      <c r="K157" s="14" t="str">
        <f t="shared" si="2"/>
        <v>YES</v>
      </c>
      <c r="L157" s="12" t="s">
        <v>130</v>
      </c>
      <c r="M157" s="12"/>
      <c r="N157" s="12" t="s">
        <v>935</v>
      </c>
      <c r="O157" s="12" t="s">
        <v>936</v>
      </c>
    </row>
    <row r="158" spans="1:15" ht="54" customHeight="1" x14ac:dyDescent="0.35">
      <c r="A158" s="11">
        <v>153</v>
      </c>
      <c r="B158" s="12" t="s">
        <v>937</v>
      </c>
      <c r="C158" s="12" t="s">
        <v>938</v>
      </c>
      <c r="D158" s="11">
        <v>2024</v>
      </c>
      <c r="E158" s="12" t="s">
        <v>569</v>
      </c>
      <c r="F158" s="12" t="s">
        <v>918</v>
      </c>
      <c r="G158" s="11" t="s">
        <v>129</v>
      </c>
      <c r="H158" s="11"/>
      <c r="I158" s="11"/>
      <c r="J158" s="12"/>
      <c r="K158" s="14" t="str">
        <f t="shared" si="2"/>
        <v>NO</v>
      </c>
      <c r="L158" s="12" t="s">
        <v>130</v>
      </c>
      <c r="M158" s="12" t="s">
        <v>939</v>
      </c>
      <c r="N158" s="12" t="s">
        <v>940</v>
      </c>
      <c r="O158" s="12" t="s">
        <v>941</v>
      </c>
    </row>
    <row r="159" spans="1:15" ht="29" customHeight="1" x14ac:dyDescent="0.35">
      <c r="A159" s="11">
        <v>154</v>
      </c>
      <c r="B159" s="12" t="s">
        <v>942</v>
      </c>
      <c r="C159" s="12" t="s">
        <v>943</v>
      </c>
      <c r="D159" s="11">
        <v>2018</v>
      </c>
      <c r="E159" s="12" t="s">
        <v>944</v>
      </c>
      <c r="F159" s="12" t="s">
        <v>918</v>
      </c>
      <c r="G159" s="11" t="s">
        <v>129</v>
      </c>
      <c r="H159" s="11"/>
      <c r="I159" s="11"/>
      <c r="J159" s="12"/>
      <c r="K159" s="14" t="str">
        <f t="shared" si="2"/>
        <v>NO</v>
      </c>
      <c r="L159" s="12" t="s">
        <v>130</v>
      </c>
      <c r="M159" s="12" t="s">
        <v>945</v>
      </c>
      <c r="N159" s="12" t="s">
        <v>946</v>
      </c>
      <c r="O159" s="12" t="s">
        <v>947</v>
      </c>
    </row>
    <row r="160" spans="1:15" ht="29" customHeight="1" x14ac:dyDescent="0.35">
      <c r="A160" s="11">
        <v>155</v>
      </c>
      <c r="B160" s="12" t="s">
        <v>948</v>
      </c>
      <c r="C160" s="12" t="s">
        <v>949</v>
      </c>
      <c r="D160" s="11">
        <v>2021</v>
      </c>
      <c r="E160" s="12" t="s">
        <v>950</v>
      </c>
      <c r="F160" s="12" t="s">
        <v>918</v>
      </c>
      <c r="G160" s="11" t="s">
        <v>129</v>
      </c>
      <c r="H160" s="11"/>
      <c r="I160" s="11"/>
      <c r="J160" s="12"/>
      <c r="K160" s="14" t="str">
        <f t="shared" si="2"/>
        <v>NO</v>
      </c>
      <c r="L160" s="12" t="s">
        <v>130</v>
      </c>
      <c r="M160" s="12" t="s">
        <v>951</v>
      </c>
      <c r="N160" s="12" t="s">
        <v>952</v>
      </c>
      <c r="O160" s="12" t="s">
        <v>953</v>
      </c>
    </row>
    <row r="161" spans="1:15" ht="54" customHeight="1" x14ac:dyDescent="0.35">
      <c r="A161" s="11">
        <v>156</v>
      </c>
      <c r="B161" s="12" t="s">
        <v>954</v>
      </c>
      <c r="C161" s="12" t="s">
        <v>955</v>
      </c>
      <c r="D161" s="11">
        <v>2018</v>
      </c>
      <c r="E161" s="12" t="s">
        <v>956</v>
      </c>
      <c r="F161" s="12" t="s">
        <v>918</v>
      </c>
      <c r="G161" s="11" t="s">
        <v>129</v>
      </c>
      <c r="H161" s="11"/>
      <c r="I161" s="11"/>
      <c r="J161" s="12"/>
      <c r="K161" s="14" t="str">
        <f t="shared" si="2"/>
        <v>NO</v>
      </c>
      <c r="L161" s="12" t="s">
        <v>130</v>
      </c>
      <c r="M161" s="12" t="s">
        <v>957</v>
      </c>
      <c r="N161" s="12" t="s">
        <v>958</v>
      </c>
      <c r="O161" s="12" t="s">
        <v>959</v>
      </c>
    </row>
    <row r="162" spans="1:15" ht="29" customHeight="1" x14ac:dyDescent="0.35">
      <c r="A162" s="11">
        <v>157</v>
      </c>
      <c r="B162" s="12" t="s">
        <v>960</v>
      </c>
      <c r="C162" s="12" t="s">
        <v>961</v>
      </c>
      <c r="D162" s="11">
        <v>2019</v>
      </c>
      <c r="E162" s="12" t="s">
        <v>962</v>
      </c>
      <c r="F162" s="12" t="s">
        <v>918</v>
      </c>
      <c r="G162" s="11" t="s">
        <v>129</v>
      </c>
      <c r="H162" s="11"/>
      <c r="I162" s="11"/>
      <c r="J162" s="12"/>
      <c r="K162" s="14" t="str">
        <f t="shared" si="2"/>
        <v>NO</v>
      </c>
      <c r="L162" s="12" t="s">
        <v>130</v>
      </c>
      <c r="M162" s="12" t="s">
        <v>963</v>
      </c>
      <c r="N162" s="12" t="s">
        <v>964</v>
      </c>
      <c r="O162" s="12" t="s">
        <v>965</v>
      </c>
    </row>
    <row r="163" spans="1:15" ht="29" customHeight="1" x14ac:dyDescent="0.35">
      <c r="A163" s="11">
        <v>158</v>
      </c>
      <c r="B163" s="12" t="s">
        <v>966</v>
      </c>
      <c r="C163" s="12" t="s">
        <v>967</v>
      </c>
      <c r="D163" s="11">
        <v>2018</v>
      </c>
      <c r="E163" s="12" t="s">
        <v>968</v>
      </c>
      <c r="F163" s="12" t="s">
        <v>918</v>
      </c>
      <c r="G163" s="11" t="s">
        <v>129</v>
      </c>
      <c r="H163" s="11"/>
      <c r="I163" s="11"/>
      <c r="J163" s="12"/>
      <c r="K163" s="14" t="str">
        <f t="shared" si="2"/>
        <v>NO</v>
      </c>
      <c r="L163" s="12" t="s">
        <v>130</v>
      </c>
      <c r="M163" s="12" t="s">
        <v>969</v>
      </c>
      <c r="N163" s="12" t="s">
        <v>970</v>
      </c>
      <c r="O163" s="12" t="s">
        <v>971</v>
      </c>
    </row>
    <row r="164" spans="1:15" ht="29" customHeight="1" x14ac:dyDescent="0.35">
      <c r="A164" s="11">
        <v>159</v>
      </c>
      <c r="B164" s="12" t="s">
        <v>972</v>
      </c>
      <c r="C164" s="12" t="s">
        <v>973</v>
      </c>
      <c r="D164" s="11">
        <v>2020</v>
      </c>
      <c r="E164" s="12" t="s">
        <v>974</v>
      </c>
      <c r="F164" s="12" t="s">
        <v>918</v>
      </c>
      <c r="G164" s="11" t="s">
        <v>129</v>
      </c>
      <c r="H164" s="11"/>
      <c r="I164" s="11"/>
      <c r="J164" s="12"/>
      <c r="K164" s="14" t="str">
        <f t="shared" si="2"/>
        <v>NO</v>
      </c>
      <c r="L164" s="12" t="s">
        <v>130</v>
      </c>
      <c r="M164" s="12" t="s">
        <v>975</v>
      </c>
      <c r="N164" s="12" t="s">
        <v>976</v>
      </c>
      <c r="O164" s="12" t="s">
        <v>977</v>
      </c>
    </row>
    <row r="165" spans="1:15" ht="41.5" customHeight="1" x14ac:dyDescent="0.35">
      <c r="A165" s="11">
        <v>160</v>
      </c>
      <c r="B165" s="12" t="s">
        <v>978</v>
      </c>
      <c r="C165" s="12" t="s">
        <v>979</v>
      </c>
      <c r="D165" s="11">
        <v>2018</v>
      </c>
      <c r="E165" s="12" t="s">
        <v>980</v>
      </c>
      <c r="F165" s="12" t="s">
        <v>918</v>
      </c>
      <c r="G165" s="11" t="s">
        <v>129</v>
      </c>
      <c r="H165" s="11"/>
      <c r="I165" s="11"/>
      <c r="J165" s="12"/>
      <c r="K165" s="14" t="str">
        <f t="shared" si="2"/>
        <v>NO</v>
      </c>
      <c r="L165" s="12" t="s">
        <v>130</v>
      </c>
      <c r="M165" s="12" t="s">
        <v>981</v>
      </c>
      <c r="N165" s="12" t="s">
        <v>982</v>
      </c>
      <c r="O165" s="12" t="s">
        <v>983</v>
      </c>
    </row>
    <row r="166" spans="1:15" ht="29" customHeight="1" x14ac:dyDescent="0.35">
      <c r="A166" s="11">
        <v>161</v>
      </c>
      <c r="B166" s="12" t="s">
        <v>984</v>
      </c>
      <c r="C166" s="12" t="s">
        <v>985</v>
      </c>
      <c r="D166" s="11">
        <v>2021</v>
      </c>
      <c r="E166" s="12" t="s">
        <v>704</v>
      </c>
      <c r="F166" s="12" t="s">
        <v>918</v>
      </c>
      <c r="G166" s="11" t="s">
        <v>137</v>
      </c>
      <c r="H166" s="11" t="s">
        <v>137</v>
      </c>
      <c r="I166" s="11" t="s">
        <v>137</v>
      </c>
      <c r="J166" s="12"/>
      <c r="K166" s="14" t="str">
        <f t="shared" si="2"/>
        <v>YES</v>
      </c>
      <c r="L166" s="12" t="s">
        <v>130</v>
      </c>
      <c r="M166" s="12"/>
      <c r="N166" s="12" t="s">
        <v>986</v>
      </c>
      <c r="O166" s="12" t="s">
        <v>987</v>
      </c>
    </row>
    <row r="167" spans="1:15" ht="41.5" customHeight="1" x14ac:dyDescent="0.35">
      <c r="A167" s="11">
        <v>162</v>
      </c>
      <c r="B167" s="12" t="s">
        <v>988</v>
      </c>
      <c r="C167" s="12" t="s">
        <v>989</v>
      </c>
      <c r="D167" s="11">
        <v>2021</v>
      </c>
      <c r="E167" s="12" t="s">
        <v>990</v>
      </c>
      <c r="F167" s="12" t="s">
        <v>918</v>
      </c>
      <c r="G167" s="11" t="s">
        <v>129</v>
      </c>
      <c r="H167" s="11"/>
      <c r="I167" s="11"/>
      <c r="J167" s="12"/>
      <c r="K167" s="14" t="str">
        <f t="shared" si="2"/>
        <v>NO</v>
      </c>
      <c r="L167" s="12" t="s">
        <v>130</v>
      </c>
      <c r="M167" s="12" t="s">
        <v>131</v>
      </c>
      <c r="N167" s="12" t="s">
        <v>991</v>
      </c>
      <c r="O167" s="12" t="s">
        <v>992</v>
      </c>
    </row>
    <row r="168" spans="1:15" ht="29" customHeight="1" x14ac:dyDescent="0.35">
      <c r="A168" s="11">
        <v>163</v>
      </c>
      <c r="B168" s="12" t="s">
        <v>993</v>
      </c>
      <c r="C168" s="12" t="s">
        <v>994</v>
      </c>
      <c r="D168" s="11">
        <v>2021</v>
      </c>
      <c r="E168" s="12" t="s">
        <v>995</v>
      </c>
      <c r="F168" s="12" t="s">
        <v>918</v>
      </c>
      <c r="G168" s="11" t="s">
        <v>129</v>
      </c>
      <c r="H168" s="11"/>
      <c r="I168" s="11"/>
      <c r="J168" s="12"/>
      <c r="K168" s="14" t="str">
        <f t="shared" si="2"/>
        <v>NO</v>
      </c>
      <c r="L168" s="12" t="s">
        <v>130</v>
      </c>
      <c r="M168" s="12" t="s">
        <v>996</v>
      </c>
      <c r="N168" s="12" t="s">
        <v>997</v>
      </c>
      <c r="O168" s="12" t="s">
        <v>998</v>
      </c>
    </row>
    <row r="169" spans="1:15" ht="29" customHeight="1" x14ac:dyDescent="0.35">
      <c r="A169" s="11">
        <v>164</v>
      </c>
      <c r="B169" s="12" t="s">
        <v>999</v>
      </c>
      <c r="C169" s="12" t="s">
        <v>1000</v>
      </c>
      <c r="D169" s="11">
        <v>2024</v>
      </c>
      <c r="E169" s="12" t="s">
        <v>1001</v>
      </c>
      <c r="F169" s="12" t="s">
        <v>918</v>
      </c>
      <c r="G169" s="11" t="s">
        <v>137</v>
      </c>
      <c r="H169" s="11" t="s">
        <v>137</v>
      </c>
      <c r="I169" s="11" t="s">
        <v>137</v>
      </c>
      <c r="J169" s="12"/>
      <c r="K169" s="14" t="str">
        <f t="shared" si="2"/>
        <v>YES</v>
      </c>
      <c r="L169" s="12" t="s">
        <v>130</v>
      </c>
      <c r="M169" s="12"/>
      <c r="N169" s="12" t="s">
        <v>1002</v>
      </c>
      <c r="O169" s="12" t="s">
        <v>1003</v>
      </c>
    </row>
    <row r="170" spans="1:15" ht="41.5" customHeight="1" x14ac:dyDescent="0.35">
      <c r="A170" s="11">
        <v>165</v>
      </c>
      <c r="B170" s="12" t="s">
        <v>1004</v>
      </c>
      <c r="C170" s="12" t="s">
        <v>1005</v>
      </c>
      <c r="D170" s="11">
        <v>2020</v>
      </c>
      <c r="E170" s="12" t="s">
        <v>154</v>
      </c>
      <c r="F170" s="12" t="s">
        <v>918</v>
      </c>
      <c r="G170" s="11" t="s">
        <v>129</v>
      </c>
      <c r="H170" s="11"/>
      <c r="I170" s="11"/>
      <c r="J170" s="12"/>
      <c r="K170" s="14" t="str">
        <f t="shared" si="2"/>
        <v>NO</v>
      </c>
      <c r="L170" s="12" t="s">
        <v>130</v>
      </c>
      <c r="M170" s="12" t="s">
        <v>1006</v>
      </c>
      <c r="N170" s="12" t="s">
        <v>1007</v>
      </c>
      <c r="O170" s="12" t="s">
        <v>1008</v>
      </c>
    </row>
    <row r="171" spans="1:15" ht="29" customHeight="1" x14ac:dyDescent="0.35">
      <c r="A171" s="11">
        <v>166</v>
      </c>
      <c r="B171" s="12" t="s">
        <v>1009</v>
      </c>
      <c r="C171" s="12" t="s">
        <v>1010</v>
      </c>
      <c r="D171" s="11">
        <v>2020</v>
      </c>
      <c r="E171" s="12" t="s">
        <v>1011</v>
      </c>
      <c r="F171" s="12" t="s">
        <v>918</v>
      </c>
      <c r="G171" s="11" t="s">
        <v>129</v>
      </c>
      <c r="H171" s="11"/>
      <c r="I171" s="11"/>
      <c r="J171" s="12"/>
      <c r="K171" s="14" t="str">
        <f t="shared" si="2"/>
        <v>NO</v>
      </c>
      <c r="L171" s="12" t="s">
        <v>130</v>
      </c>
      <c r="M171" s="12" t="s">
        <v>1012</v>
      </c>
      <c r="N171" s="12" t="s">
        <v>1013</v>
      </c>
      <c r="O171" s="12" t="s">
        <v>1014</v>
      </c>
    </row>
    <row r="172" spans="1:15" ht="29" customHeight="1" x14ac:dyDescent="0.35">
      <c r="A172" s="11">
        <v>167</v>
      </c>
      <c r="B172" s="12" t="s">
        <v>1015</v>
      </c>
      <c r="C172" s="12" t="s">
        <v>1016</v>
      </c>
      <c r="D172" s="11">
        <v>2018</v>
      </c>
      <c r="E172" s="12" t="s">
        <v>136</v>
      </c>
      <c r="F172" s="12" t="s">
        <v>918</v>
      </c>
      <c r="G172" s="11" t="s">
        <v>129</v>
      </c>
      <c r="H172" s="11"/>
      <c r="I172" s="11"/>
      <c r="J172" s="12"/>
      <c r="K172" s="14" t="str">
        <f t="shared" si="2"/>
        <v>NO</v>
      </c>
      <c r="L172" s="12" t="s">
        <v>130</v>
      </c>
      <c r="M172" s="12" t="s">
        <v>1017</v>
      </c>
      <c r="N172" s="12" t="s">
        <v>1018</v>
      </c>
      <c r="O172" s="12" t="s">
        <v>1019</v>
      </c>
    </row>
    <row r="173" spans="1:15" ht="24" customHeight="1" x14ac:dyDescent="0.35">
      <c r="A173" s="11">
        <v>168</v>
      </c>
      <c r="B173" s="12" t="s">
        <v>1020</v>
      </c>
      <c r="C173" s="12" t="s">
        <v>1021</v>
      </c>
      <c r="D173" s="11">
        <v>2018</v>
      </c>
      <c r="E173" s="12" t="s">
        <v>136</v>
      </c>
      <c r="F173" s="12" t="s">
        <v>918</v>
      </c>
      <c r="G173" s="11" t="s">
        <v>129</v>
      </c>
      <c r="H173" s="11"/>
      <c r="I173" s="11"/>
      <c r="J173" s="12"/>
      <c r="K173" s="14" t="str">
        <f t="shared" si="2"/>
        <v>NO</v>
      </c>
      <c r="L173" s="12" t="s">
        <v>130</v>
      </c>
      <c r="M173" s="12" t="s">
        <v>1022</v>
      </c>
      <c r="N173" s="12" t="s">
        <v>1023</v>
      </c>
      <c r="O173" s="12" t="s">
        <v>1024</v>
      </c>
    </row>
    <row r="174" spans="1:15" ht="54" customHeight="1" x14ac:dyDescent="0.35">
      <c r="A174" s="11">
        <v>169</v>
      </c>
      <c r="B174" s="12" t="s">
        <v>1025</v>
      </c>
      <c r="C174" s="12" t="s">
        <v>979</v>
      </c>
      <c r="D174" s="11">
        <v>2019</v>
      </c>
      <c r="E174" s="12" t="s">
        <v>1026</v>
      </c>
      <c r="F174" s="12" t="s">
        <v>918</v>
      </c>
      <c r="G174" s="11" t="s">
        <v>129</v>
      </c>
      <c r="H174" s="11"/>
      <c r="I174" s="11"/>
      <c r="J174" s="12"/>
      <c r="K174" s="14" t="str">
        <f t="shared" si="2"/>
        <v>NO</v>
      </c>
      <c r="L174" s="12" t="s">
        <v>130</v>
      </c>
      <c r="M174" s="12" t="s">
        <v>981</v>
      </c>
      <c r="N174" s="12" t="s">
        <v>1027</v>
      </c>
      <c r="O174" s="12" t="s">
        <v>1028</v>
      </c>
    </row>
    <row r="175" spans="1:15" ht="41.5" customHeight="1" x14ac:dyDescent="0.35">
      <c r="A175" s="11">
        <v>170</v>
      </c>
      <c r="B175" s="12" t="s">
        <v>1029</v>
      </c>
      <c r="C175" s="12" t="s">
        <v>1030</v>
      </c>
      <c r="D175" s="11">
        <v>2021</v>
      </c>
      <c r="E175" s="12" t="s">
        <v>990</v>
      </c>
      <c r="F175" s="12" t="s">
        <v>918</v>
      </c>
      <c r="G175" s="11" t="s">
        <v>129</v>
      </c>
      <c r="H175" s="11"/>
      <c r="I175" s="11"/>
      <c r="J175" s="12"/>
      <c r="K175" s="14" t="str">
        <f t="shared" si="2"/>
        <v>NO</v>
      </c>
      <c r="L175" s="12" t="s">
        <v>130</v>
      </c>
      <c r="M175" s="12" t="s">
        <v>1031</v>
      </c>
      <c r="N175" s="12" t="s">
        <v>1032</v>
      </c>
      <c r="O175" s="12" t="s">
        <v>1033</v>
      </c>
    </row>
    <row r="176" spans="1:15" ht="41.5" customHeight="1" x14ac:dyDescent="0.35">
      <c r="A176" s="11">
        <v>171</v>
      </c>
      <c r="B176" s="12" t="s">
        <v>1034</v>
      </c>
      <c r="C176" s="12" t="s">
        <v>1035</v>
      </c>
      <c r="D176" s="11">
        <v>2019</v>
      </c>
      <c r="E176" s="12" t="s">
        <v>1036</v>
      </c>
      <c r="F176" s="12" t="s">
        <v>918</v>
      </c>
      <c r="G176" s="11" t="s">
        <v>129</v>
      </c>
      <c r="H176" s="11"/>
      <c r="I176" s="11"/>
      <c r="J176" s="12"/>
      <c r="K176" s="14" t="str">
        <f t="shared" si="2"/>
        <v>NO</v>
      </c>
      <c r="L176" s="12" t="s">
        <v>130</v>
      </c>
      <c r="M176" s="12" t="s">
        <v>963</v>
      </c>
      <c r="N176" s="12" t="s">
        <v>1037</v>
      </c>
      <c r="O176" s="12" t="s">
        <v>1038</v>
      </c>
    </row>
    <row r="177" spans="1:15" ht="41.5" customHeight="1" x14ac:dyDescent="0.35">
      <c r="A177" s="11">
        <v>172</v>
      </c>
      <c r="B177" s="12" t="s">
        <v>1039</v>
      </c>
      <c r="C177" s="12" t="s">
        <v>1040</v>
      </c>
      <c r="D177" s="11">
        <v>2021</v>
      </c>
      <c r="E177" s="12" t="s">
        <v>1041</v>
      </c>
      <c r="F177" s="12" t="s">
        <v>918</v>
      </c>
      <c r="G177" s="11" t="s">
        <v>129</v>
      </c>
      <c r="H177" s="11"/>
      <c r="I177" s="11"/>
      <c r="J177" s="12"/>
      <c r="K177" s="14" t="str">
        <f t="shared" si="2"/>
        <v>NO</v>
      </c>
      <c r="L177" s="12" t="s">
        <v>130</v>
      </c>
      <c r="M177" s="12" t="s">
        <v>1042</v>
      </c>
      <c r="N177" s="12" t="s">
        <v>1043</v>
      </c>
      <c r="O177" s="12" t="s">
        <v>1044</v>
      </c>
    </row>
    <row r="178" spans="1:15" ht="41.5" customHeight="1" x14ac:dyDescent="0.35">
      <c r="A178" s="11">
        <v>173</v>
      </c>
      <c r="B178" s="12" t="s">
        <v>1045</v>
      </c>
      <c r="C178" s="12" t="s">
        <v>1046</v>
      </c>
      <c r="D178" s="11">
        <v>2021</v>
      </c>
      <c r="E178" s="12" t="s">
        <v>1047</v>
      </c>
      <c r="F178" s="12" t="s">
        <v>918</v>
      </c>
      <c r="G178" s="11" t="s">
        <v>129</v>
      </c>
      <c r="H178" s="11"/>
      <c r="I178" s="11"/>
      <c r="J178" s="12"/>
      <c r="K178" s="14" t="str">
        <f t="shared" si="2"/>
        <v>NO</v>
      </c>
      <c r="L178" s="12" t="s">
        <v>130</v>
      </c>
      <c r="M178" s="12" t="s">
        <v>1048</v>
      </c>
      <c r="N178" s="12" t="s">
        <v>1049</v>
      </c>
      <c r="O178" s="12" t="s">
        <v>1050</v>
      </c>
    </row>
    <row r="179" spans="1:15" ht="29" customHeight="1" x14ac:dyDescent="0.35">
      <c r="A179" s="11">
        <v>174</v>
      </c>
      <c r="B179" s="12" t="s">
        <v>1051</v>
      </c>
      <c r="C179" s="12" t="s">
        <v>1052</v>
      </c>
      <c r="D179" s="11">
        <v>2023</v>
      </c>
      <c r="E179" s="12" t="s">
        <v>1053</v>
      </c>
      <c r="F179" s="12" t="s">
        <v>1054</v>
      </c>
      <c r="G179" s="11" t="s">
        <v>129</v>
      </c>
      <c r="H179" s="11"/>
      <c r="I179" s="11"/>
      <c r="J179" s="12"/>
      <c r="K179" s="14" t="str">
        <f t="shared" si="2"/>
        <v>NO</v>
      </c>
      <c r="L179" s="12" t="s">
        <v>130</v>
      </c>
      <c r="M179" s="12" t="s">
        <v>1055</v>
      </c>
      <c r="N179" s="12" t="s">
        <v>1056</v>
      </c>
      <c r="O179" s="12" t="s">
        <v>1057</v>
      </c>
    </row>
    <row r="180" spans="1:15" ht="29" customHeight="1" x14ac:dyDescent="0.35">
      <c r="A180" s="11">
        <v>175</v>
      </c>
      <c r="B180" s="12" t="s">
        <v>1058</v>
      </c>
      <c r="C180" s="12" t="s">
        <v>1059</v>
      </c>
      <c r="D180" s="11">
        <v>2026</v>
      </c>
      <c r="E180" s="12" t="s">
        <v>1060</v>
      </c>
      <c r="F180" s="12" t="s">
        <v>1054</v>
      </c>
      <c r="G180" s="11" t="s">
        <v>129</v>
      </c>
      <c r="H180" s="11"/>
      <c r="I180" s="11"/>
      <c r="J180" s="12"/>
      <c r="K180" s="14" t="str">
        <f t="shared" si="2"/>
        <v>NO</v>
      </c>
      <c r="L180" s="12" t="s">
        <v>130</v>
      </c>
      <c r="M180" s="12" t="s">
        <v>1061</v>
      </c>
      <c r="N180" s="12" t="s">
        <v>1062</v>
      </c>
      <c r="O180" s="12" t="s">
        <v>1063</v>
      </c>
    </row>
    <row r="181" spans="1:15" ht="29" customHeight="1" x14ac:dyDescent="0.35">
      <c r="A181" s="11">
        <v>176</v>
      </c>
      <c r="B181" s="12" t="s">
        <v>1064</v>
      </c>
      <c r="C181" s="12" t="s">
        <v>1065</v>
      </c>
      <c r="D181" s="11">
        <v>2024</v>
      </c>
      <c r="E181" s="12" t="s">
        <v>1066</v>
      </c>
      <c r="F181" s="12" t="s">
        <v>1054</v>
      </c>
      <c r="G181" s="11" t="s">
        <v>129</v>
      </c>
      <c r="H181" s="11"/>
      <c r="I181" s="11"/>
      <c r="J181" s="12"/>
      <c r="K181" s="14" t="str">
        <f t="shared" si="2"/>
        <v>NO</v>
      </c>
      <c r="L181" s="12" t="s">
        <v>130</v>
      </c>
      <c r="M181" s="12" t="s">
        <v>1067</v>
      </c>
      <c r="N181" s="12" t="s">
        <v>1068</v>
      </c>
      <c r="O181" s="12" t="s">
        <v>1069</v>
      </c>
    </row>
    <row r="182" spans="1:15" ht="41.5" customHeight="1" x14ac:dyDescent="0.35">
      <c r="A182" s="11">
        <v>177</v>
      </c>
      <c r="B182" s="12" t="s">
        <v>1070</v>
      </c>
      <c r="C182" s="12" t="s">
        <v>1071</v>
      </c>
      <c r="D182" s="11">
        <v>2023</v>
      </c>
      <c r="E182" s="12" t="s">
        <v>136</v>
      </c>
      <c r="F182" s="12" t="s">
        <v>1054</v>
      </c>
      <c r="G182" s="11" t="s">
        <v>137</v>
      </c>
      <c r="H182" s="11" t="s">
        <v>137</v>
      </c>
      <c r="I182" s="11" t="s">
        <v>129</v>
      </c>
      <c r="J182" s="12" t="s">
        <v>588</v>
      </c>
      <c r="K182" s="14" t="str">
        <f t="shared" si="2"/>
        <v>NO</v>
      </c>
      <c r="L182" s="12" t="s">
        <v>130</v>
      </c>
      <c r="M182" s="12" t="s">
        <v>1072</v>
      </c>
      <c r="N182" s="12" t="s">
        <v>1073</v>
      </c>
      <c r="O182" s="12" t="s">
        <v>1074</v>
      </c>
    </row>
    <row r="183" spans="1:15" ht="41.5" customHeight="1" x14ac:dyDescent="0.35">
      <c r="A183" s="11">
        <v>178</v>
      </c>
      <c r="B183" s="12" t="s">
        <v>1075</v>
      </c>
      <c r="C183" s="12" t="s">
        <v>1076</v>
      </c>
      <c r="D183" s="11">
        <v>2024</v>
      </c>
      <c r="E183" s="12" t="s">
        <v>1077</v>
      </c>
      <c r="F183" s="12" t="s">
        <v>1054</v>
      </c>
      <c r="G183" s="11" t="s">
        <v>137</v>
      </c>
      <c r="H183" s="11" t="s">
        <v>137</v>
      </c>
      <c r="I183" s="11" t="s">
        <v>137</v>
      </c>
      <c r="J183" s="12"/>
      <c r="K183" s="14" t="str">
        <f t="shared" si="2"/>
        <v>YES</v>
      </c>
      <c r="L183" s="12" t="s">
        <v>130</v>
      </c>
      <c r="M183" s="12"/>
      <c r="N183" s="12" t="s">
        <v>1078</v>
      </c>
      <c r="O183" s="12" t="s">
        <v>1079</v>
      </c>
    </row>
    <row r="184" spans="1:15" ht="29" customHeight="1" x14ac:dyDescent="0.35">
      <c r="A184" s="11">
        <v>179</v>
      </c>
      <c r="B184" s="12" t="s">
        <v>1080</v>
      </c>
      <c r="C184" s="12" t="s">
        <v>1081</v>
      </c>
      <c r="D184" s="11">
        <v>2023</v>
      </c>
      <c r="E184" s="12" t="s">
        <v>136</v>
      </c>
      <c r="F184" s="12" t="s">
        <v>1054</v>
      </c>
      <c r="G184" s="11" t="s">
        <v>129</v>
      </c>
      <c r="H184" s="11"/>
      <c r="I184" s="11"/>
      <c r="J184" s="12"/>
      <c r="K184" s="14" t="str">
        <f t="shared" si="2"/>
        <v>NO</v>
      </c>
      <c r="L184" s="12" t="s">
        <v>130</v>
      </c>
      <c r="M184" s="12" t="s">
        <v>1082</v>
      </c>
      <c r="N184" s="12" t="s">
        <v>1083</v>
      </c>
      <c r="O184" s="12" t="s">
        <v>1084</v>
      </c>
    </row>
    <row r="185" spans="1:15" ht="41.5" customHeight="1" x14ac:dyDescent="0.35">
      <c r="A185" s="11">
        <v>180</v>
      </c>
      <c r="B185" s="12" t="s">
        <v>1085</v>
      </c>
      <c r="C185" s="12" t="s">
        <v>1086</v>
      </c>
      <c r="D185" s="11">
        <v>2025</v>
      </c>
      <c r="E185" s="12" t="s">
        <v>1087</v>
      </c>
      <c r="F185" s="12" t="s">
        <v>1054</v>
      </c>
      <c r="G185" s="11" t="s">
        <v>129</v>
      </c>
      <c r="H185" s="11"/>
      <c r="I185" s="11"/>
      <c r="J185" s="12"/>
      <c r="K185" s="14" t="str">
        <f t="shared" si="2"/>
        <v>NO</v>
      </c>
      <c r="L185" s="12" t="s">
        <v>130</v>
      </c>
      <c r="M185" s="12" t="s">
        <v>1088</v>
      </c>
      <c r="N185" s="12" t="s">
        <v>1089</v>
      </c>
      <c r="O185" s="12" t="s">
        <v>1090</v>
      </c>
    </row>
    <row r="186" spans="1:15" ht="41.5" customHeight="1" x14ac:dyDescent="0.35">
      <c r="A186" s="11">
        <v>181</v>
      </c>
      <c r="B186" s="12" t="s">
        <v>1091</v>
      </c>
      <c r="C186" s="12" t="s">
        <v>1092</v>
      </c>
      <c r="D186" s="11">
        <v>2025</v>
      </c>
      <c r="E186" s="12" t="s">
        <v>1093</v>
      </c>
      <c r="F186" s="12" t="s">
        <v>1054</v>
      </c>
      <c r="G186" s="11" t="s">
        <v>129</v>
      </c>
      <c r="H186" s="11"/>
      <c r="I186" s="11"/>
      <c r="J186" s="12"/>
      <c r="K186" s="14" t="str">
        <f t="shared" si="2"/>
        <v>NO</v>
      </c>
      <c r="L186" s="12" t="s">
        <v>130</v>
      </c>
      <c r="M186" s="12" t="s">
        <v>1094</v>
      </c>
      <c r="N186" s="12" t="s">
        <v>1095</v>
      </c>
      <c r="O186" s="12" t="s">
        <v>1096</v>
      </c>
    </row>
    <row r="187" spans="1:15" ht="29" customHeight="1" x14ac:dyDescent="0.35">
      <c r="A187" s="11">
        <v>182</v>
      </c>
      <c r="B187" s="12" t="s">
        <v>1097</v>
      </c>
      <c r="C187" s="12" t="s">
        <v>1098</v>
      </c>
      <c r="D187" s="11">
        <v>2024</v>
      </c>
      <c r="E187" s="12" t="s">
        <v>255</v>
      </c>
      <c r="F187" s="12" t="s">
        <v>1054</v>
      </c>
      <c r="G187" s="11" t="s">
        <v>129</v>
      </c>
      <c r="H187" s="11"/>
      <c r="I187" s="11"/>
      <c r="J187" s="12"/>
      <c r="K187" s="14" t="str">
        <f t="shared" si="2"/>
        <v>NO</v>
      </c>
      <c r="L187" s="12" t="s">
        <v>130</v>
      </c>
      <c r="M187" s="12" t="s">
        <v>1099</v>
      </c>
      <c r="N187" s="12" t="s">
        <v>1100</v>
      </c>
      <c r="O187" s="12" t="s">
        <v>1101</v>
      </c>
    </row>
    <row r="188" spans="1:15" ht="41.5" customHeight="1" x14ac:dyDescent="0.35">
      <c r="A188" s="11">
        <v>183</v>
      </c>
      <c r="B188" s="12" t="s">
        <v>1102</v>
      </c>
      <c r="C188" s="12" t="s">
        <v>1103</v>
      </c>
      <c r="D188" s="11">
        <v>2022</v>
      </c>
      <c r="E188" s="12" t="s">
        <v>525</v>
      </c>
      <c r="F188" s="12" t="s">
        <v>1054</v>
      </c>
      <c r="G188" s="11" t="s">
        <v>129</v>
      </c>
      <c r="H188" s="11"/>
      <c r="I188" s="11"/>
      <c r="J188" s="12"/>
      <c r="K188" s="14" t="str">
        <f t="shared" si="2"/>
        <v>NO</v>
      </c>
      <c r="L188" s="12" t="s">
        <v>130</v>
      </c>
      <c r="M188" s="12" t="s">
        <v>1104</v>
      </c>
      <c r="N188" s="12" t="s">
        <v>1105</v>
      </c>
      <c r="O188" s="12" t="s">
        <v>1106</v>
      </c>
    </row>
    <row r="189" spans="1:15" ht="41.5" customHeight="1" x14ac:dyDescent="0.35">
      <c r="A189" s="11">
        <v>184</v>
      </c>
      <c r="B189" s="12" t="s">
        <v>1107</v>
      </c>
      <c r="C189" s="12" t="s">
        <v>1108</v>
      </c>
      <c r="D189" s="11">
        <v>2025</v>
      </c>
      <c r="E189" s="12" t="s">
        <v>1109</v>
      </c>
      <c r="F189" s="12" t="s">
        <v>1054</v>
      </c>
      <c r="G189" s="11" t="s">
        <v>129</v>
      </c>
      <c r="H189" s="11"/>
      <c r="I189" s="11"/>
      <c r="J189" s="12"/>
      <c r="K189" s="14" t="str">
        <f t="shared" si="2"/>
        <v>NO</v>
      </c>
      <c r="L189" s="12" t="s">
        <v>130</v>
      </c>
      <c r="M189" s="12" t="s">
        <v>736</v>
      </c>
      <c r="N189" s="12" t="s">
        <v>1110</v>
      </c>
      <c r="O189" s="12" t="s">
        <v>1111</v>
      </c>
    </row>
    <row r="190" spans="1:15" ht="29" customHeight="1" x14ac:dyDescent="0.35">
      <c r="A190" s="11">
        <v>185</v>
      </c>
      <c r="B190" s="12" t="s">
        <v>1112</v>
      </c>
      <c r="C190" s="12" t="s">
        <v>1113</v>
      </c>
      <c r="D190" s="11">
        <v>2024</v>
      </c>
      <c r="E190" s="12" t="s">
        <v>1114</v>
      </c>
      <c r="F190" s="12" t="s">
        <v>1054</v>
      </c>
      <c r="G190" s="11" t="s">
        <v>129</v>
      </c>
      <c r="H190" s="11"/>
      <c r="I190" s="11"/>
      <c r="J190" s="12"/>
      <c r="K190" s="14" t="str">
        <f t="shared" si="2"/>
        <v>NO</v>
      </c>
      <c r="L190" s="12" t="s">
        <v>130</v>
      </c>
      <c r="M190" s="12" t="s">
        <v>1115</v>
      </c>
      <c r="N190" s="12" t="s">
        <v>1116</v>
      </c>
      <c r="O190" s="12" t="s">
        <v>1117</v>
      </c>
    </row>
    <row r="191" spans="1:15" ht="24" customHeight="1" x14ac:dyDescent="0.35">
      <c r="A191" s="11">
        <v>186</v>
      </c>
      <c r="B191" s="12" t="s">
        <v>1118</v>
      </c>
      <c r="C191" s="12" t="s">
        <v>1119</v>
      </c>
      <c r="D191" s="11">
        <v>2024</v>
      </c>
      <c r="E191" s="12" t="s">
        <v>913</v>
      </c>
      <c r="F191" s="12" t="s">
        <v>1054</v>
      </c>
      <c r="G191" s="11" t="s">
        <v>137</v>
      </c>
      <c r="H191" s="11" t="s">
        <v>137</v>
      </c>
      <c r="I191" s="11" t="s">
        <v>137</v>
      </c>
      <c r="J191" s="12"/>
      <c r="K191" s="14" t="str">
        <f t="shared" si="2"/>
        <v>YES</v>
      </c>
      <c r="L191" s="12" t="s">
        <v>130</v>
      </c>
      <c r="M191" s="12"/>
      <c r="N191" s="12" t="s">
        <v>1120</v>
      </c>
      <c r="O191" s="12" t="s">
        <v>1121</v>
      </c>
    </row>
    <row r="192" spans="1:15" ht="41.5" customHeight="1" x14ac:dyDescent="0.35">
      <c r="A192" s="11">
        <v>187</v>
      </c>
      <c r="B192" s="12" t="s">
        <v>1122</v>
      </c>
      <c r="C192" s="12" t="s">
        <v>1123</v>
      </c>
      <c r="D192" s="11">
        <v>2024</v>
      </c>
      <c r="E192" s="12" t="s">
        <v>1124</v>
      </c>
      <c r="F192" s="12" t="s">
        <v>1054</v>
      </c>
      <c r="G192" s="11" t="s">
        <v>129</v>
      </c>
      <c r="H192" s="11"/>
      <c r="I192" s="11"/>
      <c r="J192" s="12"/>
      <c r="K192" s="14" t="str">
        <f t="shared" si="2"/>
        <v>NO</v>
      </c>
      <c r="L192" s="12" t="s">
        <v>130</v>
      </c>
      <c r="M192" s="12" t="s">
        <v>1125</v>
      </c>
      <c r="N192" s="12" t="s">
        <v>1126</v>
      </c>
      <c r="O192" s="12" t="s">
        <v>1127</v>
      </c>
    </row>
    <row r="193" spans="1:15" ht="41.5" customHeight="1" x14ac:dyDescent="0.35">
      <c r="A193" s="11">
        <v>188</v>
      </c>
      <c r="B193" s="12" t="s">
        <v>1128</v>
      </c>
      <c r="C193" s="12" t="s">
        <v>1129</v>
      </c>
      <c r="D193" s="11">
        <v>2026</v>
      </c>
      <c r="E193" s="12" t="s">
        <v>428</v>
      </c>
      <c r="F193" s="12" t="s">
        <v>1054</v>
      </c>
      <c r="G193" s="11" t="s">
        <v>129</v>
      </c>
      <c r="H193" s="11"/>
      <c r="I193" s="11"/>
      <c r="J193" s="12"/>
      <c r="K193" s="14" t="str">
        <f t="shared" si="2"/>
        <v>NO</v>
      </c>
      <c r="L193" s="12" t="s">
        <v>130</v>
      </c>
      <c r="M193" s="12" t="s">
        <v>1130</v>
      </c>
      <c r="N193" s="12" t="s">
        <v>1131</v>
      </c>
      <c r="O193" s="12" t="s">
        <v>1132</v>
      </c>
    </row>
    <row r="194" spans="1:15" ht="29" customHeight="1" x14ac:dyDescent="0.35">
      <c r="A194" s="11">
        <v>189</v>
      </c>
      <c r="B194" s="12" t="s">
        <v>1133</v>
      </c>
      <c r="C194" s="12" t="s">
        <v>1134</v>
      </c>
      <c r="D194" s="11">
        <v>2025</v>
      </c>
      <c r="E194" s="12" t="s">
        <v>1135</v>
      </c>
      <c r="F194" s="12" t="s">
        <v>1054</v>
      </c>
      <c r="G194" s="11" t="s">
        <v>137</v>
      </c>
      <c r="H194" s="11" t="s">
        <v>137</v>
      </c>
      <c r="I194" s="11" t="s">
        <v>137</v>
      </c>
      <c r="J194" s="12"/>
      <c r="K194" s="14" t="str">
        <f t="shared" si="2"/>
        <v>YES</v>
      </c>
      <c r="L194" s="12" t="s">
        <v>130</v>
      </c>
      <c r="M194" s="12"/>
      <c r="N194" s="12" t="s">
        <v>1136</v>
      </c>
      <c r="O194" s="12" t="s">
        <v>1137</v>
      </c>
    </row>
    <row r="195" spans="1:15" ht="29" customHeight="1" x14ac:dyDescent="0.35">
      <c r="A195" s="11">
        <v>190</v>
      </c>
      <c r="B195" s="12" t="s">
        <v>1138</v>
      </c>
      <c r="C195" s="12" t="s">
        <v>1139</v>
      </c>
      <c r="D195" s="11">
        <v>2024</v>
      </c>
      <c r="E195" s="12" t="s">
        <v>136</v>
      </c>
      <c r="F195" s="12" t="s">
        <v>1054</v>
      </c>
      <c r="G195" s="11" t="s">
        <v>129</v>
      </c>
      <c r="H195" s="11"/>
      <c r="I195" s="11"/>
      <c r="J195" s="12"/>
      <c r="K195" s="14" t="str">
        <f t="shared" si="2"/>
        <v>NO</v>
      </c>
      <c r="L195" s="12" t="s">
        <v>130</v>
      </c>
      <c r="M195" s="12" t="s">
        <v>1140</v>
      </c>
      <c r="N195" s="12" t="s">
        <v>1141</v>
      </c>
      <c r="O195" s="12" t="s">
        <v>1142</v>
      </c>
    </row>
    <row r="196" spans="1:15" ht="29" customHeight="1" x14ac:dyDescent="0.35">
      <c r="A196" s="11">
        <v>191</v>
      </c>
      <c r="B196" s="12" t="s">
        <v>1143</v>
      </c>
      <c r="C196" s="12" t="s">
        <v>1144</v>
      </c>
      <c r="D196" s="11">
        <v>2025</v>
      </c>
      <c r="E196" s="12" t="s">
        <v>255</v>
      </c>
      <c r="F196" s="12" t="s">
        <v>1054</v>
      </c>
      <c r="G196" s="11" t="s">
        <v>129</v>
      </c>
      <c r="H196" s="11"/>
      <c r="I196" s="11"/>
      <c r="J196" s="12"/>
      <c r="K196" s="14" t="str">
        <f t="shared" si="2"/>
        <v>NO</v>
      </c>
      <c r="L196" s="12" t="s">
        <v>130</v>
      </c>
      <c r="M196" s="12" t="s">
        <v>1145</v>
      </c>
      <c r="N196" s="12" t="s">
        <v>1146</v>
      </c>
      <c r="O196" s="12" t="s">
        <v>1147</v>
      </c>
    </row>
    <row r="197" spans="1:15" ht="29" customHeight="1" x14ac:dyDescent="0.35">
      <c r="A197" s="11">
        <v>192</v>
      </c>
      <c r="B197" s="12" t="s">
        <v>1148</v>
      </c>
      <c r="C197" s="12" t="s">
        <v>1149</v>
      </c>
      <c r="D197" s="11">
        <v>2024</v>
      </c>
      <c r="E197" s="12" t="s">
        <v>760</v>
      </c>
      <c r="F197" s="12" t="s">
        <v>1054</v>
      </c>
      <c r="G197" s="11" t="s">
        <v>137</v>
      </c>
      <c r="H197" s="11" t="s">
        <v>137</v>
      </c>
      <c r="I197" s="11" t="s">
        <v>137</v>
      </c>
      <c r="J197" s="12"/>
      <c r="K197" s="14" t="str">
        <f t="shared" si="2"/>
        <v>YES</v>
      </c>
      <c r="L197" s="12" t="s">
        <v>130</v>
      </c>
      <c r="M197" s="12"/>
      <c r="N197" s="12" t="s">
        <v>1150</v>
      </c>
      <c r="O197" s="12" t="s">
        <v>1151</v>
      </c>
    </row>
    <row r="198" spans="1:15" ht="41.5" customHeight="1" x14ac:dyDescent="0.35">
      <c r="A198" s="11">
        <v>193</v>
      </c>
      <c r="B198" s="12" t="s">
        <v>1152</v>
      </c>
      <c r="C198" s="12" t="s">
        <v>1153</v>
      </c>
      <c r="D198" s="11">
        <v>2025</v>
      </c>
      <c r="E198" s="12" t="s">
        <v>1154</v>
      </c>
      <c r="F198" s="12" t="s">
        <v>1054</v>
      </c>
      <c r="G198" s="11" t="s">
        <v>129</v>
      </c>
      <c r="H198" s="11"/>
      <c r="I198" s="11"/>
      <c r="J198" s="12"/>
      <c r="K198" s="14" t="str">
        <f t="shared" ref="K198:K231" si="3">IF(AND(G198="KEEP",H198="KEEP",I198="KEEP"),"YES",IF(OR(G198="DROP",H198="DROP",I198="DROP"),"NO",""))</f>
        <v>NO</v>
      </c>
      <c r="L198" s="12" t="s">
        <v>130</v>
      </c>
      <c r="M198" s="12" t="s">
        <v>1155</v>
      </c>
      <c r="N198" s="12" t="s">
        <v>1156</v>
      </c>
      <c r="O198" s="12" t="s">
        <v>1157</v>
      </c>
    </row>
    <row r="199" spans="1:15" ht="29" customHeight="1" x14ac:dyDescent="0.35">
      <c r="A199" s="11">
        <v>194</v>
      </c>
      <c r="B199" s="12" t="s">
        <v>1158</v>
      </c>
      <c r="C199" s="12" t="s">
        <v>1159</v>
      </c>
      <c r="D199" s="11">
        <v>2025</v>
      </c>
      <c r="E199" s="12" t="s">
        <v>569</v>
      </c>
      <c r="F199" s="12" t="s">
        <v>1054</v>
      </c>
      <c r="G199" s="11" t="s">
        <v>129</v>
      </c>
      <c r="H199" s="11"/>
      <c r="I199" s="11"/>
      <c r="J199" s="12"/>
      <c r="K199" s="14" t="str">
        <f t="shared" si="3"/>
        <v>NO</v>
      </c>
      <c r="L199" s="12" t="s">
        <v>130</v>
      </c>
      <c r="M199" s="12" t="s">
        <v>1160</v>
      </c>
      <c r="N199" s="12" t="s">
        <v>1161</v>
      </c>
      <c r="O199" s="12" t="s">
        <v>1162</v>
      </c>
    </row>
    <row r="200" spans="1:15" ht="41.5" customHeight="1" x14ac:dyDescent="0.35">
      <c r="A200" s="11">
        <v>195</v>
      </c>
      <c r="B200" s="12" t="s">
        <v>1163</v>
      </c>
      <c r="C200" s="12" t="s">
        <v>1164</v>
      </c>
      <c r="D200" s="11">
        <v>2025</v>
      </c>
      <c r="E200" s="12" t="s">
        <v>1165</v>
      </c>
      <c r="F200" s="12" t="s">
        <v>1054</v>
      </c>
      <c r="G200" s="11" t="s">
        <v>129</v>
      </c>
      <c r="H200" s="11"/>
      <c r="I200" s="11"/>
      <c r="J200" s="12"/>
      <c r="K200" s="14" t="str">
        <f t="shared" si="3"/>
        <v>NO</v>
      </c>
      <c r="L200" s="12" t="s">
        <v>130</v>
      </c>
      <c r="M200" s="12" t="s">
        <v>1166</v>
      </c>
      <c r="N200" s="12" t="s">
        <v>1167</v>
      </c>
      <c r="O200" s="12" t="s">
        <v>1168</v>
      </c>
    </row>
    <row r="201" spans="1:15" ht="41.5" customHeight="1" x14ac:dyDescent="0.35">
      <c r="A201" s="11">
        <v>196</v>
      </c>
      <c r="B201" s="12" t="s">
        <v>1169</v>
      </c>
      <c r="C201" s="12" t="s">
        <v>1170</v>
      </c>
      <c r="D201" s="11">
        <v>2026</v>
      </c>
      <c r="E201" s="12" t="s">
        <v>898</v>
      </c>
      <c r="F201" s="12" t="s">
        <v>1054</v>
      </c>
      <c r="G201" s="11" t="s">
        <v>129</v>
      </c>
      <c r="H201" s="11"/>
      <c r="I201" s="11"/>
      <c r="J201" s="12"/>
      <c r="K201" s="14" t="str">
        <f t="shared" si="3"/>
        <v>NO</v>
      </c>
      <c r="L201" s="12" t="s">
        <v>130</v>
      </c>
      <c r="M201" s="12" t="s">
        <v>1171</v>
      </c>
      <c r="N201" s="12" t="s">
        <v>1172</v>
      </c>
      <c r="O201" s="12" t="s">
        <v>1173</v>
      </c>
    </row>
    <row r="202" spans="1:15" ht="41.5" customHeight="1" x14ac:dyDescent="0.35">
      <c r="A202" s="11">
        <v>197</v>
      </c>
      <c r="B202" s="12" t="s">
        <v>1174</v>
      </c>
      <c r="C202" s="12" t="s">
        <v>1175</v>
      </c>
      <c r="D202" s="11">
        <v>2026</v>
      </c>
      <c r="E202" s="12" t="s">
        <v>1176</v>
      </c>
      <c r="F202" s="12" t="s">
        <v>1054</v>
      </c>
      <c r="G202" s="11" t="s">
        <v>137</v>
      </c>
      <c r="H202" s="11" t="s">
        <v>137</v>
      </c>
      <c r="I202" s="11" t="s">
        <v>137</v>
      </c>
      <c r="J202" s="12"/>
      <c r="K202" s="14" t="str">
        <f t="shared" si="3"/>
        <v>YES</v>
      </c>
      <c r="L202" s="12" t="s">
        <v>130</v>
      </c>
      <c r="M202" s="12"/>
      <c r="N202" s="12" t="s">
        <v>1177</v>
      </c>
      <c r="O202" s="12" t="s">
        <v>1178</v>
      </c>
    </row>
    <row r="203" spans="1:15" ht="41.5" customHeight="1" x14ac:dyDescent="0.35">
      <c r="A203" s="11">
        <v>198</v>
      </c>
      <c r="B203" s="12" t="s">
        <v>1179</v>
      </c>
      <c r="C203" s="12" t="s">
        <v>1180</v>
      </c>
      <c r="D203" s="11">
        <v>2025</v>
      </c>
      <c r="E203" s="12" t="s">
        <v>1181</v>
      </c>
      <c r="F203" s="12" t="s">
        <v>1054</v>
      </c>
      <c r="G203" s="11" t="s">
        <v>129</v>
      </c>
      <c r="H203" s="11"/>
      <c r="I203" s="11"/>
      <c r="J203" s="12"/>
      <c r="K203" s="14" t="str">
        <f t="shared" si="3"/>
        <v>NO</v>
      </c>
      <c r="L203" s="12" t="s">
        <v>130</v>
      </c>
      <c r="M203" s="12" t="s">
        <v>1182</v>
      </c>
      <c r="N203" s="12" t="s">
        <v>1183</v>
      </c>
      <c r="O203" s="12" t="s">
        <v>1184</v>
      </c>
    </row>
    <row r="204" spans="1:15" ht="54" customHeight="1" x14ac:dyDescent="0.35">
      <c r="A204" s="11">
        <v>199</v>
      </c>
      <c r="B204" s="12" t="s">
        <v>1185</v>
      </c>
      <c r="C204" s="12" t="s">
        <v>1186</v>
      </c>
      <c r="D204" s="11">
        <v>2025</v>
      </c>
      <c r="E204" s="12" t="s">
        <v>1187</v>
      </c>
      <c r="F204" s="12" t="s">
        <v>1188</v>
      </c>
      <c r="G204" s="11" t="s">
        <v>137</v>
      </c>
      <c r="H204" s="11" t="s">
        <v>137</v>
      </c>
      <c r="I204" s="11" t="s">
        <v>137</v>
      </c>
      <c r="J204" s="12"/>
      <c r="K204" s="14" t="str">
        <f t="shared" si="3"/>
        <v>YES</v>
      </c>
      <c r="L204" s="12" t="s">
        <v>1189</v>
      </c>
      <c r="M204" s="12" t="s">
        <v>1190</v>
      </c>
      <c r="N204" s="12"/>
      <c r="O204" s="12" t="s">
        <v>1191</v>
      </c>
    </row>
    <row r="205" spans="1:15" ht="79" customHeight="1" x14ac:dyDescent="0.35">
      <c r="A205" s="11">
        <v>200</v>
      </c>
      <c r="B205" s="12" t="s">
        <v>1192</v>
      </c>
      <c r="C205" s="12" t="s">
        <v>1193</v>
      </c>
      <c r="D205" s="11">
        <v>2021</v>
      </c>
      <c r="E205" s="12" t="s">
        <v>1194</v>
      </c>
      <c r="F205" s="12" t="s">
        <v>1195</v>
      </c>
      <c r="G205" s="11" t="s">
        <v>137</v>
      </c>
      <c r="H205" s="11" t="s">
        <v>137</v>
      </c>
      <c r="I205" s="11" t="s">
        <v>137</v>
      </c>
      <c r="J205" s="12"/>
      <c r="K205" s="14" t="str">
        <f t="shared" si="3"/>
        <v>YES</v>
      </c>
      <c r="L205" s="12" t="s">
        <v>1189</v>
      </c>
      <c r="M205" s="12" t="s">
        <v>1196</v>
      </c>
      <c r="N205" s="12"/>
      <c r="O205" s="12" t="s">
        <v>1197</v>
      </c>
    </row>
    <row r="206" spans="1:15" ht="54" customHeight="1" x14ac:dyDescent="0.35">
      <c r="A206" s="11">
        <v>201</v>
      </c>
      <c r="B206" s="12" t="s">
        <v>1198</v>
      </c>
      <c r="C206" s="12" t="s">
        <v>1199</v>
      </c>
      <c r="D206" s="11">
        <v>2024</v>
      </c>
      <c r="E206" s="12" t="s">
        <v>913</v>
      </c>
      <c r="F206" s="12" t="s">
        <v>1200</v>
      </c>
      <c r="G206" s="11" t="s">
        <v>137</v>
      </c>
      <c r="H206" s="11" t="s">
        <v>137</v>
      </c>
      <c r="I206" s="11" t="s">
        <v>137</v>
      </c>
      <c r="J206" s="12"/>
      <c r="K206" s="14" t="str">
        <f t="shared" si="3"/>
        <v>YES</v>
      </c>
      <c r="L206" s="12" t="s">
        <v>1189</v>
      </c>
      <c r="M206" s="12" t="s">
        <v>1201</v>
      </c>
      <c r="N206" s="12"/>
      <c r="O206" s="12" t="s">
        <v>1202</v>
      </c>
    </row>
    <row r="207" spans="1:15" ht="54" customHeight="1" x14ac:dyDescent="0.35">
      <c r="A207" s="11">
        <v>202</v>
      </c>
      <c r="B207" s="12" t="s">
        <v>1203</v>
      </c>
      <c r="C207" s="12" t="s">
        <v>1204</v>
      </c>
      <c r="D207" s="11">
        <v>2023</v>
      </c>
      <c r="E207" s="12" t="s">
        <v>1205</v>
      </c>
      <c r="F207" s="12" t="s">
        <v>1200</v>
      </c>
      <c r="G207" s="11" t="s">
        <v>137</v>
      </c>
      <c r="H207" s="11" t="s">
        <v>137</v>
      </c>
      <c r="I207" s="11" t="s">
        <v>137</v>
      </c>
      <c r="J207" s="12"/>
      <c r="K207" s="14" t="str">
        <f t="shared" si="3"/>
        <v>YES</v>
      </c>
      <c r="L207" s="12" t="s">
        <v>1189</v>
      </c>
      <c r="M207" s="12" t="s">
        <v>1206</v>
      </c>
      <c r="N207" s="12"/>
      <c r="O207" s="12" t="s">
        <v>1207</v>
      </c>
    </row>
    <row r="208" spans="1:15" ht="54" customHeight="1" x14ac:dyDescent="0.35">
      <c r="A208" s="11">
        <v>203</v>
      </c>
      <c r="B208" s="12" t="s">
        <v>1208</v>
      </c>
      <c r="C208" s="12" t="s">
        <v>1209</v>
      </c>
      <c r="D208" s="11">
        <v>2024</v>
      </c>
      <c r="E208" s="12" t="s">
        <v>1210</v>
      </c>
      <c r="F208" s="12" t="s">
        <v>1200</v>
      </c>
      <c r="G208" s="11" t="s">
        <v>137</v>
      </c>
      <c r="H208" s="11" t="s">
        <v>137</v>
      </c>
      <c r="I208" s="11" t="s">
        <v>137</v>
      </c>
      <c r="J208" s="12"/>
      <c r="K208" s="14" t="str">
        <f t="shared" si="3"/>
        <v>YES</v>
      </c>
      <c r="L208" s="12" t="s">
        <v>1189</v>
      </c>
      <c r="M208" s="12" t="s">
        <v>1211</v>
      </c>
      <c r="N208" s="12"/>
      <c r="O208" s="12" t="s">
        <v>1212</v>
      </c>
    </row>
    <row r="209" spans="1:15" ht="54" customHeight="1" x14ac:dyDescent="0.35">
      <c r="A209" s="11">
        <v>204</v>
      </c>
      <c r="B209" s="12" t="s">
        <v>1213</v>
      </c>
      <c r="C209" s="12" t="s">
        <v>1214</v>
      </c>
      <c r="D209" s="11">
        <v>2024</v>
      </c>
      <c r="E209" s="12" t="s">
        <v>1215</v>
      </c>
      <c r="F209" s="12" t="s">
        <v>1188</v>
      </c>
      <c r="G209" s="11" t="s">
        <v>137</v>
      </c>
      <c r="H209" s="11" t="s">
        <v>137</v>
      </c>
      <c r="I209" s="11" t="s">
        <v>137</v>
      </c>
      <c r="J209" s="12"/>
      <c r="K209" s="14" t="str">
        <f t="shared" si="3"/>
        <v>YES</v>
      </c>
      <c r="L209" s="12" t="s">
        <v>1189</v>
      </c>
      <c r="M209" s="12" t="s">
        <v>1216</v>
      </c>
      <c r="N209" s="12"/>
      <c r="O209" s="12" t="s">
        <v>1217</v>
      </c>
    </row>
    <row r="210" spans="1:15" ht="54" customHeight="1" x14ac:dyDescent="0.35">
      <c r="A210" s="11">
        <v>205</v>
      </c>
      <c r="B210" s="12" t="s">
        <v>1218</v>
      </c>
      <c r="C210" s="12" t="s">
        <v>1219</v>
      </c>
      <c r="D210" s="11">
        <v>2025</v>
      </c>
      <c r="E210" s="12" t="s">
        <v>1220</v>
      </c>
      <c r="F210" s="12" t="s">
        <v>1200</v>
      </c>
      <c r="G210" s="11" t="s">
        <v>137</v>
      </c>
      <c r="H210" s="11" t="s">
        <v>137</v>
      </c>
      <c r="I210" s="11" t="s">
        <v>137</v>
      </c>
      <c r="J210" s="12"/>
      <c r="K210" s="14" t="str">
        <f t="shared" si="3"/>
        <v>YES</v>
      </c>
      <c r="L210" s="12" t="s">
        <v>1189</v>
      </c>
      <c r="M210" s="12" t="s">
        <v>1221</v>
      </c>
      <c r="N210" s="12"/>
      <c r="O210" s="12" t="s">
        <v>1222</v>
      </c>
    </row>
    <row r="211" spans="1:15" ht="54" customHeight="1" x14ac:dyDescent="0.35">
      <c r="A211" s="11">
        <v>206</v>
      </c>
      <c r="B211" s="12" t="s">
        <v>1223</v>
      </c>
      <c r="C211" s="12" t="s">
        <v>1224</v>
      </c>
      <c r="D211" s="11">
        <v>2024</v>
      </c>
      <c r="E211" s="12" t="s">
        <v>760</v>
      </c>
      <c r="F211" s="12" t="s">
        <v>1200</v>
      </c>
      <c r="G211" s="11" t="s">
        <v>137</v>
      </c>
      <c r="H211" s="11" t="s">
        <v>137</v>
      </c>
      <c r="I211" s="11" t="s">
        <v>137</v>
      </c>
      <c r="J211" s="12"/>
      <c r="K211" s="14" t="str">
        <f t="shared" si="3"/>
        <v>YES</v>
      </c>
      <c r="L211" s="12" t="s">
        <v>1189</v>
      </c>
      <c r="M211" s="12" t="s">
        <v>1225</v>
      </c>
      <c r="N211" s="12"/>
      <c r="O211" s="12" t="s">
        <v>1226</v>
      </c>
    </row>
    <row r="212" spans="1:15" x14ac:dyDescent="0.35">
      <c r="A212" s="12"/>
      <c r="B212" s="12"/>
      <c r="C212" s="12"/>
      <c r="D212" s="12"/>
      <c r="E212" s="12"/>
      <c r="F212" s="12"/>
      <c r="G212" s="12"/>
      <c r="H212" s="12"/>
      <c r="I212" s="12"/>
      <c r="J212" s="12"/>
      <c r="K212" s="15" t="str">
        <f t="shared" si="3"/>
        <v/>
      </c>
      <c r="L212" s="12"/>
      <c r="M212" s="12"/>
      <c r="N212" s="12"/>
      <c r="O212" s="12"/>
    </row>
    <row r="213" spans="1:15" x14ac:dyDescent="0.35">
      <c r="A213" s="12"/>
      <c r="B213" s="12"/>
      <c r="C213" s="12"/>
      <c r="D213" s="12"/>
      <c r="E213" s="12"/>
      <c r="F213" s="12"/>
      <c r="G213" s="12"/>
      <c r="H213" s="12"/>
      <c r="I213" s="12"/>
      <c r="J213" s="12"/>
      <c r="K213" s="15" t="str">
        <f t="shared" si="3"/>
        <v/>
      </c>
      <c r="L213" s="12"/>
      <c r="M213" s="12"/>
      <c r="N213" s="12"/>
      <c r="O213" s="12"/>
    </row>
    <row r="214" spans="1:15" x14ac:dyDescent="0.35">
      <c r="A214" s="12"/>
      <c r="B214" s="12"/>
      <c r="C214" s="12"/>
      <c r="D214" s="12"/>
      <c r="E214" s="12"/>
      <c r="F214" s="12"/>
      <c r="G214" s="12"/>
      <c r="H214" s="12"/>
      <c r="I214" s="12"/>
      <c r="J214" s="12"/>
      <c r="K214" s="15" t="str">
        <f t="shared" si="3"/>
        <v/>
      </c>
      <c r="L214" s="12"/>
      <c r="M214" s="12"/>
      <c r="N214" s="12"/>
      <c r="O214" s="12"/>
    </row>
    <row r="215" spans="1:15" x14ac:dyDescent="0.35">
      <c r="A215" s="12"/>
      <c r="B215" s="12"/>
      <c r="C215" s="12"/>
      <c r="D215" s="12"/>
      <c r="E215" s="12"/>
      <c r="F215" s="12"/>
      <c r="G215" s="12"/>
      <c r="H215" s="12"/>
      <c r="I215" s="12"/>
      <c r="J215" s="12"/>
      <c r="K215" s="15" t="str">
        <f t="shared" si="3"/>
        <v/>
      </c>
      <c r="L215" s="12"/>
      <c r="M215" s="12"/>
      <c r="N215" s="12"/>
      <c r="O215" s="12"/>
    </row>
    <row r="216" spans="1:15" x14ac:dyDescent="0.35">
      <c r="A216" s="12"/>
      <c r="B216" s="12"/>
      <c r="C216" s="12"/>
      <c r="D216" s="12"/>
      <c r="E216" s="12"/>
      <c r="F216" s="12"/>
      <c r="G216" s="12"/>
      <c r="H216" s="12"/>
      <c r="I216" s="12"/>
      <c r="J216" s="12"/>
      <c r="K216" s="15" t="str">
        <f t="shared" si="3"/>
        <v/>
      </c>
      <c r="L216" s="12"/>
      <c r="M216" s="12"/>
      <c r="N216" s="12"/>
      <c r="O216" s="12"/>
    </row>
    <row r="217" spans="1:15" x14ac:dyDescent="0.35">
      <c r="A217" s="12"/>
      <c r="B217" s="12"/>
      <c r="C217" s="12"/>
      <c r="D217" s="12"/>
      <c r="E217" s="12"/>
      <c r="F217" s="12"/>
      <c r="G217" s="12"/>
      <c r="H217" s="12"/>
      <c r="I217" s="12"/>
      <c r="J217" s="12"/>
      <c r="K217" s="15" t="str">
        <f t="shared" si="3"/>
        <v/>
      </c>
      <c r="L217" s="12"/>
      <c r="M217" s="12"/>
      <c r="N217" s="12"/>
      <c r="O217" s="12"/>
    </row>
    <row r="218" spans="1:15" x14ac:dyDescent="0.35">
      <c r="A218" s="12"/>
      <c r="B218" s="12"/>
      <c r="C218" s="12"/>
      <c r="D218" s="12"/>
      <c r="E218" s="12"/>
      <c r="F218" s="12"/>
      <c r="G218" s="12"/>
      <c r="H218" s="12"/>
      <c r="I218" s="12"/>
      <c r="J218" s="12"/>
      <c r="K218" s="15" t="str">
        <f t="shared" si="3"/>
        <v/>
      </c>
      <c r="L218" s="12"/>
      <c r="M218" s="12"/>
      <c r="N218" s="12"/>
      <c r="O218" s="12"/>
    </row>
    <row r="219" spans="1:15" x14ac:dyDescent="0.35">
      <c r="A219" s="12"/>
      <c r="B219" s="12"/>
      <c r="C219" s="12"/>
      <c r="D219" s="12"/>
      <c r="E219" s="12"/>
      <c r="F219" s="12"/>
      <c r="G219" s="12"/>
      <c r="H219" s="12"/>
      <c r="I219" s="12"/>
      <c r="J219" s="12"/>
      <c r="K219" s="15" t="str">
        <f t="shared" si="3"/>
        <v/>
      </c>
      <c r="L219" s="12"/>
      <c r="M219" s="12"/>
      <c r="N219" s="12"/>
      <c r="O219" s="12"/>
    </row>
    <row r="220" spans="1:15" x14ac:dyDescent="0.35">
      <c r="A220" s="12"/>
      <c r="B220" s="12"/>
      <c r="C220" s="12"/>
      <c r="D220" s="12"/>
      <c r="E220" s="12"/>
      <c r="F220" s="12"/>
      <c r="G220" s="12"/>
      <c r="H220" s="12"/>
      <c r="I220" s="12"/>
      <c r="J220" s="12"/>
      <c r="K220" s="15" t="str">
        <f t="shared" si="3"/>
        <v/>
      </c>
      <c r="L220" s="12"/>
      <c r="M220" s="12"/>
      <c r="N220" s="12"/>
      <c r="O220" s="12"/>
    </row>
    <row r="221" spans="1:15" x14ac:dyDescent="0.35">
      <c r="A221" s="12"/>
      <c r="B221" s="12"/>
      <c r="C221" s="12"/>
      <c r="D221" s="12"/>
      <c r="E221" s="12"/>
      <c r="F221" s="12"/>
      <c r="G221" s="12"/>
      <c r="H221" s="12"/>
      <c r="I221" s="12"/>
      <c r="J221" s="12"/>
      <c r="K221" s="15" t="str">
        <f t="shared" si="3"/>
        <v/>
      </c>
      <c r="L221" s="12"/>
      <c r="M221" s="12"/>
      <c r="N221" s="12"/>
      <c r="O221" s="12"/>
    </row>
    <row r="222" spans="1:15" x14ac:dyDescent="0.35">
      <c r="A222" s="12"/>
      <c r="B222" s="12"/>
      <c r="C222" s="12"/>
      <c r="D222" s="12"/>
      <c r="E222" s="12"/>
      <c r="F222" s="12"/>
      <c r="G222" s="12"/>
      <c r="H222" s="12"/>
      <c r="I222" s="12"/>
      <c r="J222" s="12"/>
      <c r="K222" s="15" t="str">
        <f t="shared" si="3"/>
        <v/>
      </c>
      <c r="L222" s="12"/>
      <c r="M222" s="12"/>
      <c r="N222" s="12"/>
      <c r="O222" s="12"/>
    </row>
    <row r="223" spans="1:15" x14ac:dyDescent="0.35">
      <c r="A223" s="12"/>
      <c r="B223" s="12"/>
      <c r="C223" s="12"/>
      <c r="D223" s="12"/>
      <c r="E223" s="12"/>
      <c r="F223" s="12"/>
      <c r="G223" s="12"/>
      <c r="H223" s="12"/>
      <c r="I223" s="12"/>
      <c r="J223" s="12"/>
      <c r="K223" s="15" t="str">
        <f t="shared" si="3"/>
        <v/>
      </c>
      <c r="L223" s="12"/>
      <c r="M223" s="12"/>
      <c r="N223" s="12"/>
      <c r="O223" s="12"/>
    </row>
    <row r="224" spans="1:15" x14ac:dyDescent="0.35">
      <c r="A224" s="12"/>
      <c r="B224" s="12"/>
      <c r="C224" s="12"/>
      <c r="D224" s="12"/>
      <c r="E224" s="12"/>
      <c r="F224" s="12"/>
      <c r="G224" s="12"/>
      <c r="H224" s="12"/>
      <c r="I224" s="12"/>
      <c r="J224" s="12"/>
      <c r="K224" s="15" t="str">
        <f t="shared" si="3"/>
        <v/>
      </c>
      <c r="L224" s="12"/>
      <c r="M224" s="12"/>
      <c r="N224" s="12"/>
      <c r="O224" s="12"/>
    </row>
    <row r="225" spans="1:15" x14ac:dyDescent="0.35">
      <c r="A225" s="12"/>
      <c r="B225" s="12"/>
      <c r="C225" s="12"/>
      <c r="D225" s="12"/>
      <c r="E225" s="12"/>
      <c r="F225" s="12"/>
      <c r="G225" s="12"/>
      <c r="H225" s="12"/>
      <c r="I225" s="12"/>
      <c r="J225" s="12"/>
      <c r="K225" s="15" t="str">
        <f t="shared" si="3"/>
        <v/>
      </c>
      <c r="L225" s="12"/>
      <c r="M225" s="12"/>
      <c r="N225" s="12"/>
      <c r="O225" s="12"/>
    </row>
    <row r="226" spans="1:15" x14ac:dyDescent="0.35">
      <c r="A226" s="12"/>
      <c r="B226" s="12"/>
      <c r="C226" s="12"/>
      <c r="D226" s="12"/>
      <c r="E226" s="12"/>
      <c r="F226" s="12"/>
      <c r="G226" s="12"/>
      <c r="H226" s="12"/>
      <c r="I226" s="12"/>
      <c r="J226" s="12"/>
      <c r="K226" s="15" t="str">
        <f t="shared" si="3"/>
        <v/>
      </c>
      <c r="L226" s="12"/>
      <c r="M226" s="12"/>
      <c r="N226" s="12"/>
      <c r="O226" s="12"/>
    </row>
    <row r="227" spans="1:15" x14ac:dyDescent="0.35">
      <c r="A227" s="12"/>
      <c r="B227" s="12"/>
      <c r="C227" s="12"/>
      <c r="D227" s="12"/>
      <c r="E227" s="12"/>
      <c r="F227" s="12"/>
      <c r="G227" s="12"/>
      <c r="H227" s="12"/>
      <c r="I227" s="12"/>
      <c r="J227" s="12"/>
      <c r="K227" s="15" t="str">
        <f t="shared" si="3"/>
        <v/>
      </c>
      <c r="L227" s="12"/>
      <c r="M227" s="12"/>
      <c r="N227" s="12"/>
      <c r="O227" s="12"/>
    </row>
    <row r="228" spans="1:15" x14ac:dyDescent="0.35">
      <c r="A228" s="12"/>
      <c r="B228" s="12"/>
      <c r="C228" s="12"/>
      <c r="D228" s="12"/>
      <c r="E228" s="12"/>
      <c r="F228" s="12"/>
      <c r="G228" s="12"/>
      <c r="H228" s="12"/>
      <c r="I228" s="12"/>
      <c r="J228" s="12"/>
      <c r="K228" s="15" t="str">
        <f t="shared" si="3"/>
        <v/>
      </c>
      <c r="L228" s="12"/>
      <c r="M228" s="12"/>
      <c r="N228" s="12"/>
      <c r="O228" s="12"/>
    </row>
    <row r="229" spans="1:15" x14ac:dyDescent="0.35">
      <c r="A229" s="12"/>
      <c r="B229" s="12"/>
      <c r="C229" s="12"/>
      <c r="D229" s="12"/>
      <c r="E229" s="12"/>
      <c r="F229" s="12"/>
      <c r="G229" s="12"/>
      <c r="H229" s="12"/>
      <c r="I229" s="12"/>
      <c r="J229" s="12"/>
      <c r="K229" s="15" t="str">
        <f t="shared" si="3"/>
        <v/>
      </c>
      <c r="L229" s="12"/>
      <c r="M229" s="12"/>
      <c r="N229" s="12"/>
      <c r="O229" s="12"/>
    </row>
    <row r="230" spans="1:15" x14ac:dyDescent="0.35">
      <c r="A230" s="12"/>
      <c r="B230" s="12"/>
      <c r="C230" s="12"/>
      <c r="D230" s="12"/>
      <c r="E230" s="12"/>
      <c r="F230" s="12"/>
      <c r="G230" s="12"/>
      <c r="H230" s="12"/>
      <c r="I230" s="12"/>
      <c r="J230" s="12"/>
      <c r="K230" s="15" t="str">
        <f t="shared" si="3"/>
        <v/>
      </c>
      <c r="L230" s="12"/>
      <c r="M230" s="12"/>
      <c r="N230" s="12"/>
      <c r="O230" s="12"/>
    </row>
    <row r="231" spans="1:15" x14ac:dyDescent="0.35">
      <c r="A231" s="12"/>
      <c r="B231" s="12"/>
      <c r="C231" s="12"/>
      <c r="D231" s="12"/>
      <c r="E231" s="12"/>
      <c r="F231" s="12"/>
      <c r="G231" s="12"/>
      <c r="H231" s="12"/>
      <c r="I231" s="12"/>
      <c r="J231" s="12"/>
      <c r="K231" s="15" t="str">
        <f t="shared" si="3"/>
        <v/>
      </c>
      <c r="L231" s="12"/>
      <c r="M231" s="12"/>
      <c r="N231" s="12"/>
      <c r="O231" s="12"/>
    </row>
  </sheetData>
  <autoFilter ref="A4:O231" xr:uid="{00000000-0009-0000-0000-000002000000}"/>
  <mergeCells count="1">
    <mergeCell ref="A2:L2"/>
  </mergeCells>
  <conditionalFormatting sqref="K6:K231">
    <cfRule type="cellIs" dxfId="0" priority="1" operator="equal">
      <formula>"YES"</formula>
    </cfRule>
  </conditionalFormatting>
  <dataValidations count="3">
    <dataValidation type="list" allowBlank="1" sqref="G6:I231" xr:uid="{00000000-0002-0000-0200-000000000000}">
      <formula1>"KEEP,DROP"</formula1>
    </dataValidation>
    <dataValidation type="list" allowBlank="1" sqref="J6:J231" xr:uid="{00000000-0002-0000-0200-000001000000}">
      <formula1>"Not peer-reviewed,Outside date range,Outside scope,Free full text unavailable,Duplicate/secondary version"</formula1>
    </dataValidation>
    <dataValidation type="list" allowBlank="1" sqref="L6:L231" xr:uid="{00000000-0002-0000-0200-000002000000}">
      <formula1>"Database search,Citation chasing"</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63"/>
  <sheetViews>
    <sheetView workbookViewId="0">
      <pane xSplit="2" ySplit="4" topLeftCell="C5" activePane="bottomRight" state="frozen"/>
      <selection pane="topRight"/>
      <selection pane="bottomLeft"/>
      <selection pane="bottomRight"/>
    </sheetView>
  </sheetViews>
  <sheetFormatPr defaultRowHeight="14.5" x14ac:dyDescent="0.35"/>
  <cols>
    <col min="1" max="1" width="5" customWidth="1"/>
    <col min="2" max="2" width="24" customWidth="1"/>
    <col min="3" max="3" width="7" customWidth="1"/>
    <col min="4" max="4" width="20" customWidth="1"/>
    <col min="5" max="5" width="15" customWidth="1"/>
    <col min="6" max="6" width="24" customWidth="1"/>
    <col min="7" max="7" width="28" customWidth="1"/>
    <col min="8" max="8" width="32" customWidth="1"/>
    <col min="9" max="9" width="36" customWidth="1"/>
    <col min="10" max="10" width="34" customWidth="1"/>
    <col min="11" max="11" width="22" customWidth="1"/>
    <col min="12" max="12" width="34" customWidth="1"/>
    <col min="13" max="13" width="22" customWidth="1"/>
    <col min="14" max="14" width="26" customWidth="1"/>
    <col min="15" max="15" width="9" customWidth="1"/>
  </cols>
  <sheetData>
    <row r="1" spans="1:15" ht="18" customHeight="1" x14ac:dyDescent="0.4">
      <c r="A1" s="10" t="s">
        <v>1227</v>
      </c>
    </row>
    <row r="2" spans="1:15" ht="28" customHeight="1" x14ac:dyDescent="0.35">
      <c r="A2" s="27" t="s">
        <v>1228</v>
      </c>
      <c r="B2" s="25"/>
      <c r="C2" s="25"/>
      <c r="D2" s="25"/>
      <c r="E2" s="25"/>
      <c r="F2" s="25"/>
      <c r="G2" s="25"/>
      <c r="H2" s="25"/>
      <c r="I2" s="25"/>
      <c r="J2" s="25"/>
      <c r="K2" s="25"/>
      <c r="L2" s="25"/>
      <c r="M2" s="25"/>
      <c r="N2" s="25"/>
      <c r="O2" s="25"/>
    </row>
    <row r="4" spans="1:15" ht="42" customHeight="1" x14ac:dyDescent="0.35">
      <c r="A4" s="3" t="s">
        <v>70</v>
      </c>
      <c r="B4" s="3" t="s">
        <v>1229</v>
      </c>
      <c r="C4" s="3" t="s">
        <v>113</v>
      </c>
      <c r="D4" s="3" t="s">
        <v>114</v>
      </c>
      <c r="E4" s="3" t="s">
        <v>1230</v>
      </c>
      <c r="F4" s="3" t="s">
        <v>1231</v>
      </c>
      <c r="G4" s="3" t="s">
        <v>1232</v>
      </c>
      <c r="H4" s="3" t="s">
        <v>1233</v>
      </c>
      <c r="I4" s="3" t="s">
        <v>1234</v>
      </c>
      <c r="J4" s="3" t="s">
        <v>1235</v>
      </c>
      <c r="K4" s="3" t="s">
        <v>1236</v>
      </c>
      <c r="L4" s="16" t="s">
        <v>1237</v>
      </c>
      <c r="M4" s="16" t="s">
        <v>115</v>
      </c>
      <c r="N4" s="16" t="s">
        <v>1238</v>
      </c>
      <c r="O4" s="3" t="s">
        <v>1239</v>
      </c>
    </row>
    <row r="5" spans="1:15" ht="60" customHeight="1" x14ac:dyDescent="0.35">
      <c r="A5" s="11">
        <v>1</v>
      </c>
      <c r="B5" s="12" t="s">
        <v>1240</v>
      </c>
      <c r="C5" s="11">
        <v>2017</v>
      </c>
      <c r="D5" s="12" t="s">
        <v>178</v>
      </c>
      <c r="E5" s="12" t="s">
        <v>1241</v>
      </c>
      <c r="F5" s="12" t="s">
        <v>1242</v>
      </c>
      <c r="G5" s="12" t="s">
        <v>1243</v>
      </c>
      <c r="H5" s="12" t="s">
        <v>1244</v>
      </c>
      <c r="I5" s="12" t="s">
        <v>1245</v>
      </c>
      <c r="J5" s="12" t="s">
        <v>1246</v>
      </c>
      <c r="K5" s="12" t="s">
        <v>49</v>
      </c>
      <c r="L5" s="12" t="s">
        <v>1247</v>
      </c>
      <c r="M5" s="12" t="s">
        <v>128</v>
      </c>
      <c r="N5" s="12" t="s">
        <v>1248</v>
      </c>
      <c r="O5" s="11">
        <v>10</v>
      </c>
    </row>
    <row r="6" spans="1:15" ht="60" customHeight="1" x14ac:dyDescent="0.35">
      <c r="A6" s="11">
        <v>2</v>
      </c>
      <c r="B6" s="12" t="s">
        <v>1249</v>
      </c>
      <c r="C6" s="11">
        <v>2019</v>
      </c>
      <c r="D6" s="12" t="s">
        <v>648</v>
      </c>
      <c r="E6" s="12" t="s">
        <v>1250</v>
      </c>
      <c r="F6" s="12" t="s">
        <v>1251</v>
      </c>
      <c r="G6" s="12" t="s">
        <v>1252</v>
      </c>
      <c r="H6" s="12" t="s">
        <v>1253</v>
      </c>
      <c r="I6" s="12" t="s">
        <v>1254</v>
      </c>
      <c r="J6" s="12" t="s">
        <v>1255</v>
      </c>
      <c r="K6" s="12" t="s">
        <v>49</v>
      </c>
      <c r="L6" s="12" t="s">
        <v>1256</v>
      </c>
      <c r="M6" s="12" t="s">
        <v>540</v>
      </c>
      <c r="N6" s="12" t="s">
        <v>1257</v>
      </c>
      <c r="O6" s="11">
        <v>96</v>
      </c>
    </row>
    <row r="7" spans="1:15" ht="60" customHeight="1" x14ac:dyDescent="0.35">
      <c r="A7" s="11">
        <v>3</v>
      </c>
      <c r="B7" s="12" t="s">
        <v>1258</v>
      </c>
      <c r="C7" s="11">
        <v>2019</v>
      </c>
      <c r="D7" s="12" t="s">
        <v>158</v>
      </c>
      <c r="E7" s="12" t="s">
        <v>1259</v>
      </c>
      <c r="F7" s="12" t="s">
        <v>1260</v>
      </c>
      <c r="G7" s="12" t="s">
        <v>1261</v>
      </c>
      <c r="H7" s="12" t="s">
        <v>1262</v>
      </c>
      <c r="I7" s="12" t="s">
        <v>1263</v>
      </c>
      <c r="J7" s="12" t="s">
        <v>1264</v>
      </c>
      <c r="K7" s="12" t="s">
        <v>49</v>
      </c>
      <c r="L7" s="12" t="s">
        <v>1265</v>
      </c>
      <c r="M7" s="12" t="s">
        <v>128</v>
      </c>
      <c r="N7" s="12" t="s">
        <v>1266</v>
      </c>
      <c r="O7" s="11">
        <v>6</v>
      </c>
    </row>
    <row r="8" spans="1:15" ht="60" customHeight="1" x14ac:dyDescent="0.35">
      <c r="A8" s="11">
        <v>4</v>
      </c>
      <c r="B8" s="12" t="s">
        <v>1267</v>
      </c>
      <c r="C8" s="11">
        <v>2019</v>
      </c>
      <c r="D8" s="12" t="s">
        <v>245</v>
      </c>
      <c r="E8" s="12" t="s">
        <v>1241</v>
      </c>
      <c r="F8" s="12" t="s">
        <v>1268</v>
      </c>
      <c r="G8" s="12" t="s">
        <v>1269</v>
      </c>
      <c r="H8" s="12" t="s">
        <v>1270</v>
      </c>
      <c r="I8" s="12" t="s">
        <v>1271</v>
      </c>
      <c r="J8" s="12" t="s">
        <v>1272</v>
      </c>
      <c r="K8" s="12" t="s">
        <v>49</v>
      </c>
      <c r="L8" s="12" t="s">
        <v>1273</v>
      </c>
      <c r="M8" s="12" t="s">
        <v>128</v>
      </c>
      <c r="N8" s="12" t="s">
        <v>1274</v>
      </c>
      <c r="O8" s="11">
        <v>22</v>
      </c>
    </row>
    <row r="9" spans="1:15" ht="60" customHeight="1" x14ac:dyDescent="0.35">
      <c r="A9" s="11">
        <v>5</v>
      </c>
      <c r="B9" s="12" t="s">
        <v>1275</v>
      </c>
      <c r="C9" s="11">
        <v>2020</v>
      </c>
      <c r="D9" s="12" t="s">
        <v>265</v>
      </c>
      <c r="E9" s="12" t="s">
        <v>1276</v>
      </c>
      <c r="F9" s="12" t="s">
        <v>1277</v>
      </c>
      <c r="G9" s="12" t="s">
        <v>1278</v>
      </c>
      <c r="H9" s="12" t="s">
        <v>1279</v>
      </c>
      <c r="I9" s="12" t="s">
        <v>1280</v>
      </c>
      <c r="J9" s="12" t="s">
        <v>1281</v>
      </c>
      <c r="K9" s="12" t="s">
        <v>49</v>
      </c>
      <c r="L9" s="12" t="s">
        <v>1282</v>
      </c>
      <c r="M9" s="12" t="s">
        <v>266</v>
      </c>
      <c r="N9" s="12" t="s">
        <v>1283</v>
      </c>
      <c r="O9" s="11">
        <v>26</v>
      </c>
    </row>
    <row r="10" spans="1:15" ht="60" customHeight="1" x14ac:dyDescent="0.35">
      <c r="A10" s="11">
        <v>6</v>
      </c>
      <c r="B10" s="12" t="s">
        <v>1284</v>
      </c>
      <c r="C10" s="11">
        <v>2020</v>
      </c>
      <c r="D10" s="12" t="s">
        <v>665</v>
      </c>
      <c r="E10" s="12" t="s">
        <v>1285</v>
      </c>
      <c r="F10" s="12" t="s">
        <v>1286</v>
      </c>
      <c r="G10" s="12" t="s">
        <v>1287</v>
      </c>
      <c r="H10" s="12" t="s">
        <v>1288</v>
      </c>
      <c r="I10" s="12" t="s">
        <v>1289</v>
      </c>
      <c r="J10" s="12" t="s">
        <v>1290</v>
      </c>
      <c r="K10" s="12" t="s">
        <v>49</v>
      </c>
      <c r="L10" s="12" t="s">
        <v>1291</v>
      </c>
      <c r="M10" s="12" t="s">
        <v>540</v>
      </c>
      <c r="N10" s="12" t="s">
        <v>1257</v>
      </c>
      <c r="O10" s="11">
        <v>99</v>
      </c>
    </row>
    <row r="11" spans="1:15" ht="60" customHeight="1" x14ac:dyDescent="0.35">
      <c r="A11" s="11">
        <v>7</v>
      </c>
      <c r="B11" s="12" t="s">
        <v>1292</v>
      </c>
      <c r="C11" s="11">
        <v>2022</v>
      </c>
      <c r="D11" s="12" t="s">
        <v>276</v>
      </c>
      <c r="E11" s="12" t="s">
        <v>1293</v>
      </c>
      <c r="F11" s="12" t="s">
        <v>1294</v>
      </c>
      <c r="G11" s="12" t="s">
        <v>1295</v>
      </c>
      <c r="H11" s="12" t="s">
        <v>1296</v>
      </c>
      <c r="I11" s="12" t="s">
        <v>1297</v>
      </c>
      <c r="J11" s="12" t="s">
        <v>1298</v>
      </c>
      <c r="K11" s="12" t="s">
        <v>49</v>
      </c>
      <c r="L11" s="12" t="s">
        <v>1299</v>
      </c>
      <c r="M11" s="12" t="s">
        <v>266</v>
      </c>
      <c r="N11" s="12" t="s">
        <v>1300</v>
      </c>
      <c r="O11" s="11">
        <v>28</v>
      </c>
    </row>
    <row r="12" spans="1:15" ht="60" customHeight="1" x14ac:dyDescent="0.35">
      <c r="A12" s="11">
        <v>8</v>
      </c>
      <c r="B12" s="12" t="s">
        <v>1301</v>
      </c>
      <c r="C12" s="11">
        <v>2023</v>
      </c>
      <c r="D12" s="12" t="s">
        <v>304</v>
      </c>
      <c r="E12" s="12" t="s">
        <v>1259</v>
      </c>
      <c r="F12" s="12" t="s">
        <v>1302</v>
      </c>
      <c r="G12" s="12" t="s">
        <v>1303</v>
      </c>
      <c r="H12" s="12" t="s">
        <v>1304</v>
      </c>
      <c r="I12" s="12" t="s">
        <v>1305</v>
      </c>
      <c r="J12" s="12" t="s">
        <v>1306</v>
      </c>
      <c r="K12" s="12" t="s">
        <v>49</v>
      </c>
      <c r="L12" s="12" t="s">
        <v>1307</v>
      </c>
      <c r="M12" s="12" t="s">
        <v>266</v>
      </c>
      <c r="N12" s="12" t="s">
        <v>1308</v>
      </c>
      <c r="O12" s="11">
        <v>33</v>
      </c>
    </row>
    <row r="13" spans="1:15" ht="60" customHeight="1" x14ac:dyDescent="0.35">
      <c r="A13" s="11">
        <v>9</v>
      </c>
      <c r="B13" s="12" t="s">
        <v>1309</v>
      </c>
      <c r="C13" s="11">
        <v>2023</v>
      </c>
      <c r="D13" s="12" t="s">
        <v>304</v>
      </c>
      <c r="E13" s="12" t="s">
        <v>1310</v>
      </c>
      <c r="F13" s="12" t="s">
        <v>1311</v>
      </c>
      <c r="G13" s="12" t="s">
        <v>1312</v>
      </c>
      <c r="H13" s="12" t="s">
        <v>1313</v>
      </c>
      <c r="I13" s="12" t="s">
        <v>1314</v>
      </c>
      <c r="J13" s="12" t="s">
        <v>1315</v>
      </c>
      <c r="K13" s="12" t="s">
        <v>49</v>
      </c>
      <c r="L13" s="12" t="s">
        <v>1316</v>
      </c>
      <c r="M13" s="12" t="s">
        <v>540</v>
      </c>
      <c r="N13" s="12" t="s">
        <v>1308</v>
      </c>
      <c r="O13" s="11">
        <v>82</v>
      </c>
    </row>
    <row r="14" spans="1:15" ht="66.5" customHeight="1" x14ac:dyDescent="0.35">
      <c r="A14" s="11">
        <v>10</v>
      </c>
      <c r="B14" s="12" t="s">
        <v>1317</v>
      </c>
      <c r="C14" s="11">
        <v>2025</v>
      </c>
      <c r="D14" s="12" t="s">
        <v>383</v>
      </c>
      <c r="E14" s="12" t="s">
        <v>1318</v>
      </c>
      <c r="F14" s="12" t="s">
        <v>1319</v>
      </c>
      <c r="G14" s="12" t="s">
        <v>1320</v>
      </c>
      <c r="H14" s="12" t="s">
        <v>1321</v>
      </c>
      <c r="I14" s="12" t="s">
        <v>1322</v>
      </c>
      <c r="J14" s="12" t="s">
        <v>1323</v>
      </c>
      <c r="K14" s="12" t="s">
        <v>49</v>
      </c>
      <c r="L14" s="12" t="s">
        <v>1324</v>
      </c>
      <c r="M14" s="12" t="s">
        <v>266</v>
      </c>
      <c r="N14" s="12" t="s">
        <v>1283</v>
      </c>
      <c r="O14" s="11">
        <v>47</v>
      </c>
    </row>
    <row r="15" spans="1:15" ht="60" customHeight="1" x14ac:dyDescent="0.35">
      <c r="A15" s="11">
        <v>11</v>
      </c>
      <c r="B15" s="12" t="s">
        <v>1325</v>
      </c>
      <c r="C15" s="11">
        <v>2025</v>
      </c>
      <c r="D15" s="12" t="s">
        <v>388</v>
      </c>
      <c r="E15" s="12" t="s">
        <v>1326</v>
      </c>
      <c r="F15" s="12" t="s">
        <v>1327</v>
      </c>
      <c r="G15" s="12" t="s">
        <v>1328</v>
      </c>
      <c r="H15" s="12" t="s">
        <v>1329</v>
      </c>
      <c r="I15" s="12" t="s">
        <v>1330</v>
      </c>
      <c r="J15" s="12" t="s">
        <v>1331</v>
      </c>
      <c r="K15" s="12" t="s">
        <v>49</v>
      </c>
      <c r="L15" s="12" t="s">
        <v>1332</v>
      </c>
      <c r="M15" s="12" t="s">
        <v>266</v>
      </c>
      <c r="N15" s="12" t="s">
        <v>1248</v>
      </c>
      <c r="O15" s="11">
        <v>48</v>
      </c>
    </row>
    <row r="16" spans="1:15" ht="60" customHeight="1" x14ac:dyDescent="0.35">
      <c r="A16" s="11">
        <v>12</v>
      </c>
      <c r="B16" s="12" t="s">
        <v>1333</v>
      </c>
      <c r="C16" s="11">
        <v>2025</v>
      </c>
      <c r="D16" s="12" t="s">
        <v>271</v>
      </c>
      <c r="E16" s="12" t="s">
        <v>1334</v>
      </c>
      <c r="F16" s="12" t="s">
        <v>1335</v>
      </c>
      <c r="G16" s="12" t="s">
        <v>1336</v>
      </c>
      <c r="H16" s="12" t="s">
        <v>1337</v>
      </c>
      <c r="I16" s="12" t="s">
        <v>1338</v>
      </c>
      <c r="J16" s="12" t="s">
        <v>1339</v>
      </c>
      <c r="K16" s="12" t="s">
        <v>49</v>
      </c>
      <c r="L16" s="12" t="s">
        <v>1340</v>
      </c>
      <c r="M16" s="12" t="s">
        <v>266</v>
      </c>
      <c r="N16" s="12" t="s">
        <v>1283</v>
      </c>
      <c r="O16" s="11">
        <v>27</v>
      </c>
    </row>
    <row r="17" spans="1:15" ht="60" customHeight="1" x14ac:dyDescent="0.35">
      <c r="A17" s="11">
        <v>13</v>
      </c>
      <c r="B17" s="12" t="s">
        <v>1341</v>
      </c>
      <c r="C17" s="11">
        <v>2026</v>
      </c>
      <c r="D17" s="12" t="s">
        <v>287</v>
      </c>
      <c r="E17" s="12" t="s">
        <v>1342</v>
      </c>
      <c r="F17" s="12" t="s">
        <v>1343</v>
      </c>
      <c r="G17" s="12" t="s">
        <v>1344</v>
      </c>
      <c r="H17" s="12" t="s">
        <v>1345</v>
      </c>
      <c r="I17" s="12" t="s">
        <v>1346</v>
      </c>
      <c r="J17" s="12" t="s">
        <v>1347</v>
      </c>
      <c r="K17" s="12" t="s">
        <v>49</v>
      </c>
      <c r="L17" s="12" t="s">
        <v>1348</v>
      </c>
      <c r="M17" s="12" t="s">
        <v>266</v>
      </c>
      <c r="N17" s="12" t="s">
        <v>1349</v>
      </c>
      <c r="O17" s="11">
        <v>30</v>
      </c>
    </row>
    <row r="18" spans="1:15" ht="60" customHeight="1" x14ac:dyDescent="0.35">
      <c r="A18" s="11">
        <v>14</v>
      </c>
      <c r="B18" s="12" t="s">
        <v>1350</v>
      </c>
      <c r="C18" s="11">
        <v>2021</v>
      </c>
      <c r="D18" s="12" t="s">
        <v>1194</v>
      </c>
      <c r="E18" s="12" t="s">
        <v>1351</v>
      </c>
      <c r="F18" s="12" t="s">
        <v>1352</v>
      </c>
      <c r="G18" s="12" t="s">
        <v>1353</v>
      </c>
      <c r="H18" s="12" t="s">
        <v>1354</v>
      </c>
      <c r="I18" s="12" t="s">
        <v>1355</v>
      </c>
      <c r="J18" s="12" t="s">
        <v>1356</v>
      </c>
      <c r="K18" s="12" t="s">
        <v>50</v>
      </c>
      <c r="L18" s="12" t="s">
        <v>1357</v>
      </c>
      <c r="M18" s="12" t="s">
        <v>1195</v>
      </c>
      <c r="N18" s="12" t="s">
        <v>1358</v>
      </c>
      <c r="O18" s="11">
        <v>200</v>
      </c>
    </row>
    <row r="19" spans="1:15" ht="60" customHeight="1" x14ac:dyDescent="0.35">
      <c r="A19" s="11">
        <v>15</v>
      </c>
      <c r="B19" s="12" t="s">
        <v>1359</v>
      </c>
      <c r="C19" s="11">
        <v>2023</v>
      </c>
      <c r="D19" s="12" t="s">
        <v>681</v>
      </c>
      <c r="E19" s="12" t="s">
        <v>1360</v>
      </c>
      <c r="F19" s="12" t="s">
        <v>1361</v>
      </c>
      <c r="G19" s="12" t="s">
        <v>1362</v>
      </c>
      <c r="H19" s="12" t="s">
        <v>1363</v>
      </c>
      <c r="I19" s="12" t="s">
        <v>1364</v>
      </c>
      <c r="J19" s="12" t="s">
        <v>1365</v>
      </c>
      <c r="K19" s="12" t="s">
        <v>50</v>
      </c>
      <c r="L19" s="12" t="s">
        <v>1366</v>
      </c>
      <c r="M19" s="12" t="s">
        <v>675</v>
      </c>
      <c r="N19" s="12" t="s">
        <v>1367</v>
      </c>
      <c r="O19" s="11">
        <v>102</v>
      </c>
    </row>
    <row r="20" spans="1:15" ht="60" customHeight="1" x14ac:dyDescent="0.35">
      <c r="A20" s="11">
        <v>16</v>
      </c>
      <c r="B20" s="12" t="s">
        <v>1368</v>
      </c>
      <c r="C20" s="11">
        <v>2023</v>
      </c>
      <c r="D20" s="12" t="s">
        <v>1205</v>
      </c>
      <c r="E20" s="12" t="s">
        <v>1369</v>
      </c>
      <c r="F20" s="12" t="s">
        <v>1370</v>
      </c>
      <c r="G20" s="12" t="s">
        <v>1371</v>
      </c>
      <c r="H20" s="12" t="s">
        <v>1372</v>
      </c>
      <c r="I20" s="12" t="s">
        <v>1373</v>
      </c>
      <c r="J20" s="12" t="s">
        <v>1374</v>
      </c>
      <c r="K20" s="12" t="s">
        <v>50</v>
      </c>
      <c r="L20" s="12" t="s">
        <v>1207</v>
      </c>
      <c r="M20" s="12" t="s">
        <v>1200</v>
      </c>
      <c r="N20" s="12" t="s">
        <v>1375</v>
      </c>
      <c r="O20" s="11">
        <v>202</v>
      </c>
    </row>
    <row r="21" spans="1:15" ht="60" customHeight="1" x14ac:dyDescent="0.35">
      <c r="A21" s="11">
        <v>17</v>
      </c>
      <c r="B21" s="12" t="s">
        <v>1376</v>
      </c>
      <c r="C21" s="11">
        <v>2024</v>
      </c>
      <c r="D21" s="12" t="s">
        <v>760</v>
      </c>
      <c r="E21" s="12" t="s">
        <v>1351</v>
      </c>
      <c r="F21" s="12" t="s">
        <v>1377</v>
      </c>
      <c r="G21" s="12" t="s">
        <v>1378</v>
      </c>
      <c r="H21" s="12" t="s">
        <v>1379</v>
      </c>
      <c r="I21" s="12" t="s">
        <v>1380</v>
      </c>
      <c r="J21" s="12" t="s">
        <v>1381</v>
      </c>
      <c r="K21" s="12" t="s">
        <v>50</v>
      </c>
      <c r="L21" s="12" t="s">
        <v>1382</v>
      </c>
      <c r="M21" s="12" t="s">
        <v>675</v>
      </c>
      <c r="N21" s="12" t="s">
        <v>1383</v>
      </c>
      <c r="O21" s="11">
        <v>118</v>
      </c>
    </row>
    <row r="22" spans="1:15" ht="60" customHeight="1" x14ac:dyDescent="0.35">
      <c r="A22" s="11">
        <v>18</v>
      </c>
      <c r="B22" s="12" t="s">
        <v>1384</v>
      </c>
      <c r="C22" s="11">
        <v>2025</v>
      </c>
      <c r="D22" s="12" t="s">
        <v>1187</v>
      </c>
      <c r="E22" s="12" t="s">
        <v>1351</v>
      </c>
      <c r="F22" s="12" t="s">
        <v>1385</v>
      </c>
      <c r="G22" s="12" t="s">
        <v>1386</v>
      </c>
      <c r="H22" s="12" t="s">
        <v>1387</v>
      </c>
      <c r="I22" s="12" t="s">
        <v>1388</v>
      </c>
      <c r="J22" s="12" t="s">
        <v>1389</v>
      </c>
      <c r="K22" s="12" t="s">
        <v>50</v>
      </c>
      <c r="L22" s="12" t="s">
        <v>1390</v>
      </c>
      <c r="M22" s="12" t="s">
        <v>1188</v>
      </c>
      <c r="N22" s="12" t="s">
        <v>1358</v>
      </c>
      <c r="O22" s="11">
        <v>199</v>
      </c>
    </row>
    <row r="23" spans="1:15" ht="60" customHeight="1" x14ac:dyDescent="0.35">
      <c r="A23" s="11">
        <v>19</v>
      </c>
      <c r="B23" s="12" t="s">
        <v>1391</v>
      </c>
      <c r="C23" s="11">
        <v>2023</v>
      </c>
      <c r="D23" s="12" t="s">
        <v>497</v>
      </c>
      <c r="E23" s="12" t="s">
        <v>1392</v>
      </c>
      <c r="F23" s="12" t="s">
        <v>1393</v>
      </c>
      <c r="G23" s="12" t="s">
        <v>1394</v>
      </c>
      <c r="H23" s="12" t="s">
        <v>1395</v>
      </c>
      <c r="I23" s="12" t="s">
        <v>1396</v>
      </c>
      <c r="J23" s="12" t="s">
        <v>1397</v>
      </c>
      <c r="K23" s="12" t="s">
        <v>51</v>
      </c>
      <c r="L23" s="12" t="s">
        <v>1398</v>
      </c>
      <c r="M23" s="12" t="s">
        <v>405</v>
      </c>
      <c r="N23" s="12" t="s">
        <v>1266</v>
      </c>
      <c r="O23" s="11">
        <v>68</v>
      </c>
    </row>
    <row r="24" spans="1:15" ht="60" customHeight="1" x14ac:dyDescent="0.35">
      <c r="A24" s="11">
        <v>20</v>
      </c>
      <c r="B24" s="12" t="s">
        <v>1399</v>
      </c>
      <c r="C24" s="11">
        <v>2024</v>
      </c>
      <c r="D24" s="12" t="s">
        <v>913</v>
      </c>
      <c r="E24" s="12" t="s">
        <v>1400</v>
      </c>
      <c r="F24" s="12" t="s">
        <v>1401</v>
      </c>
      <c r="G24" s="12" t="s">
        <v>1402</v>
      </c>
      <c r="H24" s="12" t="s">
        <v>1403</v>
      </c>
      <c r="I24" s="12" t="s">
        <v>1404</v>
      </c>
      <c r="J24" s="12" t="s">
        <v>1405</v>
      </c>
      <c r="K24" s="12" t="s">
        <v>51</v>
      </c>
      <c r="L24" s="12" t="s">
        <v>1202</v>
      </c>
      <c r="M24" s="12" t="s">
        <v>1200</v>
      </c>
      <c r="N24" s="12" t="s">
        <v>1248</v>
      </c>
      <c r="O24" s="11">
        <v>201</v>
      </c>
    </row>
    <row r="25" spans="1:15" ht="60" customHeight="1" x14ac:dyDescent="0.35">
      <c r="A25" s="11">
        <v>21</v>
      </c>
      <c r="B25" s="12" t="s">
        <v>1406</v>
      </c>
      <c r="C25" s="11">
        <v>2024</v>
      </c>
      <c r="D25" s="12" t="s">
        <v>1215</v>
      </c>
      <c r="E25" s="12" t="s">
        <v>1407</v>
      </c>
      <c r="F25" s="12" t="s">
        <v>1408</v>
      </c>
      <c r="G25" s="12" t="s">
        <v>1409</v>
      </c>
      <c r="H25" s="12" t="s">
        <v>1410</v>
      </c>
      <c r="I25" s="12" t="s">
        <v>1411</v>
      </c>
      <c r="J25" s="12" t="s">
        <v>1412</v>
      </c>
      <c r="K25" s="12" t="s">
        <v>51</v>
      </c>
      <c r="L25" s="12" t="s">
        <v>1217</v>
      </c>
      <c r="M25" s="12" t="s">
        <v>1188</v>
      </c>
      <c r="N25" s="12" t="s">
        <v>1413</v>
      </c>
      <c r="O25" s="11">
        <v>204</v>
      </c>
    </row>
    <row r="26" spans="1:15" ht="60" customHeight="1" x14ac:dyDescent="0.35">
      <c r="A26" s="11">
        <v>22</v>
      </c>
      <c r="B26" s="12" t="s">
        <v>1414</v>
      </c>
      <c r="C26" s="11">
        <v>2024</v>
      </c>
      <c r="D26" s="12" t="s">
        <v>760</v>
      </c>
      <c r="E26" s="12" t="s">
        <v>1407</v>
      </c>
      <c r="F26" s="12" t="s">
        <v>1415</v>
      </c>
      <c r="G26" s="12" t="s">
        <v>1416</v>
      </c>
      <c r="H26" s="12" t="s">
        <v>1417</v>
      </c>
      <c r="I26" s="12" t="s">
        <v>1418</v>
      </c>
      <c r="J26" s="12" t="s">
        <v>1419</v>
      </c>
      <c r="K26" s="12" t="s">
        <v>51</v>
      </c>
      <c r="L26" s="12" t="s">
        <v>1226</v>
      </c>
      <c r="M26" s="12" t="s">
        <v>1200</v>
      </c>
      <c r="N26" s="12" t="s">
        <v>1383</v>
      </c>
      <c r="O26" s="11">
        <v>206</v>
      </c>
    </row>
    <row r="27" spans="1:15" ht="60" customHeight="1" x14ac:dyDescent="0.35">
      <c r="A27" s="11">
        <v>23</v>
      </c>
      <c r="B27" s="12" t="s">
        <v>1420</v>
      </c>
      <c r="C27" s="11">
        <v>2025</v>
      </c>
      <c r="D27" s="12" t="s">
        <v>309</v>
      </c>
      <c r="E27" s="12" t="s">
        <v>1421</v>
      </c>
      <c r="F27" s="12" t="s">
        <v>1422</v>
      </c>
      <c r="G27" s="12" t="s">
        <v>1423</v>
      </c>
      <c r="H27" s="12" t="s">
        <v>1424</v>
      </c>
      <c r="I27" s="12" t="s">
        <v>1425</v>
      </c>
      <c r="J27" s="12" t="s">
        <v>1426</v>
      </c>
      <c r="K27" s="12" t="s">
        <v>51</v>
      </c>
      <c r="L27" s="12" t="s">
        <v>1427</v>
      </c>
      <c r="M27" s="12" t="s">
        <v>266</v>
      </c>
      <c r="N27" s="12" t="s">
        <v>1358</v>
      </c>
      <c r="O27" s="11">
        <v>34</v>
      </c>
    </row>
    <row r="28" spans="1:15" ht="60" customHeight="1" x14ac:dyDescent="0.35">
      <c r="A28" s="11">
        <v>24</v>
      </c>
      <c r="B28" s="12" t="s">
        <v>1428</v>
      </c>
      <c r="C28" s="11">
        <v>2023</v>
      </c>
      <c r="D28" s="12" t="s">
        <v>829</v>
      </c>
      <c r="E28" s="12" t="s">
        <v>1429</v>
      </c>
      <c r="F28" s="12" t="s">
        <v>1430</v>
      </c>
      <c r="G28" s="12" t="s">
        <v>1431</v>
      </c>
      <c r="H28" s="12" t="s">
        <v>1432</v>
      </c>
      <c r="I28" s="12" t="s">
        <v>1433</v>
      </c>
      <c r="J28" s="12" t="s">
        <v>1434</v>
      </c>
      <c r="K28" s="12" t="s">
        <v>52</v>
      </c>
      <c r="L28" s="12" t="s">
        <v>1435</v>
      </c>
      <c r="M28" s="12" t="s">
        <v>803</v>
      </c>
      <c r="N28" s="12" t="s">
        <v>1383</v>
      </c>
      <c r="O28" s="11">
        <v>131</v>
      </c>
    </row>
    <row r="29" spans="1:15" ht="60" customHeight="1" x14ac:dyDescent="0.35">
      <c r="A29" s="11">
        <v>25</v>
      </c>
      <c r="B29" s="12" t="s">
        <v>1436</v>
      </c>
      <c r="C29" s="11">
        <v>2024</v>
      </c>
      <c r="D29" s="12" t="s">
        <v>802</v>
      </c>
      <c r="E29" s="12" t="s">
        <v>1437</v>
      </c>
      <c r="F29" s="12" t="s">
        <v>1438</v>
      </c>
      <c r="G29" s="12" t="s">
        <v>1439</v>
      </c>
      <c r="H29" s="12" t="s">
        <v>1440</v>
      </c>
      <c r="I29" s="12" t="s">
        <v>1441</v>
      </c>
      <c r="J29" s="12" t="s">
        <v>1442</v>
      </c>
      <c r="K29" s="12" t="s">
        <v>52</v>
      </c>
      <c r="L29" s="12" t="s">
        <v>1443</v>
      </c>
      <c r="M29" s="12" t="s">
        <v>803</v>
      </c>
      <c r="N29" s="12" t="s">
        <v>1444</v>
      </c>
      <c r="O29" s="11">
        <v>126</v>
      </c>
    </row>
    <row r="30" spans="1:15" ht="60" customHeight="1" x14ac:dyDescent="0.35">
      <c r="A30" s="11">
        <v>26</v>
      </c>
      <c r="B30" s="12" t="s">
        <v>1445</v>
      </c>
      <c r="C30" s="11">
        <v>2024</v>
      </c>
      <c r="D30" s="12" t="s">
        <v>890</v>
      </c>
      <c r="E30" s="12" t="s">
        <v>1446</v>
      </c>
      <c r="F30" s="12" t="s">
        <v>1447</v>
      </c>
      <c r="G30" s="12" t="s">
        <v>1448</v>
      </c>
      <c r="H30" s="12" t="s">
        <v>1449</v>
      </c>
      <c r="I30" s="12" t="s">
        <v>1450</v>
      </c>
      <c r="J30" s="12" t="s">
        <v>1451</v>
      </c>
      <c r="K30" s="12" t="s">
        <v>52</v>
      </c>
      <c r="L30" s="12" t="s">
        <v>1452</v>
      </c>
      <c r="M30" s="12" t="s">
        <v>803</v>
      </c>
      <c r="N30" s="12" t="s">
        <v>1283</v>
      </c>
      <c r="O30" s="11">
        <v>143</v>
      </c>
    </row>
    <row r="31" spans="1:15" ht="60" customHeight="1" x14ac:dyDescent="0.35">
      <c r="A31" s="11">
        <v>27</v>
      </c>
      <c r="B31" s="12" t="s">
        <v>1453</v>
      </c>
      <c r="C31" s="11">
        <v>2024</v>
      </c>
      <c r="D31" s="12" t="s">
        <v>1210</v>
      </c>
      <c r="E31" s="12" t="s">
        <v>1454</v>
      </c>
      <c r="F31" s="12" t="s">
        <v>1455</v>
      </c>
      <c r="G31" s="12" t="s">
        <v>1456</v>
      </c>
      <c r="H31" s="12" t="s">
        <v>1457</v>
      </c>
      <c r="I31" s="12" t="s">
        <v>1458</v>
      </c>
      <c r="J31" s="12" t="s">
        <v>1459</v>
      </c>
      <c r="K31" s="12" t="s">
        <v>52</v>
      </c>
      <c r="L31" s="12" t="s">
        <v>1460</v>
      </c>
      <c r="M31" s="12" t="s">
        <v>1200</v>
      </c>
      <c r="N31" s="12" t="s">
        <v>1461</v>
      </c>
      <c r="O31" s="11">
        <v>203</v>
      </c>
    </row>
    <row r="32" spans="1:15" ht="60" customHeight="1" x14ac:dyDescent="0.35">
      <c r="A32" s="11">
        <v>28</v>
      </c>
      <c r="B32" s="12" t="s">
        <v>1462</v>
      </c>
      <c r="C32" s="11">
        <v>2024</v>
      </c>
      <c r="D32" s="12" t="s">
        <v>913</v>
      </c>
      <c r="E32" s="12" t="s">
        <v>1463</v>
      </c>
      <c r="F32" s="12" t="s">
        <v>1464</v>
      </c>
      <c r="G32" s="12" t="s">
        <v>1465</v>
      </c>
      <c r="H32" s="12" t="s">
        <v>1466</v>
      </c>
      <c r="I32" s="12" t="s">
        <v>1467</v>
      </c>
      <c r="J32" s="12" t="s">
        <v>1468</v>
      </c>
      <c r="K32" s="12" t="s">
        <v>52</v>
      </c>
      <c r="L32" s="12" t="s">
        <v>1469</v>
      </c>
      <c r="M32" s="12" t="s">
        <v>803</v>
      </c>
      <c r="N32" s="12" t="s">
        <v>1248</v>
      </c>
      <c r="O32" s="11">
        <v>148</v>
      </c>
    </row>
    <row r="33" spans="1:15" ht="60" customHeight="1" x14ac:dyDescent="0.35">
      <c r="A33" s="11">
        <v>29</v>
      </c>
      <c r="B33" s="12" t="s">
        <v>1470</v>
      </c>
      <c r="C33" s="11">
        <v>2024</v>
      </c>
      <c r="D33" s="12" t="s">
        <v>880</v>
      </c>
      <c r="E33" s="12" t="s">
        <v>1471</v>
      </c>
      <c r="F33" s="12" t="s">
        <v>1472</v>
      </c>
      <c r="G33" s="12" t="s">
        <v>1473</v>
      </c>
      <c r="H33" s="12" t="s">
        <v>1474</v>
      </c>
      <c r="I33" s="12" t="s">
        <v>1475</v>
      </c>
      <c r="J33" s="12" t="s">
        <v>1476</v>
      </c>
      <c r="K33" s="12" t="s">
        <v>52</v>
      </c>
      <c r="L33" s="12" t="s">
        <v>1477</v>
      </c>
      <c r="M33" s="12" t="s">
        <v>803</v>
      </c>
      <c r="N33" s="12" t="s">
        <v>1283</v>
      </c>
      <c r="O33" s="11">
        <v>141</v>
      </c>
    </row>
    <row r="34" spans="1:15" ht="60" customHeight="1" x14ac:dyDescent="0.35">
      <c r="A34" s="11">
        <v>30</v>
      </c>
      <c r="B34" s="12" t="s">
        <v>1478</v>
      </c>
      <c r="C34" s="11">
        <v>2024</v>
      </c>
      <c r="D34" s="12" t="s">
        <v>849</v>
      </c>
      <c r="E34" s="12" t="s">
        <v>1479</v>
      </c>
      <c r="F34" s="12" t="s">
        <v>1480</v>
      </c>
      <c r="G34" s="12" t="s">
        <v>1481</v>
      </c>
      <c r="H34" s="12" t="s">
        <v>1482</v>
      </c>
      <c r="I34" s="12" t="s">
        <v>1483</v>
      </c>
      <c r="J34" s="12" t="s">
        <v>1484</v>
      </c>
      <c r="K34" s="12" t="s">
        <v>52</v>
      </c>
      <c r="L34" s="12" t="s">
        <v>1485</v>
      </c>
      <c r="M34" s="12" t="s">
        <v>803</v>
      </c>
      <c r="N34" s="12" t="s">
        <v>1283</v>
      </c>
      <c r="O34" s="11">
        <v>135</v>
      </c>
    </row>
    <row r="35" spans="1:15" ht="60" customHeight="1" x14ac:dyDescent="0.35">
      <c r="A35" s="11">
        <v>31</v>
      </c>
      <c r="B35" s="12" t="s">
        <v>1486</v>
      </c>
      <c r="C35" s="11">
        <v>2024</v>
      </c>
      <c r="D35" s="12" t="s">
        <v>880</v>
      </c>
      <c r="E35" s="12" t="s">
        <v>1487</v>
      </c>
      <c r="F35" s="12" t="s">
        <v>1488</v>
      </c>
      <c r="G35" s="12" t="s">
        <v>1489</v>
      </c>
      <c r="H35" s="12" t="s">
        <v>1490</v>
      </c>
      <c r="I35" s="12" t="s">
        <v>1491</v>
      </c>
      <c r="J35" s="12" t="s">
        <v>1492</v>
      </c>
      <c r="K35" s="12" t="s">
        <v>52</v>
      </c>
      <c r="L35" s="12" t="s">
        <v>1493</v>
      </c>
      <c r="M35" s="12" t="s">
        <v>803</v>
      </c>
      <c r="N35" s="12" t="s">
        <v>1283</v>
      </c>
      <c r="O35" s="11">
        <v>147</v>
      </c>
    </row>
    <row r="36" spans="1:15" ht="60" customHeight="1" x14ac:dyDescent="0.35">
      <c r="A36" s="11">
        <v>32</v>
      </c>
      <c r="B36" s="12" t="s">
        <v>1494</v>
      </c>
      <c r="C36" s="11">
        <v>2025</v>
      </c>
      <c r="D36" s="12" t="s">
        <v>233</v>
      </c>
      <c r="E36" s="12" t="s">
        <v>1334</v>
      </c>
      <c r="F36" s="12" t="s">
        <v>1495</v>
      </c>
      <c r="G36" s="12" t="s">
        <v>1496</v>
      </c>
      <c r="H36" s="12" t="s">
        <v>1497</v>
      </c>
      <c r="I36" s="12" t="s">
        <v>1498</v>
      </c>
      <c r="J36" s="12" t="s">
        <v>1499</v>
      </c>
      <c r="K36" s="12" t="s">
        <v>52</v>
      </c>
      <c r="L36" s="12" t="s">
        <v>1500</v>
      </c>
      <c r="M36" s="12" t="s">
        <v>234</v>
      </c>
      <c r="N36" s="12" t="s">
        <v>1461</v>
      </c>
      <c r="O36" s="11">
        <v>20</v>
      </c>
    </row>
    <row r="37" spans="1:15" ht="60" customHeight="1" x14ac:dyDescent="0.35">
      <c r="A37" s="11">
        <v>33</v>
      </c>
      <c r="B37" s="12" t="s">
        <v>1501</v>
      </c>
      <c r="C37" s="11">
        <v>2025</v>
      </c>
      <c r="D37" s="12" t="s">
        <v>819</v>
      </c>
      <c r="E37" s="12" t="s">
        <v>1502</v>
      </c>
      <c r="F37" s="12" t="s">
        <v>1503</v>
      </c>
      <c r="G37" s="12" t="s">
        <v>1504</v>
      </c>
      <c r="H37" s="12" t="s">
        <v>1505</v>
      </c>
      <c r="I37" s="12" t="s">
        <v>1506</v>
      </c>
      <c r="J37" s="12" t="s">
        <v>1507</v>
      </c>
      <c r="K37" s="12" t="s">
        <v>52</v>
      </c>
      <c r="L37" s="12" t="s">
        <v>1508</v>
      </c>
      <c r="M37" s="12" t="s">
        <v>803</v>
      </c>
      <c r="N37" s="12" t="s">
        <v>1444</v>
      </c>
      <c r="O37" s="11">
        <v>129</v>
      </c>
    </row>
    <row r="38" spans="1:15" ht="60" customHeight="1" x14ac:dyDescent="0.35">
      <c r="A38" s="11">
        <v>34</v>
      </c>
      <c r="B38" s="12" t="s">
        <v>1509</v>
      </c>
      <c r="C38" s="11">
        <v>2026</v>
      </c>
      <c r="D38" s="12" t="s">
        <v>875</v>
      </c>
      <c r="E38" s="12" t="s">
        <v>1479</v>
      </c>
      <c r="F38" s="12" t="s">
        <v>1510</v>
      </c>
      <c r="G38" s="12" t="s">
        <v>1511</v>
      </c>
      <c r="H38" s="12" t="s">
        <v>1512</v>
      </c>
      <c r="I38" s="12" t="s">
        <v>1513</v>
      </c>
      <c r="J38" s="12" t="s">
        <v>1514</v>
      </c>
      <c r="K38" s="12" t="s">
        <v>52</v>
      </c>
      <c r="L38" s="12" t="s">
        <v>1515</v>
      </c>
      <c r="M38" s="12" t="s">
        <v>803</v>
      </c>
      <c r="N38" s="12" t="s">
        <v>1444</v>
      </c>
      <c r="O38" s="11">
        <v>140</v>
      </c>
    </row>
    <row r="39" spans="1:15" ht="60" customHeight="1" x14ac:dyDescent="0.35">
      <c r="A39" s="11">
        <v>35</v>
      </c>
      <c r="B39" s="12" t="s">
        <v>1516</v>
      </c>
      <c r="C39" s="11">
        <v>2026</v>
      </c>
      <c r="D39" s="12" t="s">
        <v>292</v>
      </c>
      <c r="E39" s="12" t="s">
        <v>1517</v>
      </c>
      <c r="F39" s="12" t="s">
        <v>1518</v>
      </c>
      <c r="G39" s="12" t="s">
        <v>1519</v>
      </c>
      <c r="H39" s="12" t="s">
        <v>1520</v>
      </c>
      <c r="I39" s="12" t="s">
        <v>1521</v>
      </c>
      <c r="J39" s="12" t="s">
        <v>1522</v>
      </c>
      <c r="K39" s="12" t="s">
        <v>52</v>
      </c>
      <c r="L39" s="12" t="s">
        <v>1523</v>
      </c>
      <c r="M39" s="12" t="s">
        <v>293</v>
      </c>
      <c r="N39" s="12" t="s">
        <v>1524</v>
      </c>
      <c r="O39" s="11">
        <v>31</v>
      </c>
    </row>
    <row r="40" spans="1:15" ht="60" customHeight="1" x14ac:dyDescent="0.35">
      <c r="A40" s="11">
        <v>36</v>
      </c>
      <c r="B40" s="12" t="s">
        <v>1525</v>
      </c>
      <c r="C40" s="11">
        <v>2018</v>
      </c>
      <c r="D40" s="12" t="s">
        <v>552</v>
      </c>
      <c r="E40" s="12" t="s">
        <v>1526</v>
      </c>
      <c r="F40" s="12" t="s">
        <v>1527</v>
      </c>
      <c r="G40" s="12" t="s">
        <v>1528</v>
      </c>
      <c r="H40" s="12" t="s">
        <v>1529</v>
      </c>
      <c r="I40" s="12" t="s">
        <v>1530</v>
      </c>
      <c r="J40" s="12" t="s">
        <v>1531</v>
      </c>
      <c r="K40" s="12" t="s">
        <v>53</v>
      </c>
      <c r="L40" s="12" t="s">
        <v>1532</v>
      </c>
      <c r="M40" s="12" t="s">
        <v>540</v>
      </c>
      <c r="N40" s="12" t="s">
        <v>1533</v>
      </c>
      <c r="O40" s="11">
        <v>78</v>
      </c>
    </row>
    <row r="41" spans="1:15" ht="60" customHeight="1" x14ac:dyDescent="0.35">
      <c r="A41" s="11">
        <v>37</v>
      </c>
      <c r="B41" s="12" t="s">
        <v>1534</v>
      </c>
      <c r="C41" s="11">
        <v>2020</v>
      </c>
      <c r="D41" s="12" t="s">
        <v>557</v>
      </c>
      <c r="E41" s="12" t="s">
        <v>1526</v>
      </c>
      <c r="F41" s="12" t="s">
        <v>1535</v>
      </c>
      <c r="G41" s="12" t="s">
        <v>1536</v>
      </c>
      <c r="H41" s="12" t="s">
        <v>1537</v>
      </c>
      <c r="I41" s="12" t="s">
        <v>1538</v>
      </c>
      <c r="J41" s="12" t="s">
        <v>1539</v>
      </c>
      <c r="K41" s="12" t="s">
        <v>53</v>
      </c>
      <c r="L41" s="12" t="s">
        <v>1540</v>
      </c>
      <c r="M41" s="12" t="s">
        <v>540</v>
      </c>
      <c r="N41" s="12" t="s">
        <v>1266</v>
      </c>
      <c r="O41" s="11">
        <v>79</v>
      </c>
    </row>
    <row r="42" spans="1:15" ht="60" customHeight="1" x14ac:dyDescent="0.35">
      <c r="A42" s="11">
        <v>38</v>
      </c>
      <c r="B42" s="12" t="s">
        <v>1541</v>
      </c>
      <c r="C42" s="11">
        <v>2024</v>
      </c>
      <c r="D42" s="12" t="s">
        <v>913</v>
      </c>
      <c r="E42" s="12" t="s">
        <v>1542</v>
      </c>
      <c r="F42" s="12" t="s">
        <v>1543</v>
      </c>
      <c r="G42" s="12" t="s">
        <v>1544</v>
      </c>
      <c r="H42" s="12" t="s">
        <v>1545</v>
      </c>
      <c r="I42" s="12" t="s">
        <v>1546</v>
      </c>
      <c r="J42" s="12" t="s">
        <v>1547</v>
      </c>
      <c r="K42" s="12" t="s">
        <v>53</v>
      </c>
      <c r="L42" s="12" t="s">
        <v>1548</v>
      </c>
      <c r="M42" s="12" t="s">
        <v>1054</v>
      </c>
      <c r="N42" s="12" t="s">
        <v>1248</v>
      </c>
      <c r="O42" s="11">
        <v>186</v>
      </c>
    </row>
    <row r="43" spans="1:15" ht="60" customHeight="1" x14ac:dyDescent="0.35">
      <c r="A43" s="11">
        <v>39</v>
      </c>
      <c r="B43" s="12" t="s">
        <v>1549</v>
      </c>
      <c r="C43" s="11">
        <v>2024</v>
      </c>
      <c r="D43" s="12" t="s">
        <v>760</v>
      </c>
      <c r="E43" s="12" t="s">
        <v>1550</v>
      </c>
      <c r="F43" s="12" t="s">
        <v>1551</v>
      </c>
      <c r="G43" s="12" t="s">
        <v>1552</v>
      </c>
      <c r="H43" s="12" t="s">
        <v>1553</v>
      </c>
      <c r="I43" s="12" t="s">
        <v>1554</v>
      </c>
      <c r="J43" s="12" t="s">
        <v>1555</v>
      </c>
      <c r="K43" s="12" t="s">
        <v>53</v>
      </c>
      <c r="L43" s="12" t="s">
        <v>1556</v>
      </c>
      <c r="M43" s="12" t="s">
        <v>1054</v>
      </c>
      <c r="N43" s="12" t="s">
        <v>1383</v>
      </c>
      <c r="O43" s="11">
        <v>192</v>
      </c>
    </row>
    <row r="44" spans="1:15" ht="60" customHeight="1" x14ac:dyDescent="0.35">
      <c r="A44" s="11">
        <v>40</v>
      </c>
      <c r="B44" s="12" t="s">
        <v>1557</v>
      </c>
      <c r="C44" s="11">
        <v>2024</v>
      </c>
      <c r="D44" s="12" t="s">
        <v>1077</v>
      </c>
      <c r="E44" s="12" t="s">
        <v>1558</v>
      </c>
      <c r="F44" s="12" t="s">
        <v>1559</v>
      </c>
      <c r="G44" s="12" t="s">
        <v>1560</v>
      </c>
      <c r="H44" s="12" t="s">
        <v>1561</v>
      </c>
      <c r="I44" s="12" t="s">
        <v>1562</v>
      </c>
      <c r="J44" s="12" t="s">
        <v>1563</v>
      </c>
      <c r="K44" s="12" t="s">
        <v>53</v>
      </c>
      <c r="L44" s="12" t="s">
        <v>1564</v>
      </c>
      <c r="M44" s="12" t="s">
        <v>1054</v>
      </c>
      <c r="N44" s="12" t="s">
        <v>1283</v>
      </c>
      <c r="O44" s="11">
        <v>178</v>
      </c>
    </row>
    <row r="45" spans="1:15" ht="60" customHeight="1" x14ac:dyDescent="0.35">
      <c r="A45" s="11">
        <v>41</v>
      </c>
      <c r="B45" s="12" t="s">
        <v>1565</v>
      </c>
      <c r="C45" s="11">
        <v>2025</v>
      </c>
      <c r="D45" s="12" t="s">
        <v>1135</v>
      </c>
      <c r="E45" s="12" t="s">
        <v>1566</v>
      </c>
      <c r="F45" s="12" t="s">
        <v>1567</v>
      </c>
      <c r="G45" s="12" t="s">
        <v>1568</v>
      </c>
      <c r="H45" s="12" t="s">
        <v>1569</v>
      </c>
      <c r="I45" s="12" t="s">
        <v>1570</v>
      </c>
      <c r="J45" s="12" t="s">
        <v>1571</v>
      </c>
      <c r="K45" s="12" t="s">
        <v>53</v>
      </c>
      <c r="L45" s="12" t="s">
        <v>1572</v>
      </c>
      <c r="M45" s="12" t="s">
        <v>1054</v>
      </c>
      <c r="N45" s="12" t="s">
        <v>1383</v>
      </c>
      <c r="O45" s="11">
        <v>189</v>
      </c>
    </row>
    <row r="46" spans="1:15" ht="60" customHeight="1" x14ac:dyDescent="0.35">
      <c r="A46" s="11">
        <v>42</v>
      </c>
      <c r="B46" s="12" t="s">
        <v>1573</v>
      </c>
      <c r="C46" s="11">
        <v>2025</v>
      </c>
      <c r="D46" s="12" t="s">
        <v>583</v>
      </c>
      <c r="E46" s="12" t="s">
        <v>1574</v>
      </c>
      <c r="F46" s="12" t="s">
        <v>1575</v>
      </c>
      <c r="G46" s="12" t="s">
        <v>1576</v>
      </c>
      <c r="H46" s="12" t="s">
        <v>1577</v>
      </c>
      <c r="I46" s="12" t="s">
        <v>1578</v>
      </c>
      <c r="J46" s="12" t="s">
        <v>1579</v>
      </c>
      <c r="K46" s="12" t="s">
        <v>53</v>
      </c>
      <c r="L46" s="12" t="s">
        <v>1580</v>
      </c>
      <c r="M46" s="12" t="s">
        <v>540</v>
      </c>
      <c r="N46" s="12" t="s">
        <v>1358</v>
      </c>
      <c r="O46" s="11">
        <v>84</v>
      </c>
    </row>
    <row r="47" spans="1:15" ht="60" customHeight="1" x14ac:dyDescent="0.35">
      <c r="A47" s="11">
        <v>43</v>
      </c>
      <c r="B47" s="12" t="s">
        <v>1581</v>
      </c>
      <c r="C47" s="11">
        <v>2026</v>
      </c>
      <c r="D47" s="12" t="s">
        <v>1176</v>
      </c>
      <c r="E47" s="12" t="s">
        <v>1334</v>
      </c>
      <c r="F47" s="12" t="s">
        <v>1582</v>
      </c>
      <c r="G47" s="12" t="s">
        <v>1583</v>
      </c>
      <c r="H47" s="12" t="s">
        <v>1584</v>
      </c>
      <c r="I47" s="12" t="s">
        <v>1585</v>
      </c>
      <c r="J47" s="12" t="s">
        <v>1586</v>
      </c>
      <c r="K47" s="12" t="s">
        <v>53</v>
      </c>
      <c r="L47" s="12" t="s">
        <v>1587</v>
      </c>
      <c r="M47" s="12" t="s">
        <v>1054</v>
      </c>
      <c r="N47" s="12" t="s">
        <v>1358</v>
      </c>
      <c r="O47" s="11">
        <v>197</v>
      </c>
    </row>
    <row r="48" spans="1:15" ht="60" customHeight="1" x14ac:dyDescent="0.35">
      <c r="A48" s="11">
        <v>44</v>
      </c>
      <c r="B48" s="12" t="s">
        <v>1588</v>
      </c>
      <c r="C48" s="11">
        <v>2019</v>
      </c>
      <c r="D48" s="12" t="s">
        <v>245</v>
      </c>
      <c r="E48" s="12" t="s">
        <v>1589</v>
      </c>
      <c r="F48" s="12" t="s">
        <v>1590</v>
      </c>
      <c r="G48" s="12" t="s">
        <v>1591</v>
      </c>
      <c r="H48" s="12" t="s">
        <v>1592</v>
      </c>
      <c r="I48" s="12" t="s">
        <v>1593</v>
      </c>
      <c r="J48" s="12" t="s">
        <v>1594</v>
      </c>
      <c r="K48" s="12" t="s">
        <v>54</v>
      </c>
      <c r="L48" s="12" t="s">
        <v>1595</v>
      </c>
      <c r="M48" s="12" t="s">
        <v>675</v>
      </c>
      <c r="N48" s="12" t="s">
        <v>1248</v>
      </c>
      <c r="O48" s="11">
        <v>105</v>
      </c>
    </row>
    <row r="49" spans="1:15" ht="60" customHeight="1" x14ac:dyDescent="0.35">
      <c r="A49" s="11">
        <v>45</v>
      </c>
      <c r="B49" s="12" t="s">
        <v>1596</v>
      </c>
      <c r="C49" s="11">
        <v>2021</v>
      </c>
      <c r="D49" s="12" t="s">
        <v>704</v>
      </c>
      <c r="E49" s="12" t="s">
        <v>1597</v>
      </c>
      <c r="F49" s="12" t="s">
        <v>1598</v>
      </c>
      <c r="G49" s="12" t="s">
        <v>1599</v>
      </c>
      <c r="H49" s="12" t="s">
        <v>1600</v>
      </c>
      <c r="I49" s="12" t="s">
        <v>1601</v>
      </c>
      <c r="J49" s="12" t="s">
        <v>1602</v>
      </c>
      <c r="K49" s="12" t="s">
        <v>54</v>
      </c>
      <c r="L49" s="12" t="s">
        <v>1603</v>
      </c>
      <c r="M49" s="12" t="s">
        <v>675</v>
      </c>
      <c r="N49" s="12" t="s">
        <v>1248</v>
      </c>
      <c r="O49" s="11">
        <v>107</v>
      </c>
    </row>
    <row r="50" spans="1:15" ht="60" customHeight="1" x14ac:dyDescent="0.35">
      <c r="A50" s="11">
        <v>46</v>
      </c>
      <c r="B50" s="12" t="s">
        <v>1604</v>
      </c>
      <c r="C50" s="11">
        <v>2022</v>
      </c>
      <c r="D50" s="12" t="s">
        <v>756</v>
      </c>
      <c r="E50" s="12" t="s">
        <v>1597</v>
      </c>
      <c r="F50" s="12" t="s">
        <v>1605</v>
      </c>
      <c r="G50" s="12" t="s">
        <v>1606</v>
      </c>
      <c r="H50" s="12" t="s">
        <v>1607</v>
      </c>
      <c r="I50" s="12" t="s">
        <v>1608</v>
      </c>
      <c r="J50" s="12" t="s">
        <v>1609</v>
      </c>
      <c r="K50" s="12" t="s">
        <v>54</v>
      </c>
      <c r="L50" s="12" t="s">
        <v>1610</v>
      </c>
      <c r="M50" s="12" t="s">
        <v>675</v>
      </c>
      <c r="N50" s="12" t="s">
        <v>1413</v>
      </c>
      <c r="O50" s="11">
        <v>117</v>
      </c>
    </row>
    <row r="51" spans="1:15" ht="60" customHeight="1" x14ac:dyDescent="0.35">
      <c r="A51" s="11">
        <v>47</v>
      </c>
      <c r="B51" s="12" t="s">
        <v>1611</v>
      </c>
      <c r="C51" s="11">
        <v>2023</v>
      </c>
      <c r="D51" s="12" t="s">
        <v>730</v>
      </c>
      <c r="E51" s="12" t="s">
        <v>1597</v>
      </c>
      <c r="F51" s="12" t="s">
        <v>1612</v>
      </c>
      <c r="G51" s="12" t="s">
        <v>1613</v>
      </c>
      <c r="H51" s="12" t="s">
        <v>1614</v>
      </c>
      <c r="I51" s="12" t="s">
        <v>1615</v>
      </c>
      <c r="J51" s="12" t="s">
        <v>1616</v>
      </c>
      <c r="K51" s="12" t="s">
        <v>54</v>
      </c>
      <c r="L51" s="12" t="s">
        <v>1617</v>
      </c>
      <c r="M51" s="12" t="s">
        <v>675</v>
      </c>
      <c r="N51" s="12" t="s">
        <v>1248</v>
      </c>
      <c r="O51" s="11">
        <v>112</v>
      </c>
    </row>
    <row r="52" spans="1:15" ht="60" customHeight="1" x14ac:dyDescent="0.35">
      <c r="A52" s="11">
        <v>48</v>
      </c>
      <c r="B52" s="12" t="s">
        <v>1618</v>
      </c>
      <c r="C52" s="11">
        <v>2023</v>
      </c>
      <c r="D52" s="12" t="s">
        <v>791</v>
      </c>
      <c r="E52" s="12" t="s">
        <v>1597</v>
      </c>
      <c r="F52" s="12" t="s">
        <v>1619</v>
      </c>
      <c r="G52" s="12" t="s">
        <v>1620</v>
      </c>
      <c r="H52" s="12" t="s">
        <v>1621</v>
      </c>
      <c r="I52" s="12" t="s">
        <v>1622</v>
      </c>
      <c r="J52" s="12" t="s">
        <v>1623</v>
      </c>
      <c r="K52" s="12" t="s">
        <v>54</v>
      </c>
      <c r="L52" s="12" t="s">
        <v>1624</v>
      </c>
      <c r="M52" s="12" t="s">
        <v>675</v>
      </c>
      <c r="N52" s="12" t="s">
        <v>1413</v>
      </c>
      <c r="O52" s="11">
        <v>124</v>
      </c>
    </row>
    <row r="53" spans="1:15" ht="60" customHeight="1" x14ac:dyDescent="0.35">
      <c r="A53" s="11">
        <v>49</v>
      </c>
      <c r="B53" s="12" t="s">
        <v>1625</v>
      </c>
      <c r="C53" s="11">
        <v>2024</v>
      </c>
      <c r="D53" s="12" t="s">
        <v>741</v>
      </c>
      <c r="E53" s="12" t="s">
        <v>1626</v>
      </c>
      <c r="F53" s="12" t="s">
        <v>1627</v>
      </c>
      <c r="G53" s="12" t="s">
        <v>1628</v>
      </c>
      <c r="H53" s="12" t="s">
        <v>1629</v>
      </c>
      <c r="I53" s="12" t="s">
        <v>1630</v>
      </c>
      <c r="J53" s="12" t="s">
        <v>1631</v>
      </c>
      <c r="K53" s="12" t="s">
        <v>54</v>
      </c>
      <c r="L53" s="12" t="s">
        <v>1632</v>
      </c>
      <c r="M53" s="12" t="s">
        <v>675</v>
      </c>
      <c r="N53" s="12" t="s">
        <v>1358</v>
      </c>
      <c r="O53" s="11">
        <v>114</v>
      </c>
    </row>
    <row r="54" spans="1:15" ht="60" customHeight="1" x14ac:dyDescent="0.35">
      <c r="A54" s="11">
        <v>50</v>
      </c>
      <c r="B54" s="12" t="s">
        <v>1633</v>
      </c>
      <c r="C54" s="11">
        <v>2024</v>
      </c>
      <c r="D54" s="12" t="s">
        <v>775</v>
      </c>
      <c r="E54" s="12" t="s">
        <v>1597</v>
      </c>
      <c r="F54" s="12" t="s">
        <v>1634</v>
      </c>
      <c r="G54" s="12" t="s">
        <v>1635</v>
      </c>
      <c r="H54" s="12" t="s">
        <v>1636</v>
      </c>
      <c r="I54" s="12" t="s">
        <v>1637</v>
      </c>
      <c r="J54" s="12" t="s">
        <v>1638</v>
      </c>
      <c r="K54" s="12" t="s">
        <v>54</v>
      </c>
      <c r="L54" s="12" t="s">
        <v>1639</v>
      </c>
      <c r="M54" s="12" t="s">
        <v>675</v>
      </c>
      <c r="N54" s="12" t="s">
        <v>1358</v>
      </c>
      <c r="O54" s="11">
        <v>121</v>
      </c>
    </row>
    <row r="55" spans="1:15" ht="60" customHeight="1" x14ac:dyDescent="0.35">
      <c r="A55" s="11">
        <v>51</v>
      </c>
      <c r="B55" s="12" t="s">
        <v>1640</v>
      </c>
      <c r="C55" s="11">
        <v>2024</v>
      </c>
      <c r="D55" s="12" t="s">
        <v>780</v>
      </c>
      <c r="E55" s="12" t="s">
        <v>1641</v>
      </c>
      <c r="F55" s="12" t="s">
        <v>1642</v>
      </c>
      <c r="G55" s="12" t="s">
        <v>1643</v>
      </c>
      <c r="H55" s="12" t="s">
        <v>1644</v>
      </c>
      <c r="I55" s="12" t="s">
        <v>1645</v>
      </c>
      <c r="J55" s="12" t="s">
        <v>1646</v>
      </c>
      <c r="K55" s="12" t="s">
        <v>54</v>
      </c>
      <c r="L55" s="12" t="s">
        <v>1647</v>
      </c>
      <c r="M55" s="12" t="s">
        <v>675</v>
      </c>
      <c r="N55" s="12" t="s">
        <v>1358</v>
      </c>
      <c r="O55" s="11">
        <v>122</v>
      </c>
    </row>
    <row r="56" spans="1:15" ht="60" customHeight="1" x14ac:dyDescent="0.35">
      <c r="A56" s="11">
        <v>52</v>
      </c>
      <c r="B56" s="12" t="s">
        <v>1648</v>
      </c>
      <c r="C56" s="11">
        <v>2024</v>
      </c>
      <c r="D56" s="12" t="s">
        <v>771</v>
      </c>
      <c r="E56" s="12" t="s">
        <v>1649</v>
      </c>
      <c r="F56" s="12" t="s">
        <v>1650</v>
      </c>
      <c r="G56" s="12" t="s">
        <v>1651</v>
      </c>
      <c r="H56" s="12" t="s">
        <v>1652</v>
      </c>
      <c r="I56" s="12" t="s">
        <v>1653</v>
      </c>
      <c r="J56" s="12" t="s">
        <v>1654</v>
      </c>
      <c r="K56" s="12" t="s">
        <v>54</v>
      </c>
      <c r="L56" s="12" t="s">
        <v>1655</v>
      </c>
      <c r="M56" s="12" t="s">
        <v>675</v>
      </c>
      <c r="N56" s="12" t="s">
        <v>1358</v>
      </c>
      <c r="O56" s="11">
        <v>120</v>
      </c>
    </row>
    <row r="57" spans="1:15" ht="60" customHeight="1" x14ac:dyDescent="0.35">
      <c r="A57" s="11">
        <v>53</v>
      </c>
      <c r="B57" s="12" t="s">
        <v>1656</v>
      </c>
      <c r="C57" s="11">
        <v>2025</v>
      </c>
      <c r="D57" s="12" t="s">
        <v>745</v>
      </c>
      <c r="E57" s="12" t="s">
        <v>1657</v>
      </c>
      <c r="F57" s="12" t="s">
        <v>1658</v>
      </c>
      <c r="G57" s="12" t="s">
        <v>1659</v>
      </c>
      <c r="H57" s="12" t="s">
        <v>1660</v>
      </c>
      <c r="I57" s="12" t="s">
        <v>1661</v>
      </c>
      <c r="J57" s="12" t="s">
        <v>1662</v>
      </c>
      <c r="K57" s="12" t="s">
        <v>54</v>
      </c>
      <c r="L57" s="12" t="s">
        <v>1663</v>
      </c>
      <c r="M57" s="12" t="s">
        <v>675</v>
      </c>
      <c r="N57" s="12" t="s">
        <v>1358</v>
      </c>
      <c r="O57" s="11">
        <v>115</v>
      </c>
    </row>
    <row r="58" spans="1:15" ht="60" customHeight="1" x14ac:dyDescent="0.35">
      <c r="A58" s="11">
        <v>54</v>
      </c>
      <c r="B58" s="12" t="s">
        <v>1664</v>
      </c>
      <c r="C58" s="11">
        <v>2017</v>
      </c>
      <c r="D58" s="12" t="s">
        <v>178</v>
      </c>
      <c r="E58" s="12" t="s">
        <v>1665</v>
      </c>
      <c r="F58" s="12" t="s">
        <v>1666</v>
      </c>
      <c r="G58" s="12" t="s">
        <v>1667</v>
      </c>
      <c r="H58" s="12" t="s">
        <v>1668</v>
      </c>
      <c r="I58" s="12" t="s">
        <v>1669</v>
      </c>
      <c r="J58" s="12" t="s">
        <v>1670</v>
      </c>
      <c r="K58" s="12" t="s">
        <v>55</v>
      </c>
      <c r="L58" s="12" t="s">
        <v>1671</v>
      </c>
      <c r="M58" s="12" t="s">
        <v>918</v>
      </c>
      <c r="N58" s="12" t="s">
        <v>1533</v>
      </c>
      <c r="O58" s="11">
        <v>149</v>
      </c>
    </row>
    <row r="59" spans="1:15" ht="60" customHeight="1" x14ac:dyDescent="0.35">
      <c r="A59" s="11">
        <v>55</v>
      </c>
      <c r="B59" s="12" t="s">
        <v>1672</v>
      </c>
      <c r="C59" s="11">
        <v>2020</v>
      </c>
      <c r="D59" s="12" t="s">
        <v>923</v>
      </c>
      <c r="E59" s="12" t="s">
        <v>1673</v>
      </c>
      <c r="F59" s="12" t="s">
        <v>1674</v>
      </c>
      <c r="G59" s="12" t="s">
        <v>1675</v>
      </c>
      <c r="H59" s="12" t="s">
        <v>1676</v>
      </c>
      <c r="I59" s="12" t="s">
        <v>1677</v>
      </c>
      <c r="J59" s="12" t="s">
        <v>1678</v>
      </c>
      <c r="K59" s="12" t="s">
        <v>55</v>
      </c>
      <c r="L59" s="12" t="s">
        <v>1679</v>
      </c>
      <c r="M59" s="12" t="s">
        <v>918</v>
      </c>
      <c r="N59" s="12" t="s">
        <v>1680</v>
      </c>
      <c r="O59" s="11">
        <v>150</v>
      </c>
    </row>
    <row r="60" spans="1:15" ht="60" customHeight="1" x14ac:dyDescent="0.35">
      <c r="A60" s="11">
        <v>56</v>
      </c>
      <c r="B60" s="12" t="s">
        <v>1681</v>
      </c>
      <c r="C60" s="11">
        <v>2021</v>
      </c>
      <c r="D60" s="12" t="s">
        <v>704</v>
      </c>
      <c r="E60" s="12" t="s">
        <v>1682</v>
      </c>
      <c r="F60" s="12" t="s">
        <v>1683</v>
      </c>
      <c r="G60" s="12" t="s">
        <v>1684</v>
      </c>
      <c r="H60" s="12" t="s">
        <v>1685</v>
      </c>
      <c r="I60" s="12" t="s">
        <v>1686</v>
      </c>
      <c r="J60" s="12" t="s">
        <v>1687</v>
      </c>
      <c r="K60" s="12" t="s">
        <v>55</v>
      </c>
      <c r="L60" s="12" t="s">
        <v>1688</v>
      </c>
      <c r="M60" s="12" t="s">
        <v>918</v>
      </c>
      <c r="N60" s="12" t="s">
        <v>1248</v>
      </c>
      <c r="O60" s="11">
        <v>161</v>
      </c>
    </row>
    <row r="61" spans="1:15" ht="60" customHeight="1" x14ac:dyDescent="0.35">
      <c r="A61" s="11">
        <v>57</v>
      </c>
      <c r="B61" s="12" t="s">
        <v>1689</v>
      </c>
      <c r="C61" s="11">
        <v>2024</v>
      </c>
      <c r="D61" s="12" t="s">
        <v>1001</v>
      </c>
      <c r="E61" s="12" t="s">
        <v>1334</v>
      </c>
      <c r="F61" s="12" t="s">
        <v>1690</v>
      </c>
      <c r="G61" s="12" t="s">
        <v>1691</v>
      </c>
      <c r="H61" s="12" t="s">
        <v>1692</v>
      </c>
      <c r="I61" s="12" t="s">
        <v>1693</v>
      </c>
      <c r="J61" s="12" t="s">
        <v>1694</v>
      </c>
      <c r="K61" s="12" t="s">
        <v>55</v>
      </c>
      <c r="L61" s="12" t="s">
        <v>1695</v>
      </c>
      <c r="M61" s="12" t="s">
        <v>918</v>
      </c>
      <c r="N61" s="12" t="s">
        <v>1696</v>
      </c>
      <c r="O61" s="11">
        <v>164</v>
      </c>
    </row>
    <row r="62" spans="1:15" ht="60" customHeight="1" x14ac:dyDescent="0.35">
      <c r="A62" s="11">
        <v>58</v>
      </c>
      <c r="B62" s="12" t="s">
        <v>1697</v>
      </c>
      <c r="C62" s="11">
        <v>2025</v>
      </c>
      <c r="D62" s="12" t="s">
        <v>934</v>
      </c>
      <c r="E62" s="12" t="s">
        <v>1698</v>
      </c>
      <c r="F62" s="12" t="s">
        <v>1699</v>
      </c>
      <c r="G62" s="12" t="s">
        <v>1700</v>
      </c>
      <c r="H62" s="12" t="s">
        <v>1701</v>
      </c>
      <c r="I62" s="12" t="s">
        <v>1702</v>
      </c>
      <c r="J62" s="12" t="s">
        <v>1703</v>
      </c>
      <c r="K62" s="12" t="s">
        <v>55</v>
      </c>
      <c r="L62" s="12" t="s">
        <v>1704</v>
      </c>
      <c r="M62" s="12" t="s">
        <v>918</v>
      </c>
      <c r="N62" s="12" t="s">
        <v>1444</v>
      </c>
      <c r="O62" s="11">
        <v>152</v>
      </c>
    </row>
    <row r="63" spans="1:15" ht="60" customHeight="1" x14ac:dyDescent="0.35">
      <c r="A63" s="11">
        <v>59</v>
      </c>
      <c r="B63" s="12" t="s">
        <v>1705</v>
      </c>
      <c r="C63" s="11">
        <v>2025</v>
      </c>
      <c r="D63" s="12" t="s">
        <v>1220</v>
      </c>
      <c r="E63" s="12" t="s">
        <v>1698</v>
      </c>
      <c r="F63" s="12" t="s">
        <v>1706</v>
      </c>
      <c r="G63" s="12" t="s">
        <v>1707</v>
      </c>
      <c r="H63" s="12" t="s">
        <v>1708</v>
      </c>
      <c r="I63" s="12" t="s">
        <v>1709</v>
      </c>
      <c r="J63" s="12" t="s">
        <v>1710</v>
      </c>
      <c r="K63" s="12" t="s">
        <v>55</v>
      </c>
      <c r="L63" s="12" t="s">
        <v>1222</v>
      </c>
      <c r="M63" s="12" t="s">
        <v>1200</v>
      </c>
      <c r="N63" s="12" t="s">
        <v>1413</v>
      </c>
      <c r="O63" s="11">
        <v>205</v>
      </c>
    </row>
  </sheetData>
  <autoFilter ref="A4:O63" xr:uid="{00000000-0009-0000-0000-000003000000}"/>
  <mergeCells count="1">
    <mergeCell ref="A2:O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D43"/>
  <sheetViews>
    <sheetView workbookViewId="0"/>
  </sheetViews>
  <sheetFormatPr defaultRowHeight="14.5" x14ac:dyDescent="0.35"/>
  <cols>
    <col min="1" max="1" width="3" customWidth="1"/>
    <col min="2" max="2" width="58" customWidth="1"/>
    <col min="3" max="3" width="12" customWidth="1"/>
    <col min="4" max="4" width="60" customWidth="1"/>
  </cols>
  <sheetData>
    <row r="2" spans="2:4" ht="18" customHeight="1" x14ac:dyDescent="0.4">
      <c r="B2" s="10" t="s">
        <v>1711</v>
      </c>
    </row>
    <row r="3" spans="2:4" x14ac:dyDescent="0.35">
      <c r="B3" s="17" t="s">
        <v>1712</v>
      </c>
    </row>
    <row r="5" spans="2:4" x14ac:dyDescent="0.35">
      <c r="B5" s="3" t="s">
        <v>1713</v>
      </c>
      <c r="C5" s="3" t="s">
        <v>1714</v>
      </c>
      <c r="D5" s="3" t="s">
        <v>1715</v>
      </c>
    </row>
    <row r="6" spans="2:4" x14ac:dyDescent="0.35">
      <c r="B6" s="5" t="s">
        <v>1716</v>
      </c>
    </row>
    <row r="7" spans="2:4" x14ac:dyDescent="0.35">
      <c r="B7" s="4" t="s">
        <v>1717</v>
      </c>
      <c r="C7" s="18">
        <f>'01 Search log'!E28</f>
        <v>14683</v>
      </c>
      <c r="D7" s="19" t="s">
        <v>1718</v>
      </c>
    </row>
    <row r="8" spans="2:4" x14ac:dyDescent="0.35">
      <c r="B8" s="4" t="s">
        <v>1719</v>
      </c>
      <c r="C8" s="18">
        <f>C7-C9</f>
        <v>14483</v>
      </c>
      <c r="D8" s="19" t="s">
        <v>1720</v>
      </c>
    </row>
    <row r="9" spans="2:4" x14ac:dyDescent="0.35">
      <c r="B9" s="4" t="s">
        <v>75</v>
      </c>
      <c r="C9" s="18">
        <f>'01 Search log'!F28</f>
        <v>200</v>
      </c>
      <c r="D9" s="19" t="s">
        <v>1721</v>
      </c>
    </row>
    <row r="10" spans="2:4" ht="25" customHeight="1" x14ac:dyDescent="0.35">
      <c r="B10" s="4" t="s">
        <v>1722</v>
      </c>
      <c r="C10" s="18">
        <f>C9-C11</f>
        <v>2</v>
      </c>
      <c r="D10" s="19" t="s">
        <v>1723</v>
      </c>
    </row>
    <row r="11" spans="2:4" x14ac:dyDescent="0.35">
      <c r="B11" s="4" t="s">
        <v>1724</v>
      </c>
      <c r="C11" s="18">
        <f>COUNTIF('02 Screening log'!$L$6:$L$400,"Database search")</f>
        <v>198</v>
      </c>
      <c r="D11" s="19" t="s">
        <v>1725</v>
      </c>
    </row>
    <row r="12" spans="2:4" x14ac:dyDescent="0.35">
      <c r="B12" s="4" t="s">
        <v>1726</v>
      </c>
      <c r="C12" s="18">
        <f>COUNTIFS('02 Screening log'!$L$6:$L$400,"Database search",'02 Screening log'!$G$6:$G$400,"DROP")</f>
        <v>136</v>
      </c>
      <c r="D12" s="19" t="s">
        <v>1727</v>
      </c>
    </row>
    <row r="13" spans="2:4" x14ac:dyDescent="0.35">
      <c r="B13" s="4" t="s">
        <v>1728</v>
      </c>
      <c r="C13" s="18">
        <f>COUNTIFS('02 Screening log'!$L$6:$L$400,"Database search",'02 Screening log'!$H$6:$H$400,"DROP")</f>
        <v>3</v>
      </c>
      <c r="D13" s="19" t="s">
        <v>1729</v>
      </c>
    </row>
    <row r="14" spans="2:4" x14ac:dyDescent="0.35">
      <c r="B14" s="4" t="s">
        <v>1730</v>
      </c>
      <c r="C14" s="18">
        <f>C11-C12-C13</f>
        <v>59</v>
      </c>
      <c r="D14" s="19" t="s">
        <v>1731</v>
      </c>
    </row>
    <row r="15" spans="2:4" x14ac:dyDescent="0.35">
      <c r="B15" s="4" t="s">
        <v>1732</v>
      </c>
      <c r="C15" s="18">
        <f>COUNTIFS('02 Screening log'!$L$6:$L$400,"Database search",'02 Screening log'!$I$6:$I$400,"DROP")</f>
        <v>8</v>
      </c>
      <c r="D15" s="19" t="s">
        <v>1733</v>
      </c>
    </row>
    <row r="16" spans="2:4" x14ac:dyDescent="0.35">
      <c r="B16" s="4" t="s">
        <v>1734</v>
      </c>
      <c r="C16" s="18">
        <f>C14-C15</f>
        <v>51</v>
      </c>
      <c r="D16" s="19" t="s">
        <v>1735</v>
      </c>
    </row>
    <row r="17" spans="2:4" x14ac:dyDescent="0.35">
      <c r="B17" s="5" t="s">
        <v>1736</v>
      </c>
    </row>
    <row r="18" spans="2:4" x14ac:dyDescent="0.35">
      <c r="B18" s="4" t="s">
        <v>1737</v>
      </c>
      <c r="C18" s="18">
        <f>COUNTIF('02 Screening log'!$L$6:$L$400,"Citation chasing")</f>
        <v>8</v>
      </c>
      <c r="D18" s="19" t="s">
        <v>1738</v>
      </c>
    </row>
    <row r="19" spans="2:4" x14ac:dyDescent="0.35">
      <c r="B19" s="4" t="s">
        <v>1732</v>
      </c>
      <c r="C19" s="18">
        <f>COUNTIFS('02 Screening log'!$L$6:$L$400,"Citation chasing",'02 Screening log'!$I$6:$I$400,"DROP")</f>
        <v>0</v>
      </c>
      <c r="D19" s="19" t="s">
        <v>1739</v>
      </c>
    </row>
    <row r="20" spans="2:4" x14ac:dyDescent="0.35">
      <c r="B20" s="4" t="s">
        <v>1740</v>
      </c>
      <c r="C20" s="18">
        <f>C18-C19</f>
        <v>8</v>
      </c>
      <c r="D20" s="19" t="s">
        <v>1741</v>
      </c>
    </row>
    <row r="21" spans="2:4" x14ac:dyDescent="0.35">
      <c r="B21" s="4" t="s">
        <v>1742</v>
      </c>
      <c r="C21" s="18">
        <f>C16+C20</f>
        <v>59</v>
      </c>
      <c r="D21" s="19" t="s">
        <v>1743</v>
      </c>
    </row>
    <row r="22" spans="2:4" x14ac:dyDescent="0.35">
      <c r="B22" s="4" t="s">
        <v>1744</v>
      </c>
      <c r="C22" s="18">
        <f>COUNTIF('02 Screening log'!$K$6:$K$400,"YES")</f>
        <v>59</v>
      </c>
      <c r="D22" s="19" t="s">
        <v>1745</v>
      </c>
    </row>
    <row r="25" spans="2:4" x14ac:dyDescent="0.35">
      <c r="B25" s="5" t="s">
        <v>1746</v>
      </c>
    </row>
    <row r="26" spans="2:4" x14ac:dyDescent="0.35">
      <c r="B26" s="3" t="s">
        <v>1747</v>
      </c>
      <c r="C26" s="3" t="s">
        <v>1714</v>
      </c>
      <c r="D26" s="3" t="s">
        <v>1748</v>
      </c>
    </row>
    <row r="27" spans="2:4" ht="30" customHeight="1" x14ac:dyDescent="0.35">
      <c r="B27" s="7" t="s">
        <v>588</v>
      </c>
      <c r="C27" s="20">
        <f>COUNTIF('02 Screening log'!$J$6:$J$400,B27)</f>
        <v>3</v>
      </c>
      <c r="D27" s="19" t="s">
        <v>1749</v>
      </c>
    </row>
    <row r="28" spans="2:4" ht="30" customHeight="1" x14ac:dyDescent="0.35">
      <c r="B28" s="7" t="s">
        <v>1750</v>
      </c>
      <c r="C28" s="20">
        <f>COUNTIF('02 Screening log'!$J$6:$J$400,B28)</f>
        <v>0</v>
      </c>
      <c r="D28" s="19" t="s">
        <v>1751</v>
      </c>
    </row>
    <row r="29" spans="2:4" ht="30" customHeight="1" x14ac:dyDescent="0.35">
      <c r="B29" s="7" t="s">
        <v>1752</v>
      </c>
      <c r="C29" s="20">
        <f>COUNTIF('02 Screening log'!$J$6:$J$400,B29)</f>
        <v>0</v>
      </c>
      <c r="D29" s="19" t="s">
        <v>1753</v>
      </c>
    </row>
    <row r="30" spans="2:4" ht="30" customHeight="1" x14ac:dyDescent="0.35">
      <c r="B30" s="7" t="s">
        <v>563</v>
      </c>
      <c r="C30" s="20">
        <f>COUNTIF('02 Screening log'!$J$6:$J$400,B30)</f>
        <v>2</v>
      </c>
      <c r="D30" s="19" t="s">
        <v>1754</v>
      </c>
    </row>
    <row r="31" spans="2:4" ht="30" customHeight="1" x14ac:dyDescent="0.35">
      <c r="B31" s="7" t="s">
        <v>138</v>
      </c>
      <c r="C31" s="20">
        <f>COUNTIF('02 Screening log'!$J$6:$J$400,B31)</f>
        <v>3</v>
      </c>
      <c r="D31" s="19" t="s">
        <v>1755</v>
      </c>
    </row>
    <row r="32" spans="2:4" x14ac:dyDescent="0.35">
      <c r="B32" s="5" t="s">
        <v>1756</v>
      </c>
      <c r="C32" s="13">
        <f>SUM(C27:C31)</f>
        <v>8</v>
      </c>
      <c r="D32" s="17" t="s">
        <v>1757</v>
      </c>
    </row>
    <row r="35" spans="2:4" x14ac:dyDescent="0.35">
      <c r="B35" s="5" t="s">
        <v>1758</v>
      </c>
    </row>
    <row r="36" spans="2:4" x14ac:dyDescent="0.35">
      <c r="B36" s="3" t="s">
        <v>1759</v>
      </c>
      <c r="C36" s="3" t="s">
        <v>1714</v>
      </c>
      <c r="D36" s="3" t="s">
        <v>1760</v>
      </c>
    </row>
    <row r="37" spans="2:4" x14ac:dyDescent="0.35">
      <c r="B37" s="21" t="s">
        <v>1761</v>
      </c>
      <c r="C37" s="20">
        <f>COUNTIF('03 Extraction matrix'!$K$5:$K$63,B37&amp;"*")</f>
        <v>13</v>
      </c>
      <c r="D37" s="7" t="s">
        <v>1762</v>
      </c>
    </row>
    <row r="38" spans="2:4" x14ac:dyDescent="0.35">
      <c r="B38" s="21" t="s">
        <v>1763</v>
      </c>
      <c r="C38" s="20">
        <f>COUNTIF('03 Extraction matrix'!$K$5:$K$63,B38&amp;"*")</f>
        <v>5</v>
      </c>
      <c r="D38" s="7" t="s">
        <v>1764</v>
      </c>
    </row>
    <row r="39" spans="2:4" x14ac:dyDescent="0.35">
      <c r="B39" s="21" t="s">
        <v>1765</v>
      </c>
      <c r="C39" s="20">
        <f>COUNTIF('03 Extraction matrix'!$K$5:$K$63,B39&amp;"*")</f>
        <v>5</v>
      </c>
      <c r="D39" s="7" t="s">
        <v>1766</v>
      </c>
    </row>
    <row r="40" spans="2:4" x14ac:dyDescent="0.35">
      <c r="B40" s="21" t="s">
        <v>1767</v>
      </c>
      <c r="C40" s="20">
        <f>COUNTIF('03 Extraction matrix'!$K$5:$K$63,B40&amp;"*")</f>
        <v>12</v>
      </c>
      <c r="D40" s="7" t="s">
        <v>1768</v>
      </c>
    </row>
    <row r="41" spans="2:4" x14ac:dyDescent="0.35">
      <c r="B41" s="21" t="s">
        <v>1769</v>
      </c>
      <c r="C41" s="20">
        <f>COUNTIF('03 Extraction matrix'!$K$5:$K$63,B41&amp;"*")</f>
        <v>8</v>
      </c>
      <c r="D41" s="7" t="s">
        <v>1770</v>
      </c>
    </row>
    <row r="42" spans="2:4" x14ac:dyDescent="0.35">
      <c r="B42" s="21" t="s">
        <v>1771</v>
      </c>
      <c r="C42" s="20">
        <f>COUNTIF('03 Extraction matrix'!$K$5:$K$63,B42&amp;"*")</f>
        <v>10</v>
      </c>
      <c r="D42" s="7" t="s">
        <v>1772</v>
      </c>
    </row>
    <row r="43" spans="2:4" x14ac:dyDescent="0.35">
      <c r="B43" s="21" t="s">
        <v>1773</v>
      </c>
      <c r="C43" s="20">
        <f>COUNTIF('03 Extraction matrix'!$K$5:$K$63,B43&amp;"*")</f>
        <v>6</v>
      </c>
      <c r="D43" s="7" t="s">
        <v>1774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8"/>
  <sheetViews>
    <sheetView workbookViewId="0">
      <pane ySplit="4" topLeftCell="A5" activePane="bottomLeft" state="frozen"/>
      <selection pane="bottomLeft"/>
    </sheetView>
  </sheetViews>
  <sheetFormatPr defaultRowHeight="14.5" x14ac:dyDescent="0.35"/>
  <cols>
    <col min="1" max="1" width="5" customWidth="1"/>
    <col min="2" max="2" width="50" customWidth="1"/>
    <col min="3" max="3" width="24" customWidth="1"/>
    <col min="4" max="4" width="18" customWidth="1"/>
    <col min="5" max="5" width="52" customWidth="1"/>
  </cols>
  <sheetData>
    <row r="1" spans="1:5" ht="18" customHeight="1" x14ac:dyDescent="0.4">
      <c r="A1" s="10" t="s">
        <v>1775</v>
      </c>
    </row>
    <row r="2" spans="1:5" x14ac:dyDescent="0.35">
      <c r="A2" s="27" t="s">
        <v>1776</v>
      </c>
      <c r="B2" s="25"/>
      <c r="C2" s="25"/>
      <c r="D2" s="25"/>
      <c r="E2" s="25"/>
    </row>
    <row r="4" spans="1:5" ht="30" customHeight="1" x14ac:dyDescent="0.35">
      <c r="A4" s="3" t="s">
        <v>70</v>
      </c>
      <c r="B4" s="3" t="s">
        <v>1777</v>
      </c>
      <c r="C4" s="3" t="s">
        <v>1778</v>
      </c>
      <c r="D4" s="3" t="s">
        <v>1779</v>
      </c>
      <c r="E4" s="3" t="s">
        <v>1780</v>
      </c>
    </row>
    <row r="5" spans="1:5" ht="30" customHeight="1" x14ac:dyDescent="0.35">
      <c r="A5" s="11">
        <v>1</v>
      </c>
      <c r="B5" s="12" t="s">
        <v>1781</v>
      </c>
      <c r="C5" s="12" t="s">
        <v>1359</v>
      </c>
      <c r="D5" s="12" t="s">
        <v>1782</v>
      </c>
      <c r="E5" s="12" t="s">
        <v>1783</v>
      </c>
    </row>
    <row r="6" spans="1:5" ht="30" customHeight="1" x14ac:dyDescent="0.35">
      <c r="A6" s="11">
        <v>2</v>
      </c>
      <c r="B6" s="12" t="s">
        <v>1784</v>
      </c>
      <c r="C6" s="12" t="s">
        <v>1656</v>
      </c>
      <c r="D6" s="12" t="s">
        <v>1782</v>
      </c>
      <c r="E6" s="12" t="s">
        <v>1785</v>
      </c>
    </row>
    <row r="7" spans="1:5" ht="41.5" customHeight="1" x14ac:dyDescent="0.35">
      <c r="A7" s="11">
        <v>3</v>
      </c>
      <c r="B7" s="12" t="s">
        <v>1786</v>
      </c>
      <c r="C7" s="12" t="s">
        <v>1384</v>
      </c>
      <c r="D7" s="12" t="s">
        <v>1787</v>
      </c>
      <c r="E7" s="12" t="s">
        <v>1788</v>
      </c>
    </row>
    <row r="8" spans="1:5" ht="30" customHeight="1" x14ac:dyDescent="0.35">
      <c r="A8" s="11">
        <v>4</v>
      </c>
      <c r="B8" s="12" t="s">
        <v>1789</v>
      </c>
      <c r="C8" s="12" t="s">
        <v>1588</v>
      </c>
      <c r="D8" s="12" t="s">
        <v>1787</v>
      </c>
      <c r="E8" s="12" t="s">
        <v>1790</v>
      </c>
    </row>
    <row r="9" spans="1:5" ht="30" customHeight="1" x14ac:dyDescent="0.35">
      <c r="A9" s="11">
        <v>5</v>
      </c>
      <c r="B9" s="12" t="s">
        <v>1791</v>
      </c>
      <c r="C9" s="12" t="s">
        <v>1596</v>
      </c>
      <c r="D9" s="12" t="s">
        <v>1787</v>
      </c>
      <c r="E9" s="12" t="s">
        <v>1792</v>
      </c>
    </row>
    <row r="10" spans="1:5" ht="30" customHeight="1" x14ac:dyDescent="0.35">
      <c r="A10" s="11">
        <v>6</v>
      </c>
      <c r="B10" s="12" t="s">
        <v>1793</v>
      </c>
      <c r="C10" s="12" t="s">
        <v>1325</v>
      </c>
      <c r="D10" s="12" t="s">
        <v>1794</v>
      </c>
      <c r="E10" s="12" t="s">
        <v>1795</v>
      </c>
    </row>
    <row r="11" spans="1:5" ht="30" customHeight="1" x14ac:dyDescent="0.35">
      <c r="A11" s="11">
        <v>7</v>
      </c>
      <c r="B11" s="12" t="s">
        <v>1796</v>
      </c>
      <c r="C11" s="12" t="s">
        <v>1341</v>
      </c>
      <c r="D11" s="12" t="s">
        <v>1797</v>
      </c>
      <c r="E11" s="12" t="s">
        <v>1798</v>
      </c>
    </row>
    <row r="12" spans="1:5" ht="41.5" customHeight="1" x14ac:dyDescent="0.35">
      <c r="A12" s="11">
        <v>8</v>
      </c>
      <c r="B12" s="12" t="s">
        <v>1799</v>
      </c>
      <c r="C12" s="12" t="s">
        <v>1275</v>
      </c>
      <c r="D12" s="12" t="s">
        <v>1800</v>
      </c>
      <c r="E12" s="12" t="s">
        <v>1801</v>
      </c>
    </row>
    <row r="13" spans="1:5" ht="30" customHeight="1" x14ac:dyDescent="0.35">
      <c r="A13" s="11">
        <v>9</v>
      </c>
      <c r="B13" s="12" t="s">
        <v>1802</v>
      </c>
      <c r="C13" s="12" t="s">
        <v>1436</v>
      </c>
      <c r="D13" s="12" t="s">
        <v>1800</v>
      </c>
      <c r="E13" s="12" t="s">
        <v>1803</v>
      </c>
    </row>
    <row r="14" spans="1:5" ht="30" customHeight="1" x14ac:dyDescent="0.35">
      <c r="A14" s="11">
        <v>10</v>
      </c>
      <c r="B14" s="12" t="s">
        <v>1804</v>
      </c>
      <c r="C14" s="12" t="s">
        <v>1501</v>
      </c>
      <c r="D14" s="12" t="s">
        <v>1805</v>
      </c>
      <c r="E14" s="12" t="s">
        <v>1806</v>
      </c>
    </row>
    <row r="15" spans="1:5" ht="30" customHeight="1" x14ac:dyDescent="0.35">
      <c r="A15" s="11">
        <v>11</v>
      </c>
      <c r="B15" s="12" t="s">
        <v>1807</v>
      </c>
      <c r="C15" s="12" t="s">
        <v>1565</v>
      </c>
      <c r="D15" s="12" t="s">
        <v>1787</v>
      </c>
      <c r="E15" s="12" t="s">
        <v>1808</v>
      </c>
    </row>
    <row r="16" spans="1:5" ht="30" customHeight="1" x14ac:dyDescent="0.35">
      <c r="A16" s="11">
        <v>12</v>
      </c>
      <c r="B16" s="12" t="s">
        <v>1809</v>
      </c>
      <c r="C16" s="12" t="s">
        <v>1697</v>
      </c>
      <c r="D16" s="12" t="s">
        <v>1810</v>
      </c>
      <c r="E16" s="12" t="s">
        <v>1811</v>
      </c>
    </row>
    <row r="17" spans="1:5" ht="30" customHeight="1" x14ac:dyDescent="0.35">
      <c r="A17" s="11">
        <v>13</v>
      </c>
      <c r="B17" s="12" t="s">
        <v>1812</v>
      </c>
      <c r="C17" s="12" t="s">
        <v>1681</v>
      </c>
      <c r="D17" s="12" t="s">
        <v>1810</v>
      </c>
      <c r="E17" s="12" t="s">
        <v>1813</v>
      </c>
    </row>
    <row r="18" spans="1:5" ht="30" customHeight="1" x14ac:dyDescent="0.35">
      <c r="A18" s="11">
        <v>14</v>
      </c>
      <c r="B18" s="12" t="s">
        <v>1814</v>
      </c>
      <c r="C18" s="12" t="s">
        <v>1399</v>
      </c>
      <c r="D18" s="12" t="s">
        <v>1815</v>
      </c>
      <c r="E18" s="12" t="s">
        <v>1816</v>
      </c>
    </row>
  </sheetData>
  <mergeCells count="1">
    <mergeCell ref="A2:E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
  <sheetViews>
    <sheetView workbookViewId="0">
      <pane ySplit="4" topLeftCell="A5" activePane="bottomLeft" state="frozen"/>
      <selection pane="bottomLeft"/>
    </sheetView>
  </sheetViews>
  <sheetFormatPr defaultRowHeight="14.5" x14ac:dyDescent="0.35"/>
  <cols>
    <col min="1" max="1" width="5" customWidth="1"/>
    <col min="2" max="2" width="24" customWidth="1"/>
    <col min="3" max="3" width="40" customWidth="1"/>
    <col min="4" max="4" width="50" customWidth="1"/>
    <col min="5" max="5" width="34" customWidth="1"/>
  </cols>
  <sheetData>
    <row r="1" spans="1:5" ht="18" customHeight="1" x14ac:dyDescent="0.4">
      <c r="A1" s="10" t="s">
        <v>1817</v>
      </c>
    </row>
    <row r="2" spans="1:5" ht="28" customHeight="1" x14ac:dyDescent="0.35">
      <c r="A2" s="27" t="s">
        <v>1818</v>
      </c>
      <c r="B2" s="25"/>
      <c r="C2" s="25"/>
      <c r="D2" s="25"/>
      <c r="E2" s="25"/>
    </row>
    <row r="4" spans="1:5" ht="30" customHeight="1" x14ac:dyDescent="0.35">
      <c r="A4" s="3" t="s">
        <v>70</v>
      </c>
      <c r="B4" s="3" t="s">
        <v>1819</v>
      </c>
      <c r="C4" s="3" t="s">
        <v>1820</v>
      </c>
      <c r="D4" s="3" t="s">
        <v>1821</v>
      </c>
      <c r="E4" s="3" t="s">
        <v>1822</v>
      </c>
    </row>
    <row r="5" spans="1:5" ht="54" customHeight="1" x14ac:dyDescent="0.35">
      <c r="A5" s="11">
        <v>1</v>
      </c>
      <c r="B5" s="12" t="s">
        <v>1823</v>
      </c>
      <c r="C5" s="12" t="s">
        <v>1824</v>
      </c>
      <c r="D5" s="12" t="s">
        <v>1825</v>
      </c>
      <c r="E5" s="12" t="s">
        <v>1826</v>
      </c>
    </row>
    <row r="6" spans="1:5" ht="54" customHeight="1" x14ac:dyDescent="0.35">
      <c r="A6" s="11">
        <v>2</v>
      </c>
      <c r="B6" s="12" t="s">
        <v>1827</v>
      </c>
      <c r="C6" s="12" t="s">
        <v>1828</v>
      </c>
      <c r="D6" s="12" t="s">
        <v>1829</v>
      </c>
      <c r="E6" s="12" t="s">
        <v>1830</v>
      </c>
    </row>
    <row r="7" spans="1:5" ht="41.5" customHeight="1" x14ac:dyDescent="0.35">
      <c r="A7" s="11">
        <v>3</v>
      </c>
      <c r="B7" s="12" t="s">
        <v>1831</v>
      </c>
      <c r="C7" s="12" t="s">
        <v>1832</v>
      </c>
      <c r="D7" s="12" t="s">
        <v>1833</v>
      </c>
      <c r="E7" s="12" t="s">
        <v>1834</v>
      </c>
    </row>
    <row r="8" spans="1:5" ht="41.5" customHeight="1" x14ac:dyDescent="0.35">
      <c r="A8" s="11">
        <v>4</v>
      </c>
      <c r="B8" s="12" t="s">
        <v>1835</v>
      </c>
      <c r="C8" s="12" t="s">
        <v>1836</v>
      </c>
      <c r="D8" s="12" t="s">
        <v>1837</v>
      </c>
      <c r="E8" s="12" t="s">
        <v>1838</v>
      </c>
    </row>
    <row r="9" spans="1:5" ht="54" customHeight="1" x14ac:dyDescent="0.35">
      <c r="A9" s="11">
        <v>5</v>
      </c>
      <c r="B9" s="12" t="s">
        <v>1839</v>
      </c>
      <c r="C9" s="12" t="s">
        <v>1840</v>
      </c>
      <c r="D9" s="12" t="s">
        <v>1841</v>
      </c>
      <c r="E9" s="12" t="s">
        <v>1842</v>
      </c>
    </row>
    <row r="10" spans="1:5" ht="54" customHeight="1" x14ac:dyDescent="0.35">
      <c r="A10" s="11">
        <v>6</v>
      </c>
      <c r="B10" s="12" t="s">
        <v>1843</v>
      </c>
      <c r="C10" s="12" t="s">
        <v>1844</v>
      </c>
      <c r="D10" s="12" t="s">
        <v>1845</v>
      </c>
      <c r="E10" s="12" t="s">
        <v>1846</v>
      </c>
    </row>
    <row r="11" spans="1:5" ht="41.5" customHeight="1" x14ac:dyDescent="0.35">
      <c r="A11" s="11">
        <v>7</v>
      </c>
      <c r="B11" s="12" t="s">
        <v>1847</v>
      </c>
      <c r="C11" s="12" t="s">
        <v>1848</v>
      </c>
      <c r="D11" s="12" t="s">
        <v>1849</v>
      </c>
      <c r="E11" s="12" t="s">
        <v>1850</v>
      </c>
    </row>
  </sheetData>
  <mergeCells count="1">
    <mergeCell ref="A2:E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3"/>
  <sheetViews>
    <sheetView workbookViewId="0">
      <pane ySplit="4" topLeftCell="A5" activePane="bottomLeft" state="frozen"/>
      <selection pane="bottomLeft"/>
    </sheetView>
  </sheetViews>
  <sheetFormatPr defaultRowHeight="14.5" x14ac:dyDescent="0.35"/>
  <cols>
    <col min="1" max="1" width="5" customWidth="1"/>
    <col min="2" max="2" width="26" customWidth="1"/>
    <col min="3" max="3" width="90" customWidth="1"/>
    <col min="4" max="4" width="40" customWidth="1"/>
  </cols>
  <sheetData>
    <row r="1" spans="1:4" ht="18" customHeight="1" x14ac:dyDescent="0.4">
      <c r="A1" s="10" t="s">
        <v>1851</v>
      </c>
    </row>
    <row r="2" spans="1:4" x14ac:dyDescent="0.35">
      <c r="A2" s="17" t="s">
        <v>1852</v>
      </c>
    </row>
    <row r="4" spans="1:4" ht="30" customHeight="1" x14ac:dyDescent="0.35">
      <c r="A4" s="3" t="s">
        <v>70</v>
      </c>
      <c r="B4" s="3" t="s">
        <v>1853</v>
      </c>
      <c r="C4" s="3" t="s">
        <v>1854</v>
      </c>
      <c r="D4" s="3" t="s">
        <v>1237</v>
      </c>
    </row>
    <row r="5" spans="1:4" ht="41.5" customHeight="1" x14ac:dyDescent="0.35">
      <c r="A5" s="22">
        <v>1</v>
      </c>
      <c r="B5" s="23" t="s">
        <v>1541</v>
      </c>
      <c r="C5" s="23" t="s">
        <v>1855</v>
      </c>
      <c r="D5" s="23" t="s">
        <v>1548</v>
      </c>
    </row>
    <row r="6" spans="1:4" ht="29" customHeight="1" x14ac:dyDescent="0.35">
      <c r="A6" s="22">
        <v>2</v>
      </c>
      <c r="B6" s="23" t="s">
        <v>1359</v>
      </c>
      <c r="C6" s="23" t="s">
        <v>1856</v>
      </c>
      <c r="D6" s="23" t="s">
        <v>1366</v>
      </c>
    </row>
    <row r="7" spans="1:4" ht="41.5" customHeight="1" x14ac:dyDescent="0.35">
      <c r="A7" s="22">
        <v>3</v>
      </c>
      <c r="B7" s="23" t="s">
        <v>1384</v>
      </c>
      <c r="C7" s="23" t="s">
        <v>1857</v>
      </c>
      <c r="D7" s="23" t="s">
        <v>1390</v>
      </c>
    </row>
    <row r="8" spans="1:4" ht="29" customHeight="1" x14ac:dyDescent="0.35">
      <c r="A8" s="22">
        <v>4</v>
      </c>
      <c r="B8" s="23" t="s">
        <v>1376</v>
      </c>
      <c r="C8" s="23" t="s">
        <v>1858</v>
      </c>
      <c r="D8" s="23" t="s">
        <v>1382</v>
      </c>
    </row>
    <row r="9" spans="1:4" ht="29" customHeight="1" x14ac:dyDescent="0.35">
      <c r="A9" s="22">
        <v>5</v>
      </c>
      <c r="B9" s="23" t="s">
        <v>1611</v>
      </c>
      <c r="C9" s="23" t="s">
        <v>1859</v>
      </c>
      <c r="D9" s="23" t="s">
        <v>1617</v>
      </c>
    </row>
    <row r="10" spans="1:4" ht="29" customHeight="1" x14ac:dyDescent="0.35">
      <c r="A10" s="22">
        <v>6</v>
      </c>
      <c r="B10" s="23" t="s">
        <v>1350</v>
      </c>
      <c r="C10" s="23" t="s">
        <v>1860</v>
      </c>
      <c r="D10" s="23" t="s">
        <v>1357</v>
      </c>
    </row>
    <row r="11" spans="1:4" ht="41.5" customHeight="1" x14ac:dyDescent="0.35">
      <c r="A11" s="22">
        <v>7</v>
      </c>
      <c r="B11" s="23" t="s">
        <v>1618</v>
      </c>
      <c r="C11" s="23" t="s">
        <v>1861</v>
      </c>
      <c r="D11" s="23" t="s">
        <v>1624</v>
      </c>
    </row>
    <row r="12" spans="1:4" ht="41.5" customHeight="1" x14ac:dyDescent="0.35">
      <c r="A12" s="22">
        <v>8</v>
      </c>
      <c r="B12" s="23" t="s">
        <v>1625</v>
      </c>
      <c r="C12" s="23" t="s">
        <v>1862</v>
      </c>
      <c r="D12" s="23" t="s">
        <v>1632</v>
      </c>
    </row>
    <row r="13" spans="1:4" ht="29" customHeight="1" x14ac:dyDescent="0.35">
      <c r="A13" s="22">
        <v>9</v>
      </c>
      <c r="B13" s="23" t="s">
        <v>1420</v>
      </c>
      <c r="C13" s="23" t="s">
        <v>1863</v>
      </c>
      <c r="D13" s="23" t="s">
        <v>1427</v>
      </c>
    </row>
    <row r="14" spans="1:4" ht="54" customHeight="1" x14ac:dyDescent="0.35">
      <c r="A14" s="22">
        <v>10</v>
      </c>
      <c r="B14" s="23" t="s">
        <v>1301</v>
      </c>
      <c r="C14" s="23" t="s">
        <v>1864</v>
      </c>
      <c r="D14" s="23" t="s">
        <v>1307</v>
      </c>
    </row>
    <row r="15" spans="1:4" ht="41.5" customHeight="1" x14ac:dyDescent="0.35">
      <c r="A15" s="22">
        <v>11</v>
      </c>
      <c r="B15" s="23" t="s">
        <v>1549</v>
      </c>
      <c r="C15" s="23" t="s">
        <v>1865</v>
      </c>
      <c r="D15" s="23" t="s">
        <v>1556</v>
      </c>
    </row>
    <row r="16" spans="1:4" ht="29" customHeight="1" x14ac:dyDescent="0.35">
      <c r="A16" s="22">
        <v>12</v>
      </c>
      <c r="B16" s="23" t="s">
        <v>1436</v>
      </c>
      <c r="C16" s="23" t="s">
        <v>1866</v>
      </c>
      <c r="D16" s="23" t="s">
        <v>1443</v>
      </c>
    </row>
    <row r="17" spans="1:4" ht="41.5" customHeight="1" x14ac:dyDescent="0.35">
      <c r="A17" s="22">
        <v>13</v>
      </c>
      <c r="B17" s="23" t="s">
        <v>1249</v>
      </c>
      <c r="C17" s="23" t="s">
        <v>1867</v>
      </c>
      <c r="D17" s="23" t="s">
        <v>1256</v>
      </c>
    </row>
    <row r="18" spans="1:4" ht="54" customHeight="1" x14ac:dyDescent="0.35">
      <c r="A18" s="22">
        <v>14</v>
      </c>
      <c r="B18" s="23" t="s">
        <v>1445</v>
      </c>
      <c r="C18" s="23" t="s">
        <v>1868</v>
      </c>
      <c r="D18" s="23" t="s">
        <v>1452</v>
      </c>
    </row>
    <row r="19" spans="1:4" ht="29" customHeight="1" x14ac:dyDescent="0.35">
      <c r="A19" s="22">
        <v>15</v>
      </c>
      <c r="B19" s="23" t="s">
        <v>1240</v>
      </c>
      <c r="C19" s="23" t="s">
        <v>1869</v>
      </c>
      <c r="D19" s="23" t="s">
        <v>1247</v>
      </c>
    </row>
    <row r="20" spans="1:4" ht="29" customHeight="1" x14ac:dyDescent="0.35">
      <c r="A20" s="22">
        <v>16</v>
      </c>
      <c r="B20" s="23" t="s">
        <v>1258</v>
      </c>
      <c r="C20" s="23" t="s">
        <v>1870</v>
      </c>
      <c r="D20" s="23" t="s">
        <v>1265</v>
      </c>
    </row>
    <row r="21" spans="1:4" ht="29" customHeight="1" x14ac:dyDescent="0.35">
      <c r="A21" s="22">
        <v>17</v>
      </c>
      <c r="B21" s="23" t="s">
        <v>1596</v>
      </c>
      <c r="C21" s="23" t="s">
        <v>1871</v>
      </c>
      <c r="D21" s="23" t="s">
        <v>1603</v>
      </c>
    </row>
    <row r="22" spans="1:4" ht="29" customHeight="1" x14ac:dyDescent="0.35">
      <c r="A22" s="22">
        <v>18</v>
      </c>
      <c r="B22" s="23" t="s">
        <v>1633</v>
      </c>
      <c r="C22" s="23" t="s">
        <v>1872</v>
      </c>
      <c r="D22" s="23" t="s">
        <v>1639</v>
      </c>
    </row>
    <row r="23" spans="1:4" ht="41.5" customHeight="1" x14ac:dyDescent="0.35">
      <c r="A23" s="22">
        <v>19</v>
      </c>
      <c r="B23" s="23" t="s">
        <v>1656</v>
      </c>
      <c r="C23" s="23" t="s">
        <v>1873</v>
      </c>
      <c r="D23" s="23" t="s">
        <v>1663</v>
      </c>
    </row>
    <row r="24" spans="1:4" ht="29" customHeight="1" x14ac:dyDescent="0.35">
      <c r="A24" s="22">
        <v>20</v>
      </c>
      <c r="B24" s="23" t="s">
        <v>1681</v>
      </c>
      <c r="C24" s="23" t="s">
        <v>1874</v>
      </c>
      <c r="D24" s="23" t="s">
        <v>1688</v>
      </c>
    </row>
    <row r="25" spans="1:4" ht="29" customHeight="1" x14ac:dyDescent="0.35">
      <c r="A25" s="22">
        <v>21</v>
      </c>
      <c r="B25" s="23" t="s">
        <v>1399</v>
      </c>
      <c r="C25" s="23" t="s">
        <v>1875</v>
      </c>
      <c r="D25" s="23" t="s">
        <v>1202</v>
      </c>
    </row>
    <row r="26" spans="1:4" ht="29" customHeight="1" x14ac:dyDescent="0.35">
      <c r="A26" s="22">
        <v>22</v>
      </c>
      <c r="B26" s="23" t="s">
        <v>1672</v>
      </c>
      <c r="C26" s="23" t="s">
        <v>1876</v>
      </c>
      <c r="D26" s="23" t="s">
        <v>1679</v>
      </c>
    </row>
    <row r="27" spans="1:4" ht="41.5" customHeight="1" x14ac:dyDescent="0.35">
      <c r="A27" s="22">
        <v>23</v>
      </c>
      <c r="B27" s="23" t="s">
        <v>1697</v>
      </c>
      <c r="C27" s="23" t="s">
        <v>1877</v>
      </c>
      <c r="D27" s="23" t="s">
        <v>1704</v>
      </c>
    </row>
    <row r="28" spans="1:4" ht="66.5" customHeight="1" x14ac:dyDescent="0.35">
      <c r="A28" s="22">
        <v>24</v>
      </c>
      <c r="B28" s="23" t="s">
        <v>1317</v>
      </c>
      <c r="C28" s="23" t="s">
        <v>1878</v>
      </c>
      <c r="D28" s="23" t="s">
        <v>1324</v>
      </c>
    </row>
    <row r="29" spans="1:4" ht="29" customHeight="1" x14ac:dyDescent="0.35">
      <c r="A29" s="22">
        <v>25</v>
      </c>
      <c r="B29" s="23" t="s">
        <v>1368</v>
      </c>
      <c r="C29" s="23" t="s">
        <v>1879</v>
      </c>
      <c r="D29" s="23" t="s">
        <v>1207</v>
      </c>
    </row>
    <row r="30" spans="1:4" ht="41.5" customHeight="1" x14ac:dyDescent="0.35">
      <c r="A30" s="22">
        <v>26</v>
      </c>
      <c r="B30" s="23" t="s">
        <v>1453</v>
      </c>
      <c r="C30" s="23" t="s">
        <v>1880</v>
      </c>
      <c r="D30" s="23" t="s">
        <v>1460</v>
      </c>
    </row>
    <row r="31" spans="1:4" ht="41.5" customHeight="1" x14ac:dyDescent="0.35">
      <c r="A31" s="22">
        <v>27</v>
      </c>
      <c r="B31" s="23" t="s">
        <v>1341</v>
      </c>
      <c r="C31" s="23" t="s">
        <v>1881</v>
      </c>
      <c r="D31" s="23" t="s">
        <v>1348</v>
      </c>
    </row>
    <row r="32" spans="1:4" ht="41.5" customHeight="1" x14ac:dyDescent="0.35">
      <c r="A32" s="22">
        <v>28</v>
      </c>
      <c r="B32" s="23" t="s">
        <v>1275</v>
      </c>
      <c r="C32" s="23" t="s">
        <v>1882</v>
      </c>
      <c r="D32" s="23" t="s">
        <v>1282</v>
      </c>
    </row>
    <row r="33" spans="1:4" ht="41.5" customHeight="1" x14ac:dyDescent="0.35">
      <c r="A33" s="22">
        <v>29</v>
      </c>
      <c r="B33" s="23" t="s">
        <v>1462</v>
      </c>
      <c r="C33" s="23" t="s">
        <v>1883</v>
      </c>
      <c r="D33" s="23" t="s">
        <v>1469</v>
      </c>
    </row>
    <row r="34" spans="1:4" ht="41.5" customHeight="1" x14ac:dyDescent="0.35">
      <c r="A34" s="22">
        <v>30</v>
      </c>
      <c r="B34" s="23" t="s">
        <v>1664</v>
      </c>
      <c r="C34" s="23" t="s">
        <v>1884</v>
      </c>
      <c r="D34" s="23" t="s">
        <v>1671</v>
      </c>
    </row>
    <row r="35" spans="1:4" ht="41.5" customHeight="1" x14ac:dyDescent="0.35">
      <c r="A35" s="22">
        <v>31</v>
      </c>
      <c r="B35" s="23" t="s">
        <v>1325</v>
      </c>
      <c r="C35" s="23" t="s">
        <v>1885</v>
      </c>
      <c r="D35" s="23" t="s">
        <v>1332</v>
      </c>
    </row>
    <row r="36" spans="1:4" ht="41.5" customHeight="1" x14ac:dyDescent="0.35">
      <c r="A36" s="22">
        <v>32</v>
      </c>
      <c r="B36" s="23" t="s">
        <v>1428</v>
      </c>
      <c r="C36" s="23" t="s">
        <v>1886</v>
      </c>
      <c r="D36" s="23" t="s">
        <v>1435</v>
      </c>
    </row>
    <row r="37" spans="1:4" ht="41.5" customHeight="1" x14ac:dyDescent="0.35">
      <c r="A37" s="22">
        <v>33</v>
      </c>
      <c r="B37" s="23" t="s">
        <v>1581</v>
      </c>
      <c r="C37" s="23" t="s">
        <v>1887</v>
      </c>
      <c r="D37" s="23" t="s">
        <v>1587</v>
      </c>
    </row>
    <row r="38" spans="1:4" ht="54" customHeight="1" x14ac:dyDescent="0.35">
      <c r="A38" s="22">
        <v>34</v>
      </c>
      <c r="B38" s="23" t="s">
        <v>1557</v>
      </c>
      <c r="C38" s="23" t="s">
        <v>1888</v>
      </c>
      <c r="D38" s="23" t="s">
        <v>1564</v>
      </c>
    </row>
    <row r="39" spans="1:4" ht="41.5" customHeight="1" x14ac:dyDescent="0.35">
      <c r="A39" s="22">
        <v>35</v>
      </c>
      <c r="B39" s="23" t="s">
        <v>1494</v>
      </c>
      <c r="C39" s="23" t="s">
        <v>1889</v>
      </c>
      <c r="D39" s="23" t="s">
        <v>1500</v>
      </c>
    </row>
    <row r="40" spans="1:4" ht="41.5" customHeight="1" x14ac:dyDescent="0.35">
      <c r="A40" s="22">
        <v>36</v>
      </c>
      <c r="B40" s="23" t="s">
        <v>1267</v>
      </c>
      <c r="C40" s="23" t="s">
        <v>1890</v>
      </c>
      <c r="D40" s="23" t="s">
        <v>1273</v>
      </c>
    </row>
    <row r="41" spans="1:4" ht="29" customHeight="1" x14ac:dyDescent="0.35">
      <c r="A41" s="22">
        <v>37</v>
      </c>
      <c r="B41" s="23" t="s">
        <v>1525</v>
      </c>
      <c r="C41" s="23" t="s">
        <v>1891</v>
      </c>
      <c r="D41" s="23" t="s">
        <v>1532</v>
      </c>
    </row>
    <row r="42" spans="1:4" ht="29" customHeight="1" x14ac:dyDescent="0.35">
      <c r="A42" s="22">
        <v>38</v>
      </c>
      <c r="B42" s="23" t="s">
        <v>1689</v>
      </c>
      <c r="C42" s="23" t="s">
        <v>1892</v>
      </c>
      <c r="D42" s="23" t="s">
        <v>1695</v>
      </c>
    </row>
    <row r="43" spans="1:4" ht="29" customHeight="1" x14ac:dyDescent="0.35">
      <c r="A43" s="22">
        <v>39</v>
      </c>
      <c r="B43" s="23" t="s">
        <v>1406</v>
      </c>
      <c r="C43" s="23" t="s">
        <v>1893</v>
      </c>
      <c r="D43" s="23" t="s">
        <v>1217</v>
      </c>
    </row>
    <row r="44" spans="1:4" ht="29" customHeight="1" x14ac:dyDescent="0.35">
      <c r="A44" s="22">
        <v>40</v>
      </c>
      <c r="B44" s="23" t="s">
        <v>1534</v>
      </c>
      <c r="C44" s="23" t="s">
        <v>1894</v>
      </c>
      <c r="D44" s="23" t="s">
        <v>1540</v>
      </c>
    </row>
    <row r="45" spans="1:4" ht="41.5" customHeight="1" x14ac:dyDescent="0.35">
      <c r="A45" s="22">
        <v>41</v>
      </c>
      <c r="B45" s="23" t="s">
        <v>1565</v>
      </c>
      <c r="C45" s="23" t="s">
        <v>1895</v>
      </c>
      <c r="D45" s="23" t="s">
        <v>1572</v>
      </c>
    </row>
    <row r="46" spans="1:4" ht="41.5" customHeight="1" x14ac:dyDescent="0.35">
      <c r="A46" s="22">
        <v>42</v>
      </c>
      <c r="B46" s="23" t="s">
        <v>1705</v>
      </c>
      <c r="C46" s="23" t="s">
        <v>1896</v>
      </c>
      <c r="D46" s="23" t="s">
        <v>1222</v>
      </c>
    </row>
    <row r="47" spans="1:4" ht="29" customHeight="1" x14ac:dyDescent="0.35">
      <c r="A47" s="22">
        <v>43</v>
      </c>
      <c r="B47" s="23" t="s">
        <v>1414</v>
      </c>
      <c r="C47" s="23" t="s">
        <v>1897</v>
      </c>
      <c r="D47" s="23" t="s">
        <v>1226</v>
      </c>
    </row>
    <row r="48" spans="1:4" ht="54" customHeight="1" x14ac:dyDescent="0.35">
      <c r="A48" s="22">
        <v>44</v>
      </c>
      <c r="B48" s="23" t="s">
        <v>1391</v>
      </c>
      <c r="C48" s="23" t="s">
        <v>1898</v>
      </c>
      <c r="D48" s="23" t="s">
        <v>1398</v>
      </c>
    </row>
    <row r="49" spans="1:4" ht="41.5" customHeight="1" x14ac:dyDescent="0.35">
      <c r="A49" s="22">
        <v>45</v>
      </c>
      <c r="B49" s="23" t="s">
        <v>1284</v>
      </c>
      <c r="C49" s="23" t="s">
        <v>1899</v>
      </c>
      <c r="D49" s="23" t="s">
        <v>1291</v>
      </c>
    </row>
    <row r="50" spans="1:4" ht="41.5" customHeight="1" x14ac:dyDescent="0.35">
      <c r="A50" s="22">
        <v>46</v>
      </c>
      <c r="B50" s="23" t="s">
        <v>1640</v>
      </c>
      <c r="C50" s="23" t="s">
        <v>1900</v>
      </c>
      <c r="D50" s="23" t="s">
        <v>1647</v>
      </c>
    </row>
    <row r="51" spans="1:4" ht="41.5" customHeight="1" x14ac:dyDescent="0.35">
      <c r="A51" s="22">
        <v>47</v>
      </c>
      <c r="B51" s="23" t="s">
        <v>1501</v>
      </c>
      <c r="C51" s="23" t="s">
        <v>1901</v>
      </c>
      <c r="D51" s="23" t="s">
        <v>1508</v>
      </c>
    </row>
    <row r="52" spans="1:4" ht="29" customHeight="1" x14ac:dyDescent="0.35">
      <c r="A52" s="22">
        <v>48</v>
      </c>
      <c r="B52" s="23" t="s">
        <v>1509</v>
      </c>
      <c r="C52" s="23" t="s">
        <v>1902</v>
      </c>
      <c r="D52" s="23" t="s">
        <v>1515</v>
      </c>
    </row>
    <row r="53" spans="1:4" ht="41.5" customHeight="1" x14ac:dyDescent="0.35">
      <c r="A53" s="22">
        <v>49</v>
      </c>
      <c r="B53" s="23" t="s">
        <v>1573</v>
      </c>
      <c r="C53" s="23" t="s">
        <v>1903</v>
      </c>
      <c r="D53" s="23" t="s">
        <v>1580</v>
      </c>
    </row>
    <row r="54" spans="1:4" ht="29" customHeight="1" x14ac:dyDescent="0.35">
      <c r="A54" s="22">
        <v>50</v>
      </c>
      <c r="B54" s="23" t="s">
        <v>1588</v>
      </c>
      <c r="C54" s="23" t="s">
        <v>1904</v>
      </c>
      <c r="D54" s="23" t="s">
        <v>1595</v>
      </c>
    </row>
    <row r="55" spans="1:4" ht="41.5" customHeight="1" x14ac:dyDescent="0.35">
      <c r="A55" s="22">
        <v>51</v>
      </c>
      <c r="B55" s="23" t="s">
        <v>1333</v>
      </c>
      <c r="C55" s="23" t="s">
        <v>1905</v>
      </c>
      <c r="D55" s="23" t="s">
        <v>1340</v>
      </c>
    </row>
    <row r="56" spans="1:4" ht="54" customHeight="1" x14ac:dyDescent="0.35">
      <c r="A56" s="22">
        <v>52</v>
      </c>
      <c r="B56" s="23" t="s">
        <v>1516</v>
      </c>
      <c r="C56" s="23" t="s">
        <v>1906</v>
      </c>
      <c r="D56" s="23" t="s">
        <v>1523</v>
      </c>
    </row>
    <row r="57" spans="1:4" ht="54" customHeight="1" x14ac:dyDescent="0.35">
      <c r="A57" s="22">
        <v>53</v>
      </c>
      <c r="B57" s="23" t="s">
        <v>1292</v>
      </c>
      <c r="C57" s="23" t="s">
        <v>1907</v>
      </c>
      <c r="D57" s="23" t="s">
        <v>1299</v>
      </c>
    </row>
    <row r="58" spans="1:4" ht="54" customHeight="1" x14ac:dyDescent="0.35">
      <c r="A58" s="22">
        <v>54</v>
      </c>
      <c r="B58" s="23" t="s">
        <v>1470</v>
      </c>
      <c r="C58" s="23" t="s">
        <v>1908</v>
      </c>
      <c r="D58" s="23" t="s">
        <v>1477</v>
      </c>
    </row>
    <row r="59" spans="1:4" ht="41.5" customHeight="1" x14ac:dyDescent="0.35">
      <c r="A59" s="22">
        <v>55</v>
      </c>
      <c r="B59" s="23" t="s">
        <v>1648</v>
      </c>
      <c r="C59" s="23" t="s">
        <v>1909</v>
      </c>
      <c r="D59" s="23" t="s">
        <v>1655</v>
      </c>
    </row>
    <row r="60" spans="1:4" ht="41.5" customHeight="1" x14ac:dyDescent="0.35">
      <c r="A60" s="22">
        <v>56</v>
      </c>
      <c r="B60" s="23" t="s">
        <v>1604</v>
      </c>
      <c r="C60" s="23" t="s">
        <v>1910</v>
      </c>
      <c r="D60" s="23" t="s">
        <v>1610</v>
      </c>
    </row>
    <row r="61" spans="1:4" ht="54" customHeight="1" x14ac:dyDescent="0.35">
      <c r="A61" s="22">
        <v>57</v>
      </c>
      <c r="B61" s="23" t="s">
        <v>1478</v>
      </c>
      <c r="C61" s="23" t="s">
        <v>1911</v>
      </c>
      <c r="D61" s="23" t="s">
        <v>1485</v>
      </c>
    </row>
    <row r="62" spans="1:4" ht="54" customHeight="1" x14ac:dyDescent="0.35">
      <c r="A62" s="22">
        <v>58</v>
      </c>
      <c r="B62" s="23" t="s">
        <v>1486</v>
      </c>
      <c r="C62" s="23" t="s">
        <v>1912</v>
      </c>
      <c r="D62" s="23" t="s">
        <v>1493</v>
      </c>
    </row>
    <row r="63" spans="1:4" ht="41.5" customHeight="1" x14ac:dyDescent="0.35">
      <c r="A63" s="22">
        <v>59</v>
      </c>
      <c r="B63" s="23" t="s">
        <v>1309</v>
      </c>
      <c r="C63" s="23" t="s">
        <v>1913</v>
      </c>
      <c r="D63" s="23" t="s">
        <v>1316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00 How to use</vt:lpstr>
      <vt:lpstr>01 Search log</vt:lpstr>
      <vt:lpstr>02 Screening log</vt:lpstr>
      <vt:lpstr>03 Extraction matrix</vt:lpstr>
      <vt:lpstr>04 PRISMA counts</vt:lpstr>
      <vt:lpstr>05 Gaps register</vt:lpstr>
      <vt:lpstr>06 Technology comparison</vt:lpstr>
      <vt:lpstr>07 Reference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 T</cp:lastModifiedBy>
  <dcterms:created xsi:type="dcterms:W3CDTF">2026-10-26T04:03:49Z</dcterms:created>
  <dcterms:modified xsi:type="dcterms:W3CDTF">2026-10-30T01:49:21Z</dcterms:modified>
</cp:coreProperties>
</file>